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1sfu-my.sharepoint.com/personal/ltsiu_sfu_ca/Documents/sfu/Math/math402W/"/>
    </mc:Choice>
  </mc:AlternateContent>
  <xr:revisionPtr revIDLastSave="0" documentId="14_{79B29DB0-0D50-4BFC-B8F0-04F5FCA2BBCD}" xr6:coauthVersionLast="47" xr6:coauthVersionMax="47" xr10:uidLastSave="{00000000-0000-0000-0000-000000000000}"/>
  <bookViews>
    <workbookView xWindow="-28920" yWindow="-120" windowWidth="29040" windowHeight="15720" activeTab="5" xr2:uid="{00000000-000D-0000-FFFF-FFFF00000000}"/>
  </bookViews>
  <sheets>
    <sheet name="Solutions" sheetId="1" r:id="rId1"/>
    <sheet name="bud=250" sheetId="2" r:id="rId2"/>
    <sheet name="bud=300" sheetId="3" r:id="rId3"/>
    <sheet name="bud=350" sheetId="4" r:id="rId4"/>
    <sheet name="AMPL .mod file" sheetId="5" r:id="rId5"/>
    <sheet name="All data" sheetId="6" r:id="rId6"/>
    <sheet name="2025" sheetId="7" r:id="rId7"/>
    <sheet name="2021" sheetId="8" r:id="rId8"/>
    <sheet name="2016" sheetId="9" r:id="rId9"/>
    <sheet name="2011" sheetId="10" r:id="rId10"/>
    <sheet name="2006" sheetId="11" r:id="rId11"/>
    <sheet name="2001" sheetId="12" r:id="rId12"/>
    <sheet name="Cost estimate" sheetId="13" r:id="rId13"/>
    <sheet name="Capacity" sheetId="14" r:id="rId14"/>
    <sheet name="linear projection elementary" sheetId="15" r:id="rId15"/>
    <sheet name="linear projection secondary" sheetId="16" r:id="rId16"/>
    <sheet name="Elementary Adj Matrix" sheetId="17" r:id="rId17"/>
    <sheet name="Secondary Adjacency Matrix" sheetId="18" r:id="rId18"/>
    <sheet name="Adj Matrices in index form" sheetId="19" r:id="rId19"/>
    <sheet name="Enrollment counts" sheetId="20" r:id="rId20"/>
    <sheet name="Population estimate " sheetId="21" r:id="rId21"/>
    <sheet name="Elementary Population (unused)" sheetId="22" r:id="rId22"/>
    <sheet name="Secondary population (unused)" sheetId="23" r:id="rId23"/>
    <sheet name="Elementary Population 2 (unused" sheetId="24" r:id="rId24"/>
    <sheet name="Secondary population 2 (unused)" sheetId="25" r:id="rId25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21" i="6" l="1"/>
  <c r="G421" i="6"/>
  <c r="F422" i="6"/>
  <c r="G422" i="6"/>
  <c r="F423" i="6"/>
  <c r="G423" i="6"/>
  <c r="F424" i="6"/>
  <c r="G424" i="6"/>
  <c r="F425" i="6"/>
  <c r="G425" i="6"/>
  <c r="F426" i="6"/>
  <c r="F521" i="6" s="1"/>
  <c r="G426" i="6"/>
  <c r="F427" i="6"/>
  <c r="G427" i="6"/>
  <c r="F428" i="6"/>
  <c r="G428" i="6"/>
  <c r="F429" i="6"/>
  <c r="G429" i="6"/>
  <c r="F430" i="6"/>
  <c r="G430" i="6"/>
  <c r="F431" i="6"/>
  <c r="G431" i="6"/>
  <c r="F432" i="6"/>
  <c r="G432" i="6"/>
  <c r="F433" i="6"/>
  <c r="G433" i="6"/>
  <c r="F434" i="6"/>
  <c r="G434" i="6"/>
  <c r="F435" i="6"/>
  <c r="G435" i="6"/>
  <c r="F436" i="6"/>
  <c r="G436" i="6"/>
  <c r="F437" i="6"/>
  <c r="G437" i="6"/>
  <c r="F438" i="6"/>
  <c r="G438" i="6"/>
  <c r="F439" i="6"/>
  <c r="G439" i="6"/>
  <c r="F440" i="6"/>
  <c r="G440" i="6"/>
  <c r="F441" i="6"/>
  <c r="G441" i="6"/>
  <c r="F442" i="6"/>
  <c r="G442" i="6"/>
  <c r="F443" i="6"/>
  <c r="G443" i="6"/>
  <c r="F444" i="6"/>
  <c r="G444" i="6"/>
  <c r="F445" i="6"/>
  <c r="G445" i="6"/>
  <c r="F446" i="6"/>
  <c r="G446" i="6"/>
  <c r="F447" i="6"/>
  <c r="G447" i="6"/>
  <c r="F448" i="6"/>
  <c r="G448" i="6"/>
  <c r="F449" i="6"/>
  <c r="G449" i="6"/>
  <c r="F450" i="6"/>
  <c r="G450" i="6"/>
  <c r="F451" i="6"/>
  <c r="G451" i="6"/>
  <c r="F452" i="6"/>
  <c r="G452" i="6"/>
  <c r="F453" i="6"/>
  <c r="G453" i="6"/>
  <c r="F454" i="6"/>
  <c r="G454" i="6"/>
  <c r="F455" i="6"/>
  <c r="G455" i="6"/>
  <c r="F456" i="6"/>
  <c r="G456" i="6"/>
  <c r="F457" i="6"/>
  <c r="G457" i="6"/>
  <c r="F458" i="6"/>
  <c r="G458" i="6"/>
  <c r="F459" i="6"/>
  <c r="G459" i="6"/>
  <c r="F460" i="6"/>
  <c r="G460" i="6"/>
  <c r="F461" i="6"/>
  <c r="G461" i="6"/>
  <c r="F462" i="6"/>
  <c r="G462" i="6"/>
  <c r="F463" i="6"/>
  <c r="G463" i="6"/>
  <c r="F464" i="6"/>
  <c r="G464" i="6"/>
  <c r="F465" i="6"/>
  <c r="G465" i="6"/>
  <c r="F466" i="6"/>
  <c r="G466" i="6"/>
  <c r="F467" i="6"/>
  <c r="G467" i="6"/>
  <c r="F468" i="6"/>
  <c r="G468" i="6"/>
  <c r="F469" i="6"/>
  <c r="G469" i="6"/>
  <c r="F470" i="6"/>
  <c r="G470" i="6"/>
  <c r="F471" i="6"/>
  <c r="G471" i="6"/>
  <c r="F472" i="6"/>
  <c r="G472" i="6"/>
  <c r="F473" i="6"/>
  <c r="G473" i="6"/>
  <c r="F474" i="6"/>
  <c r="G474" i="6"/>
  <c r="F475" i="6"/>
  <c r="G475" i="6"/>
  <c r="F476" i="6"/>
  <c r="G476" i="6"/>
  <c r="F477" i="6"/>
  <c r="G477" i="6"/>
  <c r="F478" i="6"/>
  <c r="G478" i="6"/>
  <c r="F479" i="6"/>
  <c r="G479" i="6"/>
  <c r="F480" i="6"/>
  <c r="G480" i="6"/>
  <c r="F481" i="6"/>
  <c r="G481" i="6"/>
  <c r="F482" i="6"/>
  <c r="G482" i="6"/>
  <c r="F483" i="6"/>
  <c r="G483" i="6"/>
  <c r="F484" i="6"/>
  <c r="G484" i="6"/>
  <c r="F485" i="6"/>
  <c r="G485" i="6"/>
  <c r="F486" i="6"/>
  <c r="G486" i="6"/>
  <c r="F487" i="6"/>
  <c r="G487" i="6"/>
  <c r="F488" i="6"/>
  <c r="G488" i="6"/>
  <c r="F489" i="6"/>
  <c r="G489" i="6"/>
  <c r="F490" i="6"/>
  <c r="G490" i="6"/>
  <c r="F491" i="6"/>
  <c r="G491" i="6"/>
  <c r="F492" i="6"/>
  <c r="G492" i="6"/>
  <c r="F493" i="6"/>
  <c r="G493" i="6"/>
  <c r="F494" i="6"/>
  <c r="G494" i="6"/>
  <c r="F495" i="6"/>
  <c r="G495" i="6"/>
  <c r="F496" i="6"/>
  <c r="G496" i="6"/>
  <c r="F497" i="6"/>
  <c r="G497" i="6"/>
  <c r="G521" i="6" s="1"/>
  <c r="F498" i="6"/>
  <c r="G498" i="6"/>
  <c r="F499" i="6"/>
  <c r="G499" i="6"/>
  <c r="F500" i="6"/>
  <c r="G500" i="6"/>
  <c r="F501" i="6"/>
  <c r="G501" i="6"/>
  <c r="F502" i="6"/>
  <c r="G502" i="6"/>
  <c r="F503" i="6"/>
  <c r="G503" i="6"/>
  <c r="F504" i="6"/>
  <c r="G504" i="6"/>
  <c r="F505" i="6"/>
  <c r="G505" i="6"/>
  <c r="F506" i="6"/>
  <c r="G506" i="6"/>
  <c r="F507" i="6"/>
  <c r="G507" i="6"/>
  <c r="F508" i="6"/>
  <c r="G508" i="6"/>
  <c r="F509" i="6"/>
  <c r="G509" i="6"/>
  <c r="F510" i="6"/>
  <c r="G510" i="6"/>
  <c r="F511" i="6"/>
  <c r="G511" i="6"/>
  <c r="F512" i="6"/>
  <c r="G512" i="6"/>
  <c r="F513" i="6"/>
  <c r="G513" i="6"/>
  <c r="F514" i="6"/>
  <c r="G514" i="6"/>
  <c r="F515" i="6"/>
  <c r="G515" i="6"/>
  <c r="F516" i="6"/>
  <c r="G516" i="6"/>
  <c r="F517" i="6"/>
  <c r="G517" i="6"/>
  <c r="F518" i="6"/>
  <c r="G518" i="6"/>
  <c r="F519" i="6"/>
  <c r="G519" i="6"/>
  <c r="F520" i="6"/>
  <c r="G520" i="6"/>
  <c r="G420" i="6"/>
  <c r="F420" i="6"/>
  <c r="Q2" i="7"/>
  <c r="Q104" i="7"/>
  <c r="R103" i="7"/>
  <c r="Q103" i="7"/>
  <c r="Q3" i="7"/>
  <c r="R3" i="7"/>
  <c r="Q4" i="7"/>
  <c r="R4" i="7"/>
  <c r="Q5" i="7"/>
  <c r="R5" i="7"/>
  <c r="Q6" i="7"/>
  <c r="R6" i="7"/>
  <c r="Q7" i="7"/>
  <c r="R7" i="7"/>
  <c r="Q8" i="7"/>
  <c r="R8" i="7"/>
  <c r="Q9" i="7"/>
  <c r="R9" i="7"/>
  <c r="Q10" i="7"/>
  <c r="R10" i="7"/>
  <c r="Q11" i="7"/>
  <c r="R11" i="7"/>
  <c r="Q12" i="7"/>
  <c r="R12" i="7"/>
  <c r="Q13" i="7"/>
  <c r="R13" i="7"/>
  <c r="Q14" i="7"/>
  <c r="R14" i="7"/>
  <c r="Q15" i="7"/>
  <c r="R15" i="7"/>
  <c r="Q16" i="7"/>
  <c r="R16" i="7"/>
  <c r="Q17" i="7"/>
  <c r="R17" i="7"/>
  <c r="Q18" i="7"/>
  <c r="R18" i="7"/>
  <c r="Q19" i="7"/>
  <c r="R19" i="7"/>
  <c r="Q20" i="7"/>
  <c r="R20" i="7"/>
  <c r="Q21" i="7"/>
  <c r="R21" i="7"/>
  <c r="Q22" i="7"/>
  <c r="R22" i="7"/>
  <c r="Q23" i="7"/>
  <c r="R23" i="7"/>
  <c r="Q24" i="7"/>
  <c r="R24" i="7"/>
  <c r="Q25" i="7"/>
  <c r="R25" i="7"/>
  <c r="Q26" i="7"/>
  <c r="R26" i="7"/>
  <c r="Q27" i="7"/>
  <c r="R27" i="7"/>
  <c r="Q28" i="7"/>
  <c r="R28" i="7"/>
  <c r="Q29" i="7"/>
  <c r="R29" i="7"/>
  <c r="Q30" i="7"/>
  <c r="R30" i="7"/>
  <c r="Q31" i="7"/>
  <c r="R31" i="7"/>
  <c r="Q32" i="7"/>
  <c r="R32" i="7"/>
  <c r="Q33" i="7"/>
  <c r="R33" i="7"/>
  <c r="Q34" i="7"/>
  <c r="R34" i="7"/>
  <c r="Q35" i="7"/>
  <c r="R35" i="7"/>
  <c r="Q36" i="7"/>
  <c r="R36" i="7"/>
  <c r="Q37" i="7"/>
  <c r="R37" i="7"/>
  <c r="Q38" i="7"/>
  <c r="R38" i="7"/>
  <c r="Q39" i="7"/>
  <c r="R39" i="7"/>
  <c r="Q40" i="7"/>
  <c r="R40" i="7"/>
  <c r="Q41" i="7"/>
  <c r="R41" i="7"/>
  <c r="Q42" i="7"/>
  <c r="R42" i="7"/>
  <c r="Q43" i="7"/>
  <c r="R43" i="7"/>
  <c r="Q44" i="7"/>
  <c r="R44" i="7"/>
  <c r="Q45" i="7"/>
  <c r="R45" i="7"/>
  <c r="Q46" i="7"/>
  <c r="R46" i="7"/>
  <c r="Q47" i="7"/>
  <c r="R47" i="7"/>
  <c r="Q48" i="7"/>
  <c r="R48" i="7"/>
  <c r="Q49" i="7"/>
  <c r="R49" i="7"/>
  <c r="Q50" i="7"/>
  <c r="R50" i="7"/>
  <c r="Q51" i="7"/>
  <c r="R51" i="7"/>
  <c r="Q52" i="7"/>
  <c r="R52" i="7"/>
  <c r="Q53" i="7"/>
  <c r="R53" i="7"/>
  <c r="Q54" i="7"/>
  <c r="R54" i="7"/>
  <c r="Q55" i="7"/>
  <c r="R55" i="7"/>
  <c r="Q56" i="7"/>
  <c r="R56" i="7"/>
  <c r="Q57" i="7"/>
  <c r="R57" i="7"/>
  <c r="Q58" i="7"/>
  <c r="R58" i="7"/>
  <c r="Q59" i="7"/>
  <c r="R59" i="7"/>
  <c r="Q60" i="7"/>
  <c r="R60" i="7"/>
  <c r="Q61" i="7"/>
  <c r="R61" i="7"/>
  <c r="Q62" i="7"/>
  <c r="R62" i="7"/>
  <c r="Q63" i="7"/>
  <c r="R63" i="7"/>
  <c r="Q64" i="7"/>
  <c r="R64" i="7"/>
  <c r="Q65" i="7"/>
  <c r="R65" i="7"/>
  <c r="Q66" i="7"/>
  <c r="R66" i="7"/>
  <c r="Q67" i="7"/>
  <c r="R67" i="7"/>
  <c r="Q68" i="7"/>
  <c r="R68" i="7"/>
  <c r="Q69" i="7"/>
  <c r="R69" i="7"/>
  <c r="Q70" i="7"/>
  <c r="R70" i="7"/>
  <c r="Q71" i="7"/>
  <c r="R71" i="7"/>
  <c r="Q72" i="7"/>
  <c r="R72" i="7"/>
  <c r="Q73" i="7"/>
  <c r="R73" i="7"/>
  <c r="Q74" i="7"/>
  <c r="R74" i="7"/>
  <c r="Q75" i="7"/>
  <c r="R75" i="7"/>
  <c r="Q76" i="7"/>
  <c r="R76" i="7"/>
  <c r="Q77" i="7"/>
  <c r="R77" i="7"/>
  <c r="Q78" i="7"/>
  <c r="R78" i="7"/>
  <c r="Q79" i="7"/>
  <c r="R79" i="7"/>
  <c r="Q80" i="7"/>
  <c r="R80" i="7"/>
  <c r="Q81" i="7"/>
  <c r="R81" i="7"/>
  <c r="Q82" i="7"/>
  <c r="R82" i="7"/>
  <c r="Q83" i="7"/>
  <c r="R83" i="7"/>
  <c r="Q84" i="7"/>
  <c r="R84" i="7"/>
  <c r="Q85" i="7"/>
  <c r="R85" i="7"/>
  <c r="Q86" i="7"/>
  <c r="R86" i="7"/>
  <c r="Q87" i="7"/>
  <c r="R87" i="7"/>
  <c r="Q88" i="7"/>
  <c r="R88" i="7"/>
  <c r="Q89" i="7"/>
  <c r="R89" i="7"/>
  <c r="Q90" i="7"/>
  <c r="R90" i="7"/>
  <c r="Q91" i="7"/>
  <c r="R91" i="7"/>
  <c r="Q92" i="7"/>
  <c r="R92" i="7"/>
  <c r="Q93" i="7"/>
  <c r="R93" i="7"/>
  <c r="Q94" i="7"/>
  <c r="R94" i="7"/>
  <c r="Q95" i="7"/>
  <c r="R95" i="7"/>
  <c r="Q96" i="7"/>
  <c r="R96" i="7"/>
  <c r="Q97" i="7"/>
  <c r="R97" i="7"/>
  <c r="Q98" i="7"/>
  <c r="R98" i="7"/>
  <c r="Q99" i="7"/>
  <c r="R99" i="7"/>
  <c r="Q100" i="7"/>
  <c r="R100" i="7"/>
  <c r="Q101" i="7"/>
  <c r="R101" i="7"/>
  <c r="Q102" i="7"/>
  <c r="R102" i="7"/>
  <c r="R104" i="7"/>
  <c r="R2" i="7"/>
  <c r="I34" i="7"/>
  <c r="D30" i="24"/>
  <c r="D264" i="23"/>
  <c r="D256" i="23"/>
  <c r="D247" i="23"/>
  <c r="D242" i="23"/>
  <c r="D240" i="23"/>
  <c r="D239" i="23"/>
  <c r="D237" i="23"/>
  <c r="D232" i="23"/>
  <c r="D230" i="23"/>
  <c r="D233" i="23" s="1"/>
  <c r="I111" i="23" s="1"/>
  <c r="D219" i="23"/>
  <c r="D207" i="23"/>
  <c r="D195" i="23"/>
  <c r="D191" i="23"/>
  <c r="D198" i="23" s="1"/>
  <c r="I108" i="23" s="1"/>
  <c r="D187" i="23"/>
  <c r="I107" i="23" s="1"/>
  <c r="D180" i="23"/>
  <c r="D167" i="23"/>
  <c r="D175" i="23" s="1"/>
  <c r="I106" i="23" s="1"/>
  <c r="D162" i="23"/>
  <c r="D144" i="23"/>
  <c r="D139" i="23"/>
  <c r="D138" i="23"/>
  <c r="D147" i="23" s="1"/>
  <c r="I104" i="23" s="1"/>
  <c r="D131" i="23"/>
  <c r="D124" i="23"/>
  <c r="D133" i="23" s="1"/>
  <c r="I103" i="23" s="1"/>
  <c r="G119" i="23"/>
  <c r="D119" i="23"/>
  <c r="G118" i="23"/>
  <c r="G117" i="23"/>
  <c r="D117" i="23"/>
  <c r="G116" i="23"/>
  <c r="G115" i="23"/>
  <c r="G114" i="23"/>
  <c r="D114" i="23"/>
  <c r="D120" i="23" s="1"/>
  <c r="I102" i="23" s="1"/>
  <c r="G113" i="23"/>
  <c r="G112" i="23"/>
  <c r="G111" i="23"/>
  <c r="G110" i="23"/>
  <c r="G109" i="23"/>
  <c r="D109" i="23"/>
  <c r="G108" i="23"/>
  <c r="G107" i="23"/>
  <c r="G106" i="23"/>
  <c r="I105" i="23"/>
  <c r="G105" i="23"/>
  <c r="D105" i="23"/>
  <c r="G104" i="23"/>
  <c r="G103" i="23"/>
  <c r="G102" i="23"/>
  <c r="G101" i="23"/>
  <c r="N97" i="23"/>
  <c r="N96" i="23"/>
  <c r="N95" i="23"/>
  <c r="N94" i="23"/>
  <c r="D262" i="23" s="1"/>
  <c r="N93" i="23"/>
  <c r="N92" i="23"/>
  <c r="N91" i="23"/>
  <c r="D223" i="23" s="1"/>
  <c r="N90" i="23"/>
  <c r="D217" i="23" s="1"/>
  <c r="N89" i="23"/>
  <c r="D214" i="23" s="1"/>
  <c r="N88" i="23"/>
  <c r="N87" i="23"/>
  <c r="D221" i="23" s="1"/>
  <c r="N86" i="23"/>
  <c r="N85" i="23"/>
  <c r="N84" i="23"/>
  <c r="D222" i="23" s="1"/>
  <c r="N83" i="23"/>
  <c r="N82" i="23"/>
  <c r="D293" i="23" s="1"/>
  <c r="N81" i="23"/>
  <c r="N80" i="23"/>
  <c r="N79" i="23"/>
  <c r="N78" i="23"/>
  <c r="N77" i="23"/>
  <c r="D193" i="23" s="1"/>
  <c r="N76" i="23"/>
  <c r="N75" i="23"/>
  <c r="D248" i="23" s="1"/>
  <c r="N74" i="23"/>
  <c r="D246" i="23" s="1"/>
  <c r="N73" i="23"/>
  <c r="N72" i="23"/>
  <c r="D266" i="23" s="1"/>
  <c r="N71" i="23"/>
  <c r="D267" i="23" s="1"/>
  <c r="N70" i="23"/>
  <c r="D231" i="23" s="1"/>
  <c r="N69" i="23"/>
  <c r="N68" i="23"/>
  <c r="D265" i="23" s="1"/>
  <c r="N67" i="23"/>
  <c r="N66" i="23"/>
  <c r="D263" i="23" s="1"/>
  <c r="N65" i="23"/>
  <c r="N64" i="23"/>
  <c r="D241" i="23" s="1"/>
  <c r="N63" i="23"/>
  <c r="D238" i="23" s="1"/>
  <c r="N62" i="23"/>
  <c r="N61" i="23"/>
  <c r="N60" i="23"/>
  <c r="D285" i="23" s="1"/>
  <c r="N59" i="23"/>
  <c r="D286" i="23" s="1"/>
  <c r="N58" i="23"/>
  <c r="N57" i="23"/>
  <c r="D289" i="23" s="1"/>
  <c r="N56" i="23"/>
  <c r="D287" i="23" s="1"/>
  <c r="N55" i="23"/>
  <c r="N54" i="23"/>
  <c r="D257" i="23" s="1"/>
  <c r="N53" i="23"/>
  <c r="N52" i="23"/>
  <c r="D288" i="23" s="1"/>
  <c r="N51" i="23"/>
  <c r="D254" i="23" s="1"/>
  <c r="N50" i="23"/>
  <c r="D255" i="23" s="1"/>
  <c r="N49" i="23"/>
  <c r="N48" i="23"/>
  <c r="N47" i="23"/>
  <c r="N46" i="23"/>
  <c r="D258" i="23" s="1"/>
  <c r="N45" i="23"/>
  <c r="N44" i="23"/>
  <c r="D204" i="23" s="1"/>
  <c r="N43" i="23"/>
  <c r="D280" i="23" s="1"/>
  <c r="N42" i="23"/>
  <c r="D281" i="23" s="1"/>
  <c r="N41" i="23"/>
  <c r="D278" i="23" s="1"/>
  <c r="N40" i="23"/>
  <c r="D279" i="23" s="1"/>
  <c r="N39" i="23"/>
  <c r="D209" i="23" s="1"/>
  <c r="N38" i="23"/>
  <c r="N37" i="23"/>
  <c r="N36" i="23"/>
  <c r="N35" i="23"/>
  <c r="D205" i="23" s="1"/>
  <c r="N34" i="23"/>
  <c r="N33" i="23"/>
  <c r="D202" i="23" s="1"/>
  <c r="N32" i="23"/>
  <c r="D294" i="23" s="1"/>
  <c r="N31" i="23"/>
  <c r="D295" i="23" s="1"/>
  <c r="N30" i="23"/>
  <c r="D296" i="23" s="1"/>
  <c r="N29" i="23"/>
  <c r="D298" i="23" s="1"/>
  <c r="N28" i="23"/>
  <c r="N27" i="23"/>
  <c r="D297" i="23" s="1"/>
  <c r="N26" i="23"/>
  <c r="N25" i="23"/>
  <c r="N24" i="23"/>
  <c r="N23" i="23"/>
  <c r="D249" i="23" s="1"/>
  <c r="N22" i="23"/>
  <c r="N21" i="23"/>
  <c r="N20" i="23"/>
  <c r="N19" i="23"/>
  <c r="N18" i="23"/>
  <c r="N17" i="23"/>
  <c r="N16" i="23"/>
  <c r="N15" i="23"/>
  <c r="D272" i="23" s="1"/>
  <c r="N14" i="23"/>
  <c r="N13" i="23"/>
  <c r="D271" i="23" s="1"/>
  <c r="N12" i="23"/>
  <c r="N11" i="23"/>
  <c r="N10" i="23"/>
  <c r="N9" i="23"/>
  <c r="N8" i="23"/>
  <c r="D108" i="23" s="1"/>
  <c r="N7" i="23"/>
  <c r="D107" i="23" s="1"/>
  <c r="N6" i="23"/>
  <c r="D106" i="23" s="1"/>
  <c r="N5" i="23"/>
  <c r="D110" i="23" s="1"/>
  <c r="N4" i="23"/>
  <c r="N3" i="23"/>
  <c r="D104" i="23" s="1"/>
  <c r="D111" i="23" s="1"/>
  <c r="I101" i="23" s="1"/>
  <c r="N2" i="23"/>
  <c r="D225" i="22"/>
  <c r="D210" i="22"/>
  <c r="D198" i="22"/>
  <c r="D180" i="22"/>
  <c r="D187" i="22" s="1"/>
  <c r="D175" i="22"/>
  <c r="D167" i="22"/>
  <c r="D162" i="22"/>
  <c r="D144" i="22"/>
  <c r="D139" i="22"/>
  <c r="D138" i="22"/>
  <c r="D131" i="22"/>
  <c r="D133" i="22" s="1"/>
  <c r="D124" i="22"/>
  <c r="D119" i="22"/>
  <c r="D117" i="22"/>
  <c r="D114" i="22"/>
  <c r="D120" i="22" s="1"/>
  <c r="N97" i="22"/>
  <c r="N96" i="22"/>
  <c r="N95" i="22"/>
  <c r="N94" i="22"/>
  <c r="N93" i="22"/>
  <c r="N92" i="22"/>
  <c r="N91" i="22"/>
  <c r="N90" i="22"/>
  <c r="N89" i="22"/>
  <c r="N88" i="22"/>
  <c r="N87" i="22"/>
  <c r="N86" i="22"/>
  <c r="N85" i="22"/>
  <c r="N84" i="22"/>
  <c r="N83" i="22"/>
  <c r="N82" i="22"/>
  <c r="N81" i="22"/>
  <c r="N80" i="22"/>
  <c r="N79" i="22"/>
  <c r="N78" i="22"/>
  <c r="N77" i="22"/>
  <c r="N76" i="22"/>
  <c r="N75" i="22"/>
  <c r="N74" i="22"/>
  <c r="N73" i="22"/>
  <c r="N72" i="22"/>
  <c r="N71" i="22"/>
  <c r="N70" i="22"/>
  <c r="N69" i="22"/>
  <c r="N68" i="22"/>
  <c r="N67" i="22"/>
  <c r="N66" i="22"/>
  <c r="N65" i="22"/>
  <c r="N64" i="22"/>
  <c r="N63" i="22"/>
  <c r="N62" i="22"/>
  <c r="N61" i="22"/>
  <c r="N60" i="22"/>
  <c r="N59" i="22"/>
  <c r="N58" i="22"/>
  <c r="N57" i="22"/>
  <c r="N56" i="22"/>
  <c r="N55" i="22"/>
  <c r="N54" i="22"/>
  <c r="N53" i="22"/>
  <c r="N52" i="22"/>
  <c r="N51" i="22"/>
  <c r="N50" i="22"/>
  <c r="N49" i="22"/>
  <c r="N48" i="22"/>
  <c r="N47" i="22"/>
  <c r="N46" i="22"/>
  <c r="N45" i="22"/>
  <c r="N44" i="22"/>
  <c r="N43" i="22"/>
  <c r="N42" i="22"/>
  <c r="N41" i="22"/>
  <c r="N40" i="22"/>
  <c r="N39" i="22"/>
  <c r="N38" i="22"/>
  <c r="N37" i="22"/>
  <c r="N36" i="22"/>
  <c r="N35" i="22"/>
  <c r="N34" i="22"/>
  <c r="N33" i="22"/>
  <c r="N32" i="22"/>
  <c r="N31" i="22"/>
  <c r="N30" i="22"/>
  <c r="N29" i="22"/>
  <c r="N28" i="22"/>
  <c r="N27" i="22"/>
  <c r="N26" i="22"/>
  <c r="N25" i="22"/>
  <c r="N24" i="22"/>
  <c r="N23" i="22"/>
  <c r="N22" i="22"/>
  <c r="N21" i="22"/>
  <c r="N20" i="22"/>
  <c r="N19" i="22"/>
  <c r="N18" i="22"/>
  <c r="N17" i="22"/>
  <c r="N16" i="22"/>
  <c r="N15" i="22"/>
  <c r="N14" i="22"/>
  <c r="N13" i="22"/>
  <c r="N12" i="22"/>
  <c r="N11" i="22"/>
  <c r="N10" i="22"/>
  <c r="N9" i="22"/>
  <c r="N8" i="22"/>
  <c r="N7" i="22"/>
  <c r="N6" i="22"/>
  <c r="N5" i="22"/>
  <c r="N4" i="22"/>
  <c r="N3" i="22"/>
  <c r="N2" i="22"/>
  <c r="I12" i="21"/>
  <c r="I11" i="21"/>
  <c r="I10" i="21"/>
  <c r="I9" i="21"/>
  <c r="I8" i="21"/>
  <c r="I7" i="21"/>
  <c r="I6" i="21"/>
  <c r="I5" i="21"/>
  <c r="A5" i="21"/>
  <c r="A6" i="21" s="1"/>
  <c r="A7" i="21" s="1"/>
  <c r="A8" i="21" s="1"/>
  <c r="A9" i="21" s="1"/>
  <c r="A10" i="21" s="1"/>
  <c r="A11" i="21" s="1"/>
  <c r="A12" i="21" s="1"/>
  <c r="I4" i="21"/>
  <c r="A4" i="21"/>
  <c r="I3" i="21"/>
  <c r="A3" i="21"/>
  <c r="I2" i="21"/>
  <c r="Z7" i="20"/>
  <c r="Y7" i="20"/>
  <c r="X7" i="20"/>
  <c r="W7" i="20"/>
  <c r="V7" i="20"/>
  <c r="U7" i="20"/>
  <c r="Z6" i="20"/>
  <c r="Y6" i="20"/>
  <c r="X6" i="20"/>
  <c r="W6" i="20"/>
  <c r="V6" i="20"/>
  <c r="U6" i="20"/>
  <c r="Z5" i="20"/>
  <c r="Y5" i="20"/>
  <c r="X5" i="20"/>
  <c r="W5" i="20"/>
  <c r="V5" i="20"/>
  <c r="U5" i="20"/>
  <c r="Z4" i="20"/>
  <c r="Y4" i="20"/>
  <c r="X4" i="20"/>
  <c r="W4" i="20"/>
  <c r="V4" i="20"/>
  <c r="U4" i="20"/>
  <c r="Z3" i="20"/>
  <c r="Y3" i="20"/>
  <c r="X3" i="20"/>
  <c r="W3" i="20"/>
  <c r="V3" i="20"/>
  <c r="U3" i="20"/>
  <c r="A9" i="20" s="1" a="1"/>
  <c r="Z2" i="20"/>
  <c r="Y2" i="20"/>
  <c r="X2" i="20"/>
  <c r="W2" i="20"/>
  <c r="V2" i="20"/>
  <c r="U2" i="20"/>
  <c r="U236" i="19"/>
  <c r="U235" i="19"/>
  <c r="U234" i="19"/>
  <c r="U233" i="19"/>
  <c r="U232" i="19"/>
  <c r="U231" i="19"/>
  <c r="U230" i="19"/>
  <c r="U229" i="19"/>
  <c r="U228" i="19"/>
  <c r="U227" i="19"/>
  <c r="U226" i="19"/>
  <c r="U225" i="19"/>
  <c r="U224" i="19"/>
  <c r="U223" i="19"/>
  <c r="U222" i="19"/>
  <c r="U221" i="19"/>
  <c r="U220" i="19"/>
  <c r="U219" i="19"/>
  <c r="V228" i="19"/>
  <c r="V218" i="19" a="1"/>
  <c r="V236" i="19" s="1"/>
  <c r="U218" i="19"/>
  <c r="T21" i="18"/>
  <c r="S21" i="18"/>
  <c r="R21" i="18"/>
  <c r="Q21" i="18"/>
  <c r="P21" i="18"/>
  <c r="O21" i="18"/>
  <c r="N21" i="18"/>
  <c r="M21" i="18"/>
  <c r="L21" i="18"/>
  <c r="K21" i="18"/>
  <c r="J21" i="18"/>
  <c r="I21" i="18"/>
  <c r="H21" i="18"/>
  <c r="G21" i="18"/>
  <c r="F21" i="18"/>
  <c r="E21" i="18"/>
  <c r="D21" i="18"/>
  <c r="C21" i="18"/>
  <c r="B21" i="18"/>
  <c r="CS98" i="17"/>
  <c r="CR98" i="17"/>
  <c r="CQ98" i="17"/>
  <c r="CP98" i="17"/>
  <c r="CO98" i="17"/>
  <c r="CN98" i="17"/>
  <c r="CM98" i="17"/>
  <c r="CL98" i="17"/>
  <c r="CK98" i="17"/>
  <c r="CJ98" i="17"/>
  <c r="CI98" i="17"/>
  <c r="CH98" i="17"/>
  <c r="CG98" i="17"/>
  <c r="CF98" i="17"/>
  <c r="CE98" i="17"/>
  <c r="CD98" i="17"/>
  <c r="CC98" i="17"/>
  <c r="CB98" i="17"/>
  <c r="CA98" i="17"/>
  <c r="BZ98" i="17"/>
  <c r="BY98" i="17"/>
  <c r="BX98" i="17"/>
  <c r="BW98" i="17"/>
  <c r="BV98" i="17"/>
  <c r="BU98" i="17"/>
  <c r="BT98" i="17"/>
  <c r="BS98" i="17"/>
  <c r="BR98" i="17"/>
  <c r="BQ98" i="17"/>
  <c r="BP98" i="17"/>
  <c r="BO98" i="17"/>
  <c r="BN98" i="17"/>
  <c r="BM98" i="17"/>
  <c r="BL98" i="17"/>
  <c r="BK98" i="17"/>
  <c r="BJ98" i="17"/>
  <c r="BI98" i="17"/>
  <c r="BH98" i="17"/>
  <c r="BG98" i="17"/>
  <c r="BF98" i="17"/>
  <c r="BE98" i="17"/>
  <c r="BD98" i="17"/>
  <c r="BC98" i="17"/>
  <c r="BB98" i="17"/>
  <c r="BA98" i="17"/>
  <c r="AZ98" i="17"/>
  <c r="AY98" i="17"/>
  <c r="AX98" i="17"/>
  <c r="AW98" i="17"/>
  <c r="AV98" i="17"/>
  <c r="AU98" i="17"/>
  <c r="AT98" i="17"/>
  <c r="AS98" i="17"/>
  <c r="AR98" i="17"/>
  <c r="AQ98" i="17"/>
  <c r="AP98" i="17"/>
  <c r="AO98" i="17"/>
  <c r="AN98" i="17"/>
  <c r="AM98" i="17"/>
  <c r="AL98" i="17"/>
  <c r="AK98" i="17"/>
  <c r="AJ98" i="17"/>
  <c r="AI98" i="17"/>
  <c r="AH98" i="17"/>
  <c r="AG98" i="17"/>
  <c r="AF98" i="17"/>
  <c r="AE98" i="17"/>
  <c r="AD98" i="17"/>
  <c r="AC98" i="17"/>
  <c r="AB98" i="17"/>
  <c r="AA98" i="17"/>
  <c r="Z98" i="17"/>
  <c r="Y98" i="17"/>
  <c r="X98" i="17"/>
  <c r="W98" i="17"/>
  <c r="V98" i="17"/>
  <c r="U98" i="17"/>
  <c r="T98" i="17"/>
  <c r="S98" i="17"/>
  <c r="R98" i="17"/>
  <c r="Q98" i="17"/>
  <c r="P98" i="17"/>
  <c r="O98" i="17"/>
  <c r="N98" i="17"/>
  <c r="M98" i="17"/>
  <c r="L98" i="17"/>
  <c r="K98" i="17"/>
  <c r="J98" i="17"/>
  <c r="I98" i="17"/>
  <c r="H98" i="17"/>
  <c r="G98" i="17"/>
  <c r="F98" i="17"/>
  <c r="E98" i="17"/>
  <c r="D98" i="17"/>
  <c r="C98" i="17"/>
  <c r="B98" i="17"/>
  <c r="CT97" i="17"/>
  <c r="CT96" i="17"/>
  <c r="CT95" i="17"/>
  <c r="CT94" i="17"/>
  <c r="CT93" i="17"/>
  <c r="CT92" i="17"/>
  <c r="CT91" i="17"/>
  <c r="CT90" i="17"/>
  <c r="CT89" i="17"/>
  <c r="CT88" i="17"/>
  <c r="CT87" i="17"/>
  <c r="CT86" i="17"/>
  <c r="CT85" i="17"/>
  <c r="CT84" i="17"/>
  <c r="CT83" i="17"/>
  <c r="CT82" i="17"/>
  <c r="CT81" i="17"/>
  <c r="CT80" i="17"/>
  <c r="CT79" i="17"/>
  <c r="CT78" i="17"/>
  <c r="CT77" i="17"/>
  <c r="CT76" i="17"/>
  <c r="CT75" i="17"/>
  <c r="CT74" i="17"/>
  <c r="CT73" i="17"/>
  <c r="CT72" i="17"/>
  <c r="CT71" i="17"/>
  <c r="CT70" i="17"/>
  <c r="CT69" i="17"/>
  <c r="CT68" i="17"/>
  <c r="CT67" i="17"/>
  <c r="CT66" i="17"/>
  <c r="CT65" i="17"/>
  <c r="CT64" i="17"/>
  <c r="CT63" i="17"/>
  <c r="CT62" i="17"/>
  <c r="CT61" i="17"/>
  <c r="CT60" i="17"/>
  <c r="CT59" i="17"/>
  <c r="CT58" i="17"/>
  <c r="CT57" i="17"/>
  <c r="CT56" i="17"/>
  <c r="CT55" i="17"/>
  <c r="CT54" i="17"/>
  <c r="CT53" i="17"/>
  <c r="CT52" i="17"/>
  <c r="CT51" i="17"/>
  <c r="CT50" i="17"/>
  <c r="CT49" i="17"/>
  <c r="CT48" i="17"/>
  <c r="CT47" i="17"/>
  <c r="CT46" i="17"/>
  <c r="CT45" i="17"/>
  <c r="CT44" i="17"/>
  <c r="CT43" i="17"/>
  <c r="CT42" i="17"/>
  <c r="CT41" i="17"/>
  <c r="CT40" i="17"/>
  <c r="CT39" i="17"/>
  <c r="CT38" i="17"/>
  <c r="CT37" i="17"/>
  <c r="CT36" i="17"/>
  <c r="CT35" i="17"/>
  <c r="CT34" i="17"/>
  <c r="CT33" i="17"/>
  <c r="CT32" i="17"/>
  <c r="CT31" i="17"/>
  <c r="CT30" i="17"/>
  <c r="CT29" i="17"/>
  <c r="CT28" i="17"/>
  <c r="CT27" i="17"/>
  <c r="CT26" i="17"/>
  <c r="CT25" i="17"/>
  <c r="CT24" i="17"/>
  <c r="CT23" i="17"/>
  <c r="CT22" i="17"/>
  <c r="CT21" i="17"/>
  <c r="CT20" i="17"/>
  <c r="CT19" i="17"/>
  <c r="CT18" i="17"/>
  <c r="CT17" i="17"/>
  <c r="CT16" i="17"/>
  <c r="CT15" i="17"/>
  <c r="CT14" i="17"/>
  <c r="CT13" i="17"/>
  <c r="CT12" i="17"/>
  <c r="CT11" i="17"/>
  <c r="CT10" i="17"/>
  <c r="CT9" i="17"/>
  <c r="CT8" i="17"/>
  <c r="CT7" i="17"/>
  <c r="CT6" i="17"/>
  <c r="CT5" i="17"/>
  <c r="CT4" i="17"/>
  <c r="CT3" i="17"/>
  <c r="CT2" i="17"/>
  <c r="B1" i="17" a="1"/>
  <c r="CE1" i="17" s="1"/>
  <c r="D298" i="16"/>
  <c r="D296" i="16"/>
  <c r="D295" i="16"/>
  <c r="D294" i="16"/>
  <c r="D287" i="16"/>
  <c r="D280" i="16"/>
  <c r="D279" i="16"/>
  <c r="D282" i="16" s="1"/>
  <c r="D266" i="16"/>
  <c r="D265" i="16"/>
  <c r="D264" i="16"/>
  <c r="D257" i="16"/>
  <c r="D256" i="16"/>
  <c r="D249" i="16"/>
  <c r="D242" i="16"/>
  <c r="D240" i="16"/>
  <c r="D232" i="16"/>
  <c r="D230" i="16"/>
  <c r="D233" i="16" s="1"/>
  <c r="D223" i="16"/>
  <c r="D222" i="16"/>
  <c r="D217" i="16"/>
  <c r="D204" i="16"/>
  <c r="D187" i="16"/>
  <c r="D180" i="16"/>
  <c r="D167" i="16"/>
  <c r="D175" i="16" s="1"/>
  <c r="D162" i="16"/>
  <c r="D144" i="16"/>
  <c r="D139" i="16"/>
  <c r="D138" i="16"/>
  <c r="D147" i="16" s="1"/>
  <c r="D133" i="16"/>
  <c r="D131" i="16"/>
  <c r="D124" i="16"/>
  <c r="Q120" i="16"/>
  <c r="M120" i="16"/>
  <c r="L120" i="16"/>
  <c r="P119" i="16"/>
  <c r="N119" i="16"/>
  <c r="D119" i="16"/>
  <c r="P118" i="16"/>
  <c r="N118" i="16"/>
  <c r="P117" i="16"/>
  <c r="N117" i="16"/>
  <c r="D117" i="16"/>
  <c r="P116" i="16"/>
  <c r="N116" i="16"/>
  <c r="P115" i="16"/>
  <c r="N115" i="16"/>
  <c r="P114" i="16"/>
  <c r="N114" i="16"/>
  <c r="D114" i="16"/>
  <c r="D120" i="16" s="1"/>
  <c r="P113" i="16"/>
  <c r="N113" i="16"/>
  <c r="P112" i="16"/>
  <c r="N112" i="16"/>
  <c r="P111" i="16"/>
  <c r="N111" i="16"/>
  <c r="P110" i="16"/>
  <c r="N110" i="16"/>
  <c r="D110" i="16"/>
  <c r="P109" i="16"/>
  <c r="N109" i="16"/>
  <c r="D109" i="16"/>
  <c r="P108" i="16"/>
  <c r="N108" i="16"/>
  <c r="D108" i="16"/>
  <c r="P107" i="16"/>
  <c r="N107" i="16"/>
  <c r="D107" i="16"/>
  <c r="P106" i="16"/>
  <c r="N106" i="16"/>
  <c r="D106" i="16"/>
  <c r="P105" i="16"/>
  <c r="N105" i="16"/>
  <c r="D105" i="16"/>
  <c r="P104" i="16"/>
  <c r="N104" i="16"/>
  <c r="P103" i="16"/>
  <c r="N103" i="16"/>
  <c r="P102" i="16"/>
  <c r="N102" i="16"/>
  <c r="P101" i="16"/>
  <c r="N101" i="16"/>
  <c r="N97" i="16"/>
  <c r="N96" i="16"/>
  <c r="N95" i="16"/>
  <c r="N94" i="16"/>
  <c r="D262" i="16" s="1"/>
  <c r="D268" i="16" s="1"/>
  <c r="N93" i="16"/>
  <c r="N92" i="16"/>
  <c r="N91" i="16"/>
  <c r="N90" i="16"/>
  <c r="N89" i="16"/>
  <c r="D214" i="16" s="1"/>
  <c r="N88" i="16"/>
  <c r="N87" i="16"/>
  <c r="D221" i="16" s="1"/>
  <c r="N86" i="16"/>
  <c r="N85" i="16"/>
  <c r="D219" i="16" s="1"/>
  <c r="N84" i="16"/>
  <c r="N83" i="16"/>
  <c r="N82" i="16"/>
  <c r="D293" i="16" s="1"/>
  <c r="D299" i="16" s="1"/>
  <c r="N81" i="16"/>
  <c r="N80" i="16"/>
  <c r="N79" i="16"/>
  <c r="N78" i="16"/>
  <c r="D195" i="16" s="1"/>
  <c r="N77" i="16"/>
  <c r="D193" i="16" s="1"/>
  <c r="N76" i="16"/>
  <c r="N75" i="16"/>
  <c r="D248" i="16" s="1"/>
  <c r="N74" i="16"/>
  <c r="D246" i="16" s="1"/>
  <c r="N73" i="16"/>
  <c r="D247" i="16" s="1"/>
  <c r="N72" i="16"/>
  <c r="N71" i="16"/>
  <c r="D267" i="16" s="1"/>
  <c r="N70" i="16"/>
  <c r="D231" i="16" s="1"/>
  <c r="N69" i="16"/>
  <c r="N68" i="16"/>
  <c r="N67" i="16"/>
  <c r="N66" i="16"/>
  <c r="D263" i="16" s="1"/>
  <c r="N65" i="16"/>
  <c r="N64" i="16"/>
  <c r="D241" i="16" s="1"/>
  <c r="N63" i="16"/>
  <c r="D238" i="16" s="1"/>
  <c r="N62" i="16"/>
  <c r="D237" i="16" s="1"/>
  <c r="N61" i="16"/>
  <c r="D239" i="16" s="1"/>
  <c r="N60" i="16"/>
  <c r="D285" i="16" s="1"/>
  <c r="N59" i="16"/>
  <c r="D286" i="16" s="1"/>
  <c r="D290" i="16" s="1"/>
  <c r="N58" i="16"/>
  <c r="N57" i="16"/>
  <c r="D289" i="16" s="1"/>
  <c r="N56" i="16"/>
  <c r="N55" i="16"/>
  <c r="N54" i="16"/>
  <c r="N53" i="16"/>
  <c r="N52" i="16"/>
  <c r="D288" i="16" s="1"/>
  <c r="N51" i="16"/>
  <c r="D254" i="16" s="1"/>
  <c r="D259" i="16" s="1"/>
  <c r="N50" i="16"/>
  <c r="D255" i="16" s="1"/>
  <c r="N49" i="16"/>
  <c r="N48" i="16"/>
  <c r="N47" i="16"/>
  <c r="N46" i="16"/>
  <c r="D258" i="16" s="1"/>
  <c r="N45" i="16"/>
  <c r="N44" i="16"/>
  <c r="N43" i="16"/>
  <c r="N42" i="16"/>
  <c r="D281" i="16" s="1"/>
  <c r="N41" i="16"/>
  <c r="D278" i="16" s="1"/>
  <c r="N40" i="16"/>
  <c r="N39" i="16"/>
  <c r="D209" i="16" s="1"/>
  <c r="N38" i="16"/>
  <c r="N37" i="16"/>
  <c r="N36" i="16"/>
  <c r="N35" i="16"/>
  <c r="D205" i="16" s="1"/>
  <c r="N34" i="16"/>
  <c r="D207" i="16" s="1"/>
  <c r="N33" i="16"/>
  <c r="D202" i="16" s="1"/>
  <c r="N32" i="16"/>
  <c r="N31" i="16"/>
  <c r="N30" i="16"/>
  <c r="N29" i="16"/>
  <c r="N28" i="16"/>
  <c r="N27" i="16"/>
  <c r="D297" i="16" s="1"/>
  <c r="N26" i="16"/>
  <c r="N25" i="16"/>
  <c r="N24" i="16"/>
  <c r="N23" i="16"/>
  <c r="N22" i="16"/>
  <c r="D191" i="16" s="1"/>
  <c r="D198" i="16" s="1"/>
  <c r="N21" i="16"/>
  <c r="N20" i="16"/>
  <c r="N19" i="16"/>
  <c r="N18" i="16"/>
  <c r="N17" i="16"/>
  <c r="N16" i="16"/>
  <c r="N15" i="16"/>
  <c r="D272" i="16" s="1"/>
  <c r="N14" i="16"/>
  <c r="N13" i="16"/>
  <c r="D271" i="16" s="1"/>
  <c r="D275" i="16" s="1"/>
  <c r="N12" i="16"/>
  <c r="N11" i="16"/>
  <c r="N10" i="16"/>
  <c r="N9" i="16"/>
  <c r="N8" i="16"/>
  <c r="N7" i="16"/>
  <c r="N6" i="16"/>
  <c r="N5" i="16"/>
  <c r="N4" i="16"/>
  <c r="N3" i="16"/>
  <c r="D104" i="16" s="1"/>
  <c r="N2" i="16"/>
  <c r="I198" i="15"/>
  <c r="H197" i="15"/>
  <c r="D197" i="15"/>
  <c r="G196" i="15"/>
  <c r="E196" i="15"/>
  <c r="G195" i="15"/>
  <c r="E195" i="15"/>
  <c r="G194" i="15"/>
  <c r="E194" i="15"/>
  <c r="G193" i="15"/>
  <c r="E193" i="15"/>
  <c r="G192" i="15"/>
  <c r="E192" i="15"/>
  <c r="G191" i="15"/>
  <c r="E191" i="15"/>
  <c r="G190" i="15"/>
  <c r="E190" i="15"/>
  <c r="G189" i="15"/>
  <c r="E189" i="15"/>
  <c r="G188" i="15"/>
  <c r="E188" i="15"/>
  <c r="G187" i="15"/>
  <c r="E187" i="15"/>
  <c r="G186" i="15"/>
  <c r="E186" i="15"/>
  <c r="G185" i="15"/>
  <c r="E185" i="15"/>
  <c r="G184" i="15"/>
  <c r="E184" i="15"/>
  <c r="G183" i="15"/>
  <c r="E183" i="15"/>
  <c r="G182" i="15"/>
  <c r="E182" i="15"/>
  <c r="G181" i="15"/>
  <c r="E181" i="15"/>
  <c r="G180" i="15"/>
  <c r="E180" i="15"/>
  <c r="G179" i="15"/>
  <c r="E179" i="15"/>
  <c r="G178" i="15"/>
  <c r="E178" i="15"/>
  <c r="G177" i="15"/>
  <c r="E177" i="15"/>
  <c r="G176" i="15"/>
  <c r="E176" i="15"/>
  <c r="G175" i="15"/>
  <c r="E175" i="15"/>
  <c r="G174" i="15"/>
  <c r="E174" i="15"/>
  <c r="G173" i="15"/>
  <c r="E173" i="15"/>
  <c r="G172" i="15"/>
  <c r="E172" i="15"/>
  <c r="G171" i="15"/>
  <c r="E171" i="15"/>
  <c r="G170" i="15"/>
  <c r="E170" i="15"/>
  <c r="G169" i="15"/>
  <c r="E169" i="15"/>
  <c r="G168" i="15"/>
  <c r="E168" i="15"/>
  <c r="G167" i="15"/>
  <c r="E167" i="15"/>
  <c r="G166" i="15"/>
  <c r="E166" i="15"/>
  <c r="E165" i="15"/>
  <c r="G164" i="15"/>
  <c r="E164" i="15"/>
  <c r="G163" i="15"/>
  <c r="E163" i="15"/>
  <c r="G162" i="15"/>
  <c r="E162" i="15"/>
  <c r="G161" i="15"/>
  <c r="E161" i="15"/>
  <c r="G160" i="15"/>
  <c r="E160" i="15"/>
  <c r="G159" i="15"/>
  <c r="E159" i="15"/>
  <c r="G158" i="15"/>
  <c r="E158" i="15"/>
  <c r="G157" i="15"/>
  <c r="E157" i="15"/>
  <c r="G156" i="15"/>
  <c r="E156" i="15"/>
  <c r="G155" i="15"/>
  <c r="E155" i="15"/>
  <c r="G154" i="15"/>
  <c r="E154" i="15"/>
  <c r="G153" i="15"/>
  <c r="E153" i="15"/>
  <c r="G152" i="15"/>
  <c r="E152" i="15"/>
  <c r="G151" i="15"/>
  <c r="E151" i="15"/>
  <c r="G150" i="15"/>
  <c r="E150" i="15"/>
  <c r="G149" i="15"/>
  <c r="E149" i="15"/>
  <c r="G148" i="15"/>
  <c r="E148" i="15"/>
  <c r="G147" i="15"/>
  <c r="E147" i="15"/>
  <c r="G146" i="15"/>
  <c r="E146" i="15"/>
  <c r="G145" i="15"/>
  <c r="E145" i="15"/>
  <c r="G144" i="15"/>
  <c r="E144" i="15"/>
  <c r="G143" i="15"/>
  <c r="E143" i="15"/>
  <c r="G142" i="15"/>
  <c r="E142" i="15"/>
  <c r="G141" i="15"/>
  <c r="E141" i="15"/>
  <c r="G140" i="15"/>
  <c r="E140" i="15"/>
  <c r="G139" i="15"/>
  <c r="E139" i="15"/>
  <c r="G138" i="15"/>
  <c r="E138" i="15"/>
  <c r="G137" i="15"/>
  <c r="E137" i="15"/>
  <c r="G136" i="15"/>
  <c r="E136" i="15"/>
  <c r="G135" i="15"/>
  <c r="E135" i="15"/>
  <c r="G134" i="15"/>
  <c r="E134" i="15"/>
  <c r="G133" i="15"/>
  <c r="E133" i="15"/>
  <c r="G132" i="15"/>
  <c r="E132" i="15"/>
  <c r="G131" i="15"/>
  <c r="E131" i="15"/>
  <c r="G130" i="15"/>
  <c r="E130" i="15"/>
  <c r="G129" i="15"/>
  <c r="E129" i="15"/>
  <c r="G128" i="15"/>
  <c r="E128" i="15"/>
  <c r="G127" i="15"/>
  <c r="E127" i="15"/>
  <c r="G126" i="15"/>
  <c r="E126" i="15"/>
  <c r="G125" i="15"/>
  <c r="E125" i="15"/>
  <c r="G124" i="15"/>
  <c r="E124" i="15"/>
  <c r="G123" i="15"/>
  <c r="E123" i="15"/>
  <c r="G122" i="15"/>
  <c r="E122" i="15"/>
  <c r="G121" i="15"/>
  <c r="E121" i="15"/>
  <c r="G120" i="15"/>
  <c r="E120" i="15"/>
  <c r="G119" i="15"/>
  <c r="E119" i="15"/>
  <c r="G118" i="15"/>
  <c r="E118" i="15"/>
  <c r="G117" i="15"/>
  <c r="E117" i="15"/>
  <c r="G116" i="15"/>
  <c r="E116" i="15"/>
  <c r="G115" i="15"/>
  <c r="E115" i="15"/>
  <c r="G114" i="15"/>
  <c r="E114" i="15"/>
  <c r="G113" i="15"/>
  <c r="E113" i="15"/>
  <c r="G112" i="15"/>
  <c r="E112" i="15"/>
  <c r="G111" i="15"/>
  <c r="E111" i="15"/>
  <c r="G110" i="15"/>
  <c r="E110" i="15"/>
  <c r="G109" i="15"/>
  <c r="E109" i="15"/>
  <c r="G108" i="15"/>
  <c r="E108" i="15"/>
  <c r="G107" i="15"/>
  <c r="E107" i="15"/>
  <c r="G106" i="15"/>
  <c r="E106" i="15"/>
  <c r="G105" i="15"/>
  <c r="E105" i="15"/>
  <c r="G104" i="15"/>
  <c r="E104" i="15"/>
  <c r="G103" i="15"/>
  <c r="E103" i="15"/>
  <c r="G102" i="15"/>
  <c r="E102" i="15"/>
  <c r="G101" i="15"/>
  <c r="E101" i="15"/>
  <c r="N97" i="15"/>
  <c r="N96" i="15"/>
  <c r="N95" i="15"/>
  <c r="N94" i="15"/>
  <c r="N93" i="15"/>
  <c r="N92" i="15"/>
  <c r="N91" i="15"/>
  <c r="N90" i="15"/>
  <c r="N89" i="15"/>
  <c r="N88" i="15"/>
  <c r="N87" i="15"/>
  <c r="N86" i="15"/>
  <c r="N85" i="15"/>
  <c r="N84" i="15"/>
  <c r="N83" i="15"/>
  <c r="N82" i="15"/>
  <c r="N81" i="15"/>
  <c r="N80" i="15"/>
  <c r="N79" i="15"/>
  <c r="N78" i="15"/>
  <c r="N77" i="15"/>
  <c r="N76" i="15"/>
  <c r="N75" i="15"/>
  <c r="N74" i="15"/>
  <c r="N73" i="15"/>
  <c r="N72" i="15"/>
  <c r="N71" i="15"/>
  <c r="N70" i="15"/>
  <c r="N69" i="15"/>
  <c r="N68" i="15"/>
  <c r="N67" i="15"/>
  <c r="N66" i="15"/>
  <c r="N65" i="15"/>
  <c r="N64" i="15"/>
  <c r="N63" i="15"/>
  <c r="N62" i="15"/>
  <c r="N61" i="15"/>
  <c r="N60" i="15"/>
  <c r="N59" i="15"/>
  <c r="N58" i="15"/>
  <c r="N57" i="15"/>
  <c r="N56" i="15"/>
  <c r="N55" i="15"/>
  <c r="N54" i="15"/>
  <c r="N53" i="15"/>
  <c r="N52" i="15"/>
  <c r="N51" i="15"/>
  <c r="N50" i="15"/>
  <c r="N49" i="15"/>
  <c r="N48" i="15"/>
  <c r="N47" i="15"/>
  <c r="N46" i="15"/>
  <c r="N45" i="15"/>
  <c r="N44" i="15"/>
  <c r="N43" i="15"/>
  <c r="N42" i="15"/>
  <c r="N41" i="15"/>
  <c r="N40" i="15"/>
  <c r="N39" i="15"/>
  <c r="N38" i="15"/>
  <c r="N37" i="15"/>
  <c r="N36" i="15"/>
  <c r="N35" i="15"/>
  <c r="N34" i="15"/>
  <c r="N33" i="15"/>
  <c r="N32" i="15"/>
  <c r="N31" i="15"/>
  <c r="N30" i="15"/>
  <c r="N29" i="15"/>
  <c r="N28" i="15"/>
  <c r="N27" i="15"/>
  <c r="N26" i="15"/>
  <c r="N25" i="15"/>
  <c r="N24" i="15"/>
  <c r="N23" i="15"/>
  <c r="N22" i="15"/>
  <c r="N21" i="15"/>
  <c r="N20" i="15"/>
  <c r="N19" i="15"/>
  <c r="N18" i="15"/>
  <c r="N17" i="15"/>
  <c r="N16" i="15"/>
  <c r="N15" i="15"/>
  <c r="N14" i="15"/>
  <c r="N13" i="15"/>
  <c r="N12" i="15"/>
  <c r="N11" i="15"/>
  <c r="N10" i="15"/>
  <c r="N9" i="15"/>
  <c r="N8" i="15"/>
  <c r="N7" i="15"/>
  <c r="N6" i="15"/>
  <c r="N5" i="15"/>
  <c r="N4" i="15"/>
  <c r="N3" i="15"/>
  <c r="N2" i="15"/>
  <c r="N98" i="15" s="1"/>
  <c r="C161" i="14"/>
  <c r="G127" i="14"/>
  <c r="F127" i="14"/>
  <c r="H126" i="14"/>
  <c r="H125" i="14"/>
  <c r="H124" i="14"/>
  <c r="H123" i="14"/>
  <c r="H122" i="14"/>
  <c r="H121" i="14"/>
  <c r="H120" i="14"/>
  <c r="H119" i="14"/>
  <c r="H118" i="14"/>
  <c r="H117" i="14"/>
  <c r="H116" i="14"/>
  <c r="H115" i="14"/>
  <c r="H114" i="14"/>
  <c r="H113" i="14"/>
  <c r="H112" i="14"/>
  <c r="H111" i="14"/>
  <c r="H110" i="14"/>
  <c r="H109" i="14"/>
  <c r="H108" i="14"/>
  <c r="H107" i="14"/>
  <c r="H106" i="14"/>
  <c r="H105" i="14"/>
  <c r="H104" i="14"/>
  <c r="H103" i="14"/>
  <c r="H102" i="14"/>
  <c r="H101" i="14"/>
  <c r="H100" i="14"/>
  <c r="H99" i="14"/>
  <c r="H98" i="14"/>
  <c r="H97" i="14"/>
  <c r="H96" i="14"/>
  <c r="H95" i="14"/>
  <c r="H94" i="14"/>
  <c r="H93" i="14"/>
  <c r="H92" i="14"/>
  <c r="H91" i="14"/>
  <c r="H90" i="14"/>
  <c r="H89" i="14"/>
  <c r="H88" i="14"/>
  <c r="H87" i="14"/>
  <c r="H86" i="14"/>
  <c r="H85" i="14"/>
  <c r="H84" i="14"/>
  <c r="H83" i="14"/>
  <c r="H82" i="14"/>
  <c r="H81" i="14"/>
  <c r="H80" i="14"/>
  <c r="H79" i="14"/>
  <c r="H78" i="14"/>
  <c r="H77" i="14"/>
  <c r="H76" i="14"/>
  <c r="H75" i="14"/>
  <c r="H74" i="14"/>
  <c r="H73" i="14"/>
  <c r="H72" i="14"/>
  <c r="H71" i="14"/>
  <c r="H70" i="14"/>
  <c r="H69" i="14"/>
  <c r="K68" i="14"/>
  <c r="H68" i="14"/>
  <c r="H67" i="14"/>
  <c r="H66" i="14"/>
  <c r="H65" i="14"/>
  <c r="H64" i="14"/>
  <c r="H63" i="14"/>
  <c r="H62" i="14"/>
  <c r="H61" i="14"/>
  <c r="K60" i="14"/>
  <c r="H60" i="14"/>
  <c r="H59" i="14"/>
  <c r="H58" i="14"/>
  <c r="H57" i="14"/>
  <c r="K56" i="14"/>
  <c r="H56" i="14"/>
  <c r="H55" i="14"/>
  <c r="H54" i="14"/>
  <c r="H53" i="14"/>
  <c r="H52" i="14"/>
  <c r="H51" i="14"/>
  <c r="H50" i="14"/>
  <c r="H49" i="14"/>
  <c r="H48" i="14"/>
  <c r="H47" i="14"/>
  <c r="H46" i="14"/>
  <c r="H45" i="14"/>
  <c r="K44" i="14"/>
  <c r="J44" i="14"/>
  <c r="H44" i="14"/>
  <c r="L43" i="14"/>
  <c r="H43" i="14"/>
  <c r="H42" i="14"/>
  <c r="H41" i="14"/>
  <c r="H40" i="14"/>
  <c r="H39" i="14"/>
  <c r="H38" i="14"/>
  <c r="H37" i="14"/>
  <c r="H36" i="14"/>
  <c r="H35" i="14"/>
  <c r="H34" i="14"/>
  <c r="H33" i="14"/>
  <c r="H32" i="14"/>
  <c r="H31" i="14"/>
  <c r="G21" i="14"/>
  <c r="F21" i="14"/>
  <c r="H20" i="14"/>
  <c r="H19" i="14"/>
  <c r="H18" i="14"/>
  <c r="H17" i="14"/>
  <c r="H16" i="14"/>
  <c r="H15" i="14"/>
  <c r="H14" i="14"/>
  <c r="H13" i="14"/>
  <c r="H12" i="14"/>
  <c r="K11" i="14"/>
  <c r="H11" i="14"/>
  <c r="H10" i="14"/>
  <c r="H9" i="14"/>
  <c r="K8" i="14"/>
  <c r="H8" i="14"/>
  <c r="K7" i="14"/>
  <c r="H7" i="14"/>
  <c r="H6" i="14"/>
  <c r="H5" i="14"/>
  <c r="K4" i="14"/>
  <c r="H4" i="14"/>
  <c r="K3" i="14"/>
  <c r="H3" i="14"/>
  <c r="H21" i="14" s="1"/>
  <c r="H2" i="14"/>
  <c r="N120" i="13"/>
  <c r="M120" i="13"/>
  <c r="L120" i="13"/>
  <c r="K120" i="13"/>
  <c r="J120" i="13"/>
  <c r="I120" i="13"/>
  <c r="H120" i="13"/>
  <c r="G120" i="13"/>
  <c r="F120" i="13"/>
  <c r="E120" i="13"/>
  <c r="D120" i="13"/>
  <c r="C120" i="13"/>
  <c r="B120" i="13"/>
  <c r="C77" i="13"/>
  <c r="D56" i="13"/>
  <c r="G52" i="13"/>
  <c r="L47" i="13"/>
  <c r="D45" i="13"/>
  <c r="J40" i="13"/>
  <c r="N22" i="13"/>
  <c r="M22" i="13"/>
  <c r="L22" i="13"/>
  <c r="K22" i="13"/>
  <c r="J22" i="13"/>
  <c r="I22" i="13"/>
  <c r="H22" i="13"/>
  <c r="G22" i="13"/>
  <c r="F22" i="13"/>
  <c r="E22" i="13"/>
  <c r="D22" i="13"/>
  <c r="C22" i="13"/>
  <c r="B22" i="13"/>
  <c r="R10" i="13"/>
  <c r="M21" i="13" s="1"/>
  <c r="R7" i="13"/>
  <c r="H42" i="13" s="1"/>
  <c r="B7" i="13"/>
  <c r="R6" i="13"/>
  <c r="B6" i="13"/>
  <c r="R5" i="13"/>
  <c r="G104" i="13" s="1"/>
  <c r="C5" i="13"/>
  <c r="B4" i="13"/>
  <c r="B3" i="13"/>
  <c r="F101" i="12"/>
  <c r="F100" i="12"/>
  <c r="F98" i="12"/>
  <c r="F97" i="12"/>
  <c r="F88" i="12"/>
  <c r="F89" i="12" s="1"/>
  <c r="F86" i="12"/>
  <c r="F87" i="12" s="1"/>
  <c r="F85" i="12"/>
  <c r="F83" i="12"/>
  <c r="F84" i="12" s="1"/>
  <c r="F67" i="12"/>
  <c r="F66" i="12"/>
  <c r="F65" i="12"/>
  <c r="F42" i="12"/>
  <c r="F43" i="12" s="1"/>
  <c r="F41" i="12"/>
  <c r="F36" i="12"/>
  <c r="F37" i="12" s="1"/>
  <c r="F15" i="12"/>
  <c r="F14" i="12"/>
  <c r="F11" i="12"/>
  <c r="F10" i="12"/>
  <c r="I103" i="11"/>
  <c r="L103" i="11" s="1"/>
  <c r="K102" i="11"/>
  <c r="J102" i="11"/>
  <c r="I102" i="11"/>
  <c r="K101" i="11"/>
  <c r="J101" i="11"/>
  <c r="I101" i="11"/>
  <c r="H101" i="11"/>
  <c r="K100" i="11"/>
  <c r="J100" i="11"/>
  <c r="I100" i="11"/>
  <c r="H100" i="11"/>
  <c r="K99" i="11"/>
  <c r="J99" i="11"/>
  <c r="I99" i="11"/>
  <c r="H99" i="11"/>
  <c r="K98" i="11"/>
  <c r="J98" i="11"/>
  <c r="I98" i="11"/>
  <c r="H98" i="11"/>
  <c r="K97" i="11"/>
  <c r="J97" i="11"/>
  <c r="I97" i="11"/>
  <c r="H97" i="11"/>
  <c r="K96" i="11"/>
  <c r="J96" i="11"/>
  <c r="I96" i="11"/>
  <c r="H96" i="11"/>
  <c r="K95" i="11"/>
  <c r="J95" i="11"/>
  <c r="I95" i="11"/>
  <c r="H95" i="11"/>
  <c r="K94" i="11"/>
  <c r="J94" i="11"/>
  <c r="I94" i="11"/>
  <c r="H94" i="11"/>
  <c r="K93" i="11"/>
  <c r="J93" i="11"/>
  <c r="I93" i="11"/>
  <c r="H93" i="11"/>
  <c r="K92" i="11"/>
  <c r="J92" i="11"/>
  <c r="I92" i="11"/>
  <c r="H92" i="11"/>
  <c r="K91" i="11"/>
  <c r="J91" i="11"/>
  <c r="I91" i="11"/>
  <c r="H91" i="11"/>
  <c r="K90" i="11"/>
  <c r="J90" i="11"/>
  <c r="I90" i="11"/>
  <c r="H90" i="11"/>
  <c r="K89" i="11"/>
  <c r="J89" i="11"/>
  <c r="I89" i="11"/>
  <c r="H89" i="11"/>
  <c r="K88" i="11"/>
  <c r="J88" i="11"/>
  <c r="I88" i="11"/>
  <c r="H88" i="11"/>
  <c r="K87" i="11"/>
  <c r="J87" i="11"/>
  <c r="I87" i="11"/>
  <c r="H87" i="11"/>
  <c r="K86" i="11"/>
  <c r="J86" i="11"/>
  <c r="I86" i="11"/>
  <c r="H86" i="11"/>
  <c r="K85" i="11"/>
  <c r="J85" i="11"/>
  <c r="I85" i="11"/>
  <c r="H85" i="11"/>
  <c r="K84" i="11"/>
  <c r="J84" i="11"/>
  <c r="I84" i="11"/>
  <c r="H84" i="11"/>
  <c r="K83" i="11"/>
  <c r="J83" i="11"/>
  <c r="I83" i="11"/>
  <c r="H83" i="11"/>
  <c r="K82" i="11"/>
  <c r="J82" i="11"/>
  <c r="I82" i="11"/>
  <c r="H82" i="11"/>
  <c r="K81" i="11"/>
  <c r="J81" i="11"/>
  <c r="I81" i="11"/>
  <c r="H81" i="11"/>
  <c r="K80" i="11"/>
  <c r="J80" i="11"/>
  <c r="I80" i="11"/>
  <c r="H80" i="11"/>
  <c r="K79" i="11"/>
  <c r="J79" i="11"/>
  <c r="I79" i="11"/>
  <c r="H79" i="11"/>
  <c r="K78" i="11"/>
  <c r="J78" i="11"/>
  <c r="I78" i="11"/>
  <c r="H78" i="11"/>
  <c r="K77" i="11"/>
  <c r="J77" i="11"/>
  <c r="I77" i="11"/>
  <c r="H77" i="11"/>
  <c r="K76" i="11"/>
  <c r="J76" i="11"/>
  <c r="I76" i="11"/>
  <c r="H76" i="11"/>
  <c r="K75" i="11"/>
  <c r="J75" i="11"/>
  <c r="I75" i="11"/>
  <c r="H75" i="11"/>
  <c r="K74" i="11"/>
  <c r="J74" i="11"/>
  <c r="I74" i="11"/>
  <c r="H74" i="11"/>
  <c r="K73" i="11"/>
  <c r="J73" i="11"/>
  <c r="I73" i="11"/>
  <c r="H73" i="11"/>
  <c r="K72" i="11"/>
  <c r="J72" i="11"/>
  <c r="I72" i="11"/>
  <c r="H72" i="11"/>
  <c r="K71" i="11"/>
  <c r="J71" i="11"/>
  <c r="I71" i="11"/>
  <c r="H71" i="11"/>
  <c r="K70" i="11"/>
  <c r="J70" i="11"/>
  <c r="I70" i="11"/>
  <c r="H70" i="11"/>
  <c r="K69" i="11"/>
  <c r="J69" i="11"/>
  <c r="I69" i="11"/>
  <c r="H69" i="11"/>
  <c r="K68" i="11"/>
  <c r="J68" i="11"/>
  <c r="I68" i="11"/>
  <c r="H68" i="11"/>
  <c r="K67" i="11"/>
  <c r="J67" i="11"/>
  <c r="I67" i="11"/>
  <c r="H67" i="11"/>
  <c r="K66" i="11"/>
  <c r="J66" i="11"/>
  <c r="I66" i="11"/>
  <c r="H66" i="11"/>
  <c r="K65" i="11"/>
  <c r="J65" i="11"/>
  <c r="I65" i="11"/>
  <c r="H65" i="11"/>
  <c r="K64" i="11"/>
  <c r="J64" i="11"/>
  <c r="I64" i="11"/>
  <c r="H64" i="11"/>
  <c r="K63" i="11"/>
  <c r="J63" i="11"/>
  <c r="I63" i="11"/>
  <c r="H63" i="11"/>
  <c r="K62" i="11"/>
  <c r="J62" i="11"/>
  <c r="I62" i="11"/>
  <c r="H62" i="11"/>
  <c r="K61" i="11"/>
  <c r="J61" i="11"/>
  <c r="I61" i="11"/>
  <c r="H61" i="11"/>
  <c r="K60" i="11"/>
  <c r="J60" i="11"/>
  <c r="I60" i="11"/>
  <c r="H60" i="11"/>
  <c r="K59" i="11"/>
  <c r="J59" i="11"/>
  <c r="I59" i="11"/>
  <c r="H59" i="11"/>
  <c r="K58" i="11"/>
  <c r="J58" i="11"/>
  <c r="I58" i="11"/>
  <c r="H58" i="11"/>
  <c r="K57" i="11"/>
  <c r="J57" i="11"/>
  <c r="I57" i="11"/>
  <c r="H57" i="11"/>
  <c r="K56" i="11"/>
  <c r="J56" i="11"/>
  <c r="I56" i="11"/>
  <c r="H56" i="11"/>
  <c r="K55" i="11"/>
  <c r="J55" i="11"/>
  <c r="I55" i="11"/>
  <c r="H55" i="11"/>
  <c r="K54" i="11"/>
  <c r="J54" i="11"/>
  <c r="I54" i="11"/>
  <c r="H54" i="11"/>
  <c r="K53" i="11"/>
  <c r="J53" i="11"/>
  <c r="I53" i="11"/>
  <c r="H53" i="11"/>
  <c r="K52" i="11"/>
  <c r="J52" i="11"/>
  <c r="I52" i="11"/>
  <c r="H52" i="11"/>
  <c r="K51" i="11"/>
  <c r="J51" i="11"/>
  <c r="I51" i="11"/>
  <c r="H51" i="11"/>
  <c r="K50" i="11"/>
  <c r="J50" i="11"/>
  <c r="I50" i="11"/>
  <c r="H50" i="11"/>
  <c r="K49" i="11"/>
  <c r="J49" i="11"/>
  <c r="I49" i="11"/>
  <c r="H49" i="11"/>
  <c r="K48" i="11"/>
  <c r="J48" i="11"/>
  <c r="I48" i="11"/>
  <c r="H48" i="11"/>
  <c r="K47" i="11"/>
  <c r="J47" i="11"/>
  <c r="I47" i="11"/>
  <c r="H47" i="11"/>
  <c r="K46" i="11"/>
  <c r="J46" i="11"/>
  <c r="I46" i="11"/>
  <c r="H46" i="11"/>
  <c r="K45" i="11"/>
  <c r="J45" i="11"/>
  <c r="I45" i="11"/>
  <c r="H45" i="11"/>
  <c r="K44" i="11"/>
  <c r="J44" i="11"/>
  <c r="I44" i="11"/>
  <c r="H44" i="11"/>
  <c r="K43" i="11"/>
  <c r="J43" i="11"/>
  <c r="I43" i="11"/>
  <c r="H43" i="11"/>
  <c r="K42" i="11"/>
  <c r="J42" i="11"/>
  <c r="I42" i="11"/>
  <c r="H42" i="11"/>
  <c r="K41" i="11"/>
  <c r="J41" i="11"/>
  <c r="I41" i="11"/>
  <c r="H41" i="11"/>
  <c r="K40" i="11"/>
  <c r="J40" i="11"/>
  <c r="I40" i="11"/>
  <c r="H40" i="11"/>
  <c r="K39" i="11"/>
  <c r="J39" i="11"/>
  <c r="I39" i="11"/>
  <c r="H39" i="11"/>
  <c r="K38" i="11"/>
  <c r="J38" i="11"/>
  <c r="I38" i="11"/>
  <c r="H38" i="11"/>
  <c r="K37" i="11"/>
  <c r="J37" i="11"/>
  <c r="I37" i="11"/>
  <c r="H37" i="11"/>
  <c r="K36" i="11"/>
  <c r="J36" i="11"/>
  <c r="I36" i="11"/>
  <c r="H36" i="11"/>
  <c r="K35" i="11"/>
  <c r="J35" i="11"/>
  <c r="I35" i="11"/>
  <c r="H35" i="11"/>
  <c r="K34" i="11"/>
  <c r="J34" i="11"/>
  <c r="I34" i="11"/>
  <c r="H34" i="11"/>
  <c r="K33" i="11"/>
  <c r="J33" i="11"/>
  <c r="I33" i="11"/>
  <c r="H33" i="11"/>
  <c r="K32" i="11"/>
  <c r="J32" i="11"/>
  <c r="I32" i="11"/>
  <c r="H32" i="11"/>
  <c r="K31" i="11"/>
  <c r="J31" i="11"/>
  <c r="I31" i="11"/>
  <c r="H31" i="11"/>
  <c r="K30" i="11"/>
  <c r="J30" i="11"/>
  <c r="I30" i="11"/>
  <c r="H30" i="11"/>
  <c r="K29" i="11"/>
  <c r="J29" i="11"/>
  <c r="I29" i="11"/>
  <c r="H29" i="11"/>
  <c r="K28" i="11"/>
  <c r="J28" i="11"/>
  <c r="I28" i="11"/>
  <c r="H28" i="11"/>
  <c r="K27" i="11"/>
  <c r="J27" i="11"/>
  <c r="I27" i="11"/>
  <c r="H27" i="11"/>
  <c r="K26" i="11"/>
  <c r="J26" i="11"/>
  <c r="I26" i="11"/>
  <c r="H26" i="11"/>
  <c r="K25" i="11"/>
  <c r="J25" i="11"/>
  <c r="I25" i="11"/>
  <c r="H25" i="11"/>
  <c r="K24" i="11"/>
  <c r="J24" i="11"/>
  <c r="I24" i="11"/>
  <c r="H24" i="11"/>
  <c r="K23" i="11"/>
  <c r="J23" i="11"/>
  <c r="I23" i="11"/>
  <c r="H23" i="11"/>
  <c r="K22" i="11"/>
  <c r="J22" i="11"/>
  <c r="I22" i="11"/>
  <c r="H22" i="11"/>
  <c r="K21" i="11"/>
  <c r="J21" i="11"/>
  <c r="I21" i="11"/>
  <c r="H21" i="11"/>
  <c r="K20" i="11"/>
  <c r="J20" i="11"/>
  <c r="I20" i="11"/>
  <c r="H20" i="11"/>
  <c r="K19" i="11"/>
  <c r="J19" i="11"/>
  <c r="I19" i="11"/>
  <c r="H19" i="11"/>
  <c r="K18" i="11"/>
  <c r="J18" i="11"/>
  <c r="I18" i="11"/>
  <c r="H18" i="11"/>
  <c r="K17" i="11"/>
  <c r="J17" i="11"/>
  <c r="I17" i="11"/>
  <c r="H17" i="11"/>
  <c r="K16" i="11"/>
  <c r="J16" i="11"/>
  <c r="I16" i="11"/>
  <c r="H16" i="11"/>
  <c r="K15" i="11"/>
  <c r="J15" i="11"/>
  <c r="I15" i="11"/>
  <c r="H15" i="11"/>
  <c r="K14" i="11"/>
  <c r="J14" i="11"/>
  <c r="I14" i="11"/>
  <c r="H14" i="11"/>
  <c r="K13" i="11"/>
  <c r="J13" i="11"/>
  <c r="I13" i="11"/>
  <c r="H13" i="11"/>
  <c r="K12" i="11"/>
  <c r="J12" i="11"/>
  <c r="I12" i="11"/>
  <c r="H12" i="11"/>
  <c r="K11" i="11"/>
  <c r="J11" i="11"/>
  <c r="I11" i="11"/>
  <c r="H11" i="11"/>
  <c r="K10" i="11"/>
  <c r="J10" i="11"/>
  <c r="I10" i="11"/>
  <c r="H10" i="11"/>
  <c r="K9" i="11"/>
  <c r="J9" i="11"/>
  <c r="I9" i="11"/>
  <c r="H9" i="11"/>
  <c r="K8" i="11"/>
  <c r="J8" i="11"/>
  <c r="I8" i="11"/>
  <c r="H8" i="11"/>
  <c r="K7" i="11"/>
  <c r="J7" i="11"/>
  <c r="I7" i="11"/>
  <c r="H7" i="11"/>
  <c r="K6" i="11"/>
  <c r="J6" i="11"/>
  <c r="I6" i="11"/>
  <c r="H6" i="11"/>
  <c r="K5" i="11"/>
  <c r="J5" i="11"/>
  <c r="I5" i="11"/>
  <c r="H5" i="11"/>
  <c r="K4" i="11"/>
  <c r="J4" i="11"/>
  <c r="I4" i="11"/>
  <c r="H4" i="11"/>
  <c r="K3" i="11"/>
  <c r="J3" i="11"/>
  <c r="I3" i="11"/>
  <c r="H3" i="11"/>
  <c r="K2" i="11"/>
  <c r="K103" i="11" s="1"/>
  <c r="M103" i="11" s="1"/>
  <c r="J2" i="11"/>
  <c r="J103" i="11" s="1"/>
  <c r="I2" i="11"/>
  <c r="H2" i="11"/>
  <c r="K102" i="10"/>
  <c r="K102" i="12" s="1"/>
  <c r="K103" i="12" s="1"/>
  <c r="M103" i="12" s="1"/>
  <c r="J102" i="10"/>
  <c r="J102" i="12" s="1"/>
  <c r="J103" i="12" s="1"/>
  <c r="I102" i="10"/>
  <c r="I102" i="12" s="1"/>
  <c r="I103" i="12" s="1"/>
  <c r="L103" i="12" s="1"/>
  <c r="H102" i="10"/>
  <c r="H102" i="12" s="1"/>
  <c r="K101" i="10"/>
  <c r="J101" i="10"/>
  <c r="I101" i="10"/>
  <c r="H101" i="10"/>
  <c r="H101" i="12" s="1"/>
  <c r="H103" i="12" s="1"/>
  <c r="K100" i="10"/>
  <c r="J100" i="10"/>
  <c r="I100" i="10"/>
  <c r="H100" i="10"/>
  <c r="K99" i="10"/>
  <c r="J99" i="10"/>
  <c r="I99" i="10"/>
  <c r="H99" i="10"/>
  <c r="K98" i="10"/>
  <c r="J98" i="10"/>
  <c r="I98" i="10"/>
  <c r="H98" i="10"/>
  <c r="K97" i="10"/>
  <c r="J97" i="10"/>
  <c r="I97" i="10"/>
  <c r="H97" i="10"/>
  <c r="K96" i="10"/>
  <c r="J96" i="10"/>
  <c r="I96" i="10"/>
  <c r="H96" i="10"/>
  <c r="K95" i="10"/>
  <c r="J95" i="10"/>
  <c r="I95" i="10"/>
  <c r="H95" i="10"/>
  <c r="K94" i="10"/>
  <c r="J94" i="10"/>
  <c r="I94" i="10"/>
  <c r="H94" i="10"/>
  <c r="K93" i="10"/>
  <c r="J93" i="10"/>
  <c r="I93" i="10"/>
  <c r="H93" i="10"/>
  <c r="K92" i="10"/>
  <c r="J92" i="10"/>
  <c r="I92" i="10"/>
  <c r="H92" i="10"/>
  <c r="K91" i="10"/>
  <c r="J91" i="10"/>
  <c r="I91" i="10"/>
  <c r="H91" i="10"/>
  <c r="K90" i="10"/>
  <c r="J90" i="10"/>
  <c r="I90" i="10"/>
  <c r="H90" i="10"/>
  <c r="K89" i="10"/>
  <c r="J89" i="10"/>
  <c r="I89" i="10"/>
  <c r="H89" i="10"/>
  <c r="K88" i="10"/>
  <c r="J88" i="10"/>
  <c r="I88" i="10"/>
  <c r="H88" i="10"/>
  <c r="K87" i="10"/>
  <c r="J87" i="10"/>
  <c r="I87" i="10"/>
  <c r="H87" i="10"/>
  <c r="K86" i="10"/>
  <c r="J86" i="10"/>
  <c r="I86" i="10"/>
  <c r="H86" i="10"/>
  <c r="K85" i="10"/>
  <c r="J85" i="10"/>
  <c r="I85" i="10"/>
  <c r="H85" i="10"/>
  <c r="K84" i="10"/>
  <c r="J84" i="10"/>
  <c r="I84" i="10"/>
  <c r="H84" i="10"/>
  <c r="K83" i="10"/>
  <c r="J83" i="10"/>
  <c r="I83" i="10"/>
  <c r="H83" i="10"/>
  <c r="K82" i="10"/>
  <c r="J82" i="10"/>
  <c r="I82" i="10"/>
  <c r="H82" i="10"/>
  <c r="K81" i="10"/>
  <c r="J81" i="10"/>
  <c r="I81" i="10"/>
  <c r="H81" i="10"/>
  <c r="K80" i="10"/>
  <c r="J80" i="10"/>
  <c r="I80" i="10"/>
  <c r="H80" i="10"/>
  <c r="K79" i="10"/>
  <c r="J79" i="10"/>
  <c r="I79" i="10"/>
  <c r="I103" i="10" s="1"/>
  <c r="H79" i="10"/>
  <c r="K78" i="10"/>
  <c r="J78" i="10"/>
  <c r="I78" i="10"/>
  <c r="H78" i="10"/>
  <c r="K77" i="10"/>
  <c r="J77" i="10"/>
  <c r="I77" i="10"/>
  <c r="H77" i="10"/>
  <c r="L76" i="10"/>
  <c r="K76" i="10"/>
  <c r="J76" i="10"/>
  <c r="I76" i="10"/>
  <c r="H76" i="10"/>
  <c r="K75" i="10"/>
  <c r="J75" i="10"/>
  <c r="I75" i="10"/>
  <c r="H75" i="10"/>
  <c r="K74" i="10"/>
  <c r="J74" i="10"/>
  <c r="I74" i="10"/>
  <c r="H74" i="10"/>
  <c r="K73" i="10"/>
  <c r="J73" i="10"/>
  <c r="I73" i="10"/>
  <c r="H73" i="10"/>
  <c r="K72" i="10"/>
  <c r="J72" i="10"/>
  <c r="I72" i="10"/>
  <c r="H72" i="10"/>
  <c r="K71" i="10"/>
  <c r="J71" i="10"/>
  <c r="I71" i="10"/>
  <c r="H71" i="10"/>
  <c r="K70" i="10"/>
  <c r="J70" i="10"/>
  <c r="I70" i="10"/>
  <c r="H70" i="10"/>
  <c r="K69" i="10"/>
  <c r="J69" i="10"/>
  <c r="I69" i="10"/>
  <c r="H69" i="10"/>
  <c r="K68" i="10"/>
  <c r="J68" i="10"/>
  <c r="I68" i="10"/>
  <c r="H68" i="10"/>
  <c r="K67" i="10"/>
  <c r="J67" i="10"/>
  <c r="I67" i="10"/>
  <c r="H67" i="10"/>
  <c r="K66" i="10"/>
  <c r="J66" i="10"/>
  <c r="I66" i="10"/>
  <c r="H66" i="10"/>
  <c r="K65" i="10"/>
  <c r="J65" i="10"/>
  <c r="I65" i="10"/>
  <c r="H65" i="10"/>
  <c r="K64" i="10"/>
  <c r="J64" i="10"/>
  <c r="I64" i="10"/>
  <c r="H64" i="10"/>
  <c r="K63" i="10"/>
  <c r="J63" i="10"/>
  <c r="I63" i="10"/>
  <c r="H63" i="10"/>
  <c r="K62" i="10"/>
  <c r="J62" i="10"/>
  <c r="I62" i="10"/>
  <c r="H62" i="10"/>
  <c r="K61" i="10"/>
  <c r="J61" i="10"/>
  <c r="I61" i="10"/>
  <c r="H61" i="10"/>
  <c r="K60" i="10"/>
  <c r="J60" i="10"/>
  <c r="I60" i="10"/>
  <c r="H60" i="10"/>
  <c r="K59" i="10"/>
  <c r="J59" i="10"/>
  <c r="I59" i="10"/>
  <c r="H59" i="10"/>
  <c r="K58" i="10"/>
  <c r="J58" i="10"/>
  <c r="I58" i="10"/>
  <c r="H58" i="10"/>
  <c r="K57" i="10"/>
  <c r="J57" i="10"/>
  <c r="I57" i="10"/>
  <c r="H57" i="10"/>
  <c r="K56" i="10"/>
  <c r="J56" i="10"/>
  <c r="I56" i="10"/>
  <c r="H56" i="10"/>
  <c r="K55" i="10"/>
  <c r="J55" i="10"/>
  <c r="I55" i="10"/>
  <c r="H55" i="10"/>
  <c r="K54" i="10"/>
  <c r="J54" i="10"/>
  <c r="I54" i="10"/>
  <c r="H54" i="10"/>
  <c r="K53" i="10"/>
  <c r="J53" i="10"/>
  <c r="I53" i="10"/>
  <c r="H53" i="10"/>
  <c r="K52" i="10"/>
  <c r="J52" i="10"/>
  <c r="I52" i="10"/>
  <c r="H52" i="10"/>
  <c r="K51" i="10"/>
  <c r="J51" i="10"/>
  <c r="I51" i="10"/>
  <c r="H51" i="10"/>
  <c r="K50" i="10"/>
  <c r="J50" i="10"/>
  <c r="I50" i="10"/>
  <c r="H50" i="10"/>
  <c r="K49" i="10"/>
  <c r="J49" i="10"/>
  <c r="I49" i="10"/>
  <c r="H49" i="10"/>
  <c r="K48" i="10"/>
  <c r="J48" i="10"/>
  <c r="I48" i="10"/>
  <c r="H48" i="10"/>
  <c r="K47" i="10"/>
  <c r="J47" i="10"/>
  <c r="I47" i="10"/>
  <c r="H47" i="10"/>
  <c r="K46" i="10"/>
  <c r="J46" i="10"/>
  <c r="I46" i="10"/>
  <c r="H46" i="10"/>
  <c r="K45" i="10"/>
  <c r="J45" i="10"/>
  <c r="I45" i="10"/>
  <c r="H45" i="10"/>
  <c r="K44" i="10"/>
  <c r="J44" i="10"/>
  <c r="I44" i="10"/>
  <c r="H44" i="10"/>
  <c r="K43" i="10"/>
  <c r="J43" i="10"/>
  <c r="I43" i="10"/>
  <c r="H43" i="10"/>
  <c r="K42" i="10"/>
  <c r="J42" i="10"/>
  <c r="I42" i="10"/>
  <c r="H42" i="10"/>
  <c r="K41" i="10"/>
  <c r="J41" i="10"/>
  <c r="I41" i="10"/>
  <c r="H41" i="10"/>
  <c r="K40" i="10"/>
  <c r="J40" i="10"/>
  <c r="I40" i="10"/>
  <c r="H40" i="10"/>
  <c r="K39" i="10"/>
  <c r="J39" i="10"/>
  <c r="I39" i="10"/>
  <c r="H39" i="10"/>
  <c r="K38" i="10"/>
  <c r="J38" i="10"/>
  <c r="I38" i="10"/>
  <c r="H38" i="10"/>
  <c r="K37" i="10"/>
  <c r="J37" i="10"/>
  <c r="I37" i="10"/>
  <c r="H37" i="10"/>
  <c r="K36" i="10"/>
  <c r="J36" i="10"/>
  <c r="I36" i="10"/>
  <c r="H36" i="10"/>
  <c r="K35" i="10"/>
  <c r="J35" i="10"/>
  <c r="I35" i="10"/>
  <c r="H35" i="10"/>
  <c r="K34" i="10"/>
  <c r="J34" i="10"/>
  <c r="I34" i="10"/>
  <c r="H34" i="10"/>
  <c r="K33" i="10"/>
  <c r="J33" i="10"/>
  <c r="I33" i="10"/>
  <c r="H33" i="10"/>
  <c r="K32" i="10"/>
  <c r="J32" i="10"/>
  <c r="I32" i="10"/>
  <c r="H32" i="10"/>
  <c r="K31" i="10"/>
  <c r="J31" i="10"/>
  <c r="I31" i="10"/>
  <c r="H31" i="10"/>
  <c r="K30" i="10"/>
  <c r="J30" i="10"/>
  <c r="I30" i="10"/>
  <c r="H30" i="10"/>
  <c r="K29" i="10"/>
  <c r="J29" i="10"/>
  <c r="I29" i="10"/>
  <c r="H29" i="10"/>
  <c r="K28" i="10"/>
  <c r="J28" i="10"/>
  <c r="I28" i="10"/>
  <c r="H28" i="10"/>
  <c r="K27" i="10"/>
  <c r="J27" i="10"/>
  <c r="I27" i="10"/>
  <c r="H27" i="10"/>
  <c r="K26" i="10"/>
  <c r="J26" i="10"/>
  <c r="I26" i="10"/>
  <c r="H26" i="10"/>
  <c r="K25" i="10"/>
  <c r="J25" i="10"/>
  <c r="I25" i="10"/>
  <c r="H25" i="10"/>
  <c r="K24" i="10"/>
  <c r="J24" i="10"/>
  <c r="I24" i="10"/>
  <c r="H24" i="10"/>
  <c r="K23" i="10"/>
  <c r="J23" i="10"/>
  <c r="I23" i="10"/>
  <c r="H23" i="10"/>
  <c r="K22" i="10"/>
  <c r="J22" i="10"/>
  <c r="I22" i="10"/>
  <c r="H22" i="10"/>
  <c r="K21" i="10"/>
  <c r="J21" i="10"/>
  <c r="I21" i="10"/>
  <c r="H21" i="10"/>
  <c r="K20" i="10"/>
  <c r="J20" i="10"/>
  <c r="I20" i="10"/>
  <c r="H20" i="10"/>
  <c r="K19" i="10"/>
  <c r="J19" i="10"/>
  <c r="I19" i="10"/>
  <c r="H19" i="10"/>
  <c r="K18" i="10"/>
  <c r="J18" i="10"/>
  <c r="I18" i="10"/>
  <c r="H18" i="10"/>
  <c r="K17" i="10"/>
  <c r="J17" i="10"/>
  <c r="I17" i="10"/>
  <c r="H17" i="10"/>
  <c r="K16" i="10"/>
  <c r="J16" i="10"/>
  <c r="I16" i="10"/>
  <c r="H16" i="10"/>
  <c r="K15" i="10"/>
  <c r="J15" i="10"/>
  <c r="I15" i="10"/>
  <c r="H15" i="10"/>
  <c r="K14" i="10"/>
  <c r="J14" i="10"/>
  <c r="I14" i="10"/>
  <c r="H14" i="10"/>
  <c r="K13" i="10"/>
  <c r="J13" i="10"/>
  <c r="I13" i="10"/>
  <c r="H13" i="10"/>
  <c r="K12" i="10"/>
  <c r="J12" i="10"/>
  <c r="I12" i="10"/>
  <c r="H12" i="10"/>
  <c r="K11" i="10"/>
  <c r="J11" i="10"/>
  <c r="I11" i="10"/>
  <c r="H11" i="10"/>
  <c r="K10" i="10"/>
  <c r="J10" i="10"/>
  <c r="I10" i="10"/>
  <c r="H10" i="10"/>
  <c r="K9" i="10"/>
  <c r="J9" i="10"/>
  <c r="I9" i="10"/>
  <c r="H9" i="10"/>
  <c r="K8" i="10"/>
  <c r="J8" i="10"/>
  <c r="I8" i="10"/>
  <c r="H8" i="10"/>
  <c r="K7" i="10"/>
  <c r="J7" i="10"/>
  <c r="I7" i="10"/>
  <c r="H7" i="10"/>
  <c r="K6" i="10"/>
  <c r="J6" i="10"/>
  <c r="I6" i="10"/>
  <c r="H6" i="10"/>
  <c r="K5" i="10"/>
  <c r="J5" i="10"/>
  <c r="I5" i="10"/>
  <c r="H5" i="10"/>
  <c r="K4" i="10"/>
  <c r="J4" i="10"/>
  <c r="I4" i="10"/>
  <c r="H4" i="10"/>
  <c r="K3" i="10"/>
  <c r="K103" i="10" s="1"/>
  <c r="J3" i="10"/>
  <c r="I3" i="10"/>
  <c r="H3" i="10"/>
  <c r="K2" i="10"/>
  <c r="J2" i="10"/>
  <c r="J103" i="10" s="1"/>
  <c r="I2" i="10"/>
  <c r="H2" i="10"/>
  <c r="H103" i="10" s="1"/>
  <c r="O104" i="9"/>
  <c r="N104" i="9"/>
  <c r="M103" i="9"/>
  <c r="O103" i="9" s="1"/>
  <c r="L103" i="9"/>
  <c r="M102" i="9"/>
  <c r="L102" i="9"/>
  <c r="K102" i="9"/>
  <c r="K103" i="9" s="1"/>
  <c r="N103" i="9" s="1"/>
  <c r="J102" i="9"/>
  <c r="J103" i="9" s="1"/>
  <c r="H103" i="7"/>
  <c r="G103" i="7"/>
  <c r="D120" i="6"/>
  <c r="CX23" i="6"/>
  <c r="CL23" i="6"/>
  <c r="BZ23" i="6"/>
  <c r="BN23" i="6"/>
  <c r="BB23" i="6"/>
  <c r="AP23" i="6"/>
  <c r="AD23" i="6"/>
  <c r="R23" i="6"/>
  <c r="H23" i="6" a="1"/>
  <c r="CW23" i="6" s="1"/>
  <c r="D22" i="6"/>
  <c r="C22" i="6"/>
  <c r="F12" i="6"/>
  <c r="Z2" i="6"/>
  <c r="S2" i="6"/>
  <c r="R2" i="6"/>
  <c r="Q2" i="6"/>
  <c r="N2" i="6"/>
  <c r="H2" i="6" a="1"/>
  <c r="P2" i="6" s="1"/>
  <c r="H2" i="6"/>
  <c r="G157" i="4"/>
  <c r="G159" i="4" s="1"/>
  <c r="G152" i="4"/>
  <c r="G146" i="4"/>
  <c r="K142" i="4"/>
  <c r="G140" i="4"/>
  <c r="K137" i="4"/>
  <c r="B137" i="4"/>
  <c r="G136" i="4"/>
  <c r="G132" i="4"/>
  <c r="K131" i="4"/>
  <c r="B131" i="4"/>
  <c r="C124" i="4"/>
  <c r="F124" i="4" s="1"/>
  <c r="C116" i="4"/>
  <c r="C111" i="4"/>
  <c r="C108" i="4"/>
  <c r="C104" i="4"/>
  <c r="C99" i="4"/>
  <c r="C84" i="4"/>
  <c r="C77" i="4"/>
  <c r="C71" i="4"/>
  <c r="C48" i="4"/>
  <c r="C47" i="4"/>
  <c r="C25" i="4"/>
  <c r="F25" i="4" s="1"/>
  <c r="C16" i="4"/>
  <c r="C15" i="4"/>
  <c r="H12" i="4"/>
  <c r="H11" i="4"/>
  <c r="G149" i="3"/>
  <c r="K147" i="3"/>
  <c r="G144" i="3"/>
  <c r="K142" i="3"/>
  <c r="G138" i="3"/>
  <c r="K136" i="3"/>
  <c r="G133" i="3"/>
  <c r="K131" i="3"/>
  <c r="G129" i="3"/>
  <c r="G151" i="3" s="1"/>
  <c r="B129" i="3"/>
  <c r="B131" i="3" s="1"/>
  <c r="C116" i="3"/>
  <c r="C115" i="3"/>
  <c r="C111" i="3"/>
  <c r="C108" i="3"/>
  <c r="C104" i="3"/>
  <c r="C99" i="3"/>
  <c r="C84" i="3"/>
  <c r="C77" i="3"/>
  <c r="C71" i="3"/>
  <c r="C48" i="3"/>
  <c r="C47" i="3"/>
  <c r="C124" i="3" s="1"/>
  <c r="F124" i="3" s="1"/>
  <c r="F25" i="3"/>
  <c r="C25" i="3"/>
  <c r="H12" i="3"/>
  <c r="H11" i="3"/>
  <c r="K144" i="2"/>
  <c r="G144" i="2"/>
  <c r="G146" i="2" s="1"/>
  <c r="G140" i="2"/>
  <c r="K139" i="2"/>
  <c r="G134" i="2"/>
  <c r="K131" i="2"/>
  <c r="B131" i="2"/>
  <c r="G129" i="2"/>
  <c r="B129" i="2"/>
  <c r="C116" i="2"/>
  <c r="C115" i="2"/>
  <c r="C111" i="2"/>
  <c r="C108" i="2"/>
  <c r="C104" i="2"/>
  <c r="C84" i="2"/>
  <c r="C77" i="2"/>
  <c r="C124" i="2" s="1"/>
  <c r="F124" i="2" s="1"/>
  <c r="C71" i="2"/>
  <c r="C48" i="2"/>
  <c r="C47" i="2"/>
  <c r="C25" i="2"/>
  <c r="F25" i="2" s="1"/>
  <c r="H12" i="2"/>
  <c r="H11" i="2"/>
  <c r="Q105" i="7" l="1"/>
  <c r="R105" i="7"/>
  <c r="M103" i="10"/>
  <c r="L103" i="10"/>
  <c r="H23" i="6"/>
  <c r="S23" i="6"/>
  <c r="AE23" i="6"/>
  <c r="AQ23" i="6"/>
  <c r="BC23" i="6"/>
  <c r="BO23" i="6"/>
  <c r="CA23" i="6"/>
  <c r="CM23" i="6"/>
  <c r="CY23" i="6"/>
  <c r="C3" i="13"/>
  <c r="C4" i="13"/>
  <c r="D5" i="13"/>
  <c r="D6" i="13"/>
  <c r="C7" i="13"/>
  <c r="B8" i="13"/>
  <c r="B9" i="13"/>
  <c r="C10" i="13"/>
  <c r="C11" i="13"/>
  <c r="C12" i="13"/>
  <c r="C13" i="13"/>
  <c r="C14" i="13"/>
  <c r="D15" i="13"/>
  <c r="E16" i="13"/>
  <c r="E17" i="13"/>
  <c r="E18" i="13"/>
  <c r="E19" i="13"/>
  <c r="F20" i="13"/>
  <c r="I21" i="13"/>
  <c r="I24" i="13"/>
  <c r="K25" i="13"/>
  <c r="B27" i="13"/>
  <c r="F28" i="13"/>
  <c r="B30" i="13"/>
  <c r="B32" i="13"/>
  <c r="B34" i="13"/>
  <c r="J36" i="13"/>
  <c r="J38" i="13"/>
  <c r="D41" i="13"/>
  <c r="E43" i="13"/>
  <c r="E45" i="13"/>
  <c r="M47" i="13"/>
  <c r="M49" i="13"/>
  <c r="H52" i="13"/>
  <c r="E56" i="13"/>
  <c r="J60" i="13"/>
  <c r="F68" i="13"/>
  <c r="J78" i="13"/>
  <c r="J115" i="13"/>
  <c r="T23" i="6"/>
  <c r="AF23" i="6"/>
  <c r="AR23" i="6"/>
  <c r="BD23" i="6"/>
  <c r="BP23" i="6"/>
  <c r="CB23" i="6"/>
  <c r="CN23" i="6"/>
  <c r="D3" i="13"/>
  <c r="E4" i="13"/>
  <c r="E5" i="13"/>
  <c r="E6" i="13"/>
  <c r="D7" i="13"/>
  <c r="C8" i="13"/>
  <c r="D9" i="13"/>
  <c r="D10" i="13"/>
  <c r="D11" i="13"/>
  <c r="D12" i="13"/>
  <c r="D13" i="13"/>
  <c r="E14" i="13"/>
  <c r="E15" i="13"/>
  <c r="F16" i="13"/>
  <c r="F17" i="13"/>
  <c r="F18" i="13"/>
  <c r="G19" i="13"/>
  <c r="G20" i="13"/>
  <c r="J21" i="13"/>
  <c r="J24" i="13"/>
  <c r="L25" i="13"/>
  <c r="D27" i="13"/>
  <c r="G28" i="13"/>
  <c r="C30" i="13"/>
  <c r="C32" i="13"/>
  <c r="K34" i="13"/>
  <c r="K36" i="13"/>
  <c r="K38" i="13"/>
  <c r="E41" i="13"/>
  <c r="F43" i="13"/>
  <c r="N45" i="13"/>
  <c r="N47" i="13"/>
  <c r="N49" i="13"/>
  <c r="J52" i="13"/>
  <c r="F56" i="13"/>
  <c r="K60" i="13"/>
  <c r="H68" i="13"/>
  <c r="I80" i="13"/>
  <c r="L119" i="13"/>
  <c r="T2" i="6"/>
  <c r="I23" i="6"/>
  <c r="U23" i="6"/>
  <c r="AG23" i="6"/>
  <c r="AS23" i="6"/>
  <c r="BE23" i="6"/>
  <c r="BQ23" i="6"/>
  <c r="CC23" i="6"/>
  <c r="CO23" i="6"/>
  <c r="E3" i="13"/>
  <c r="F4" i="13"/>
  <c r="G5" i="13"/>
  <c r="F6" i="13"/>
  <c r="E7" i="13"/>
  <c r="D8" i="13"/>
  <c r="E9" i="13"/>
  <c r="F10" i="13"/>
  <c r="E11" i="13"/>
  <c r="E12" i="13"/>
  <c r="E13" i="13"/>
  <c r="F14" i="13"/>
  <c r="G15" i="13"/>
  <c r="G16" i="13"/>
  <c r="G17" i="13"/>
  <c r="G18" i="13"/>
  <c r="H19" i="13"/>
  <c r="I20" i="13"/>
  <c r="K21" i="13"/>
  <c r="K24" i="13"/>
  <c r="N25" i="13"/>
  <c r="E27" i="13"/>
  <c r="H28" i="13"/>
  <c r="D30" i="13"/>
  <c r="D32" i="13"/>
  <c r="L34" i="13"/>
  <c r="L36" i="13"/>
  <c r="F39" i="13"/>
  <c r="F41" i="13"/>
  <c r="G43" i="13"/>
  <c r="P45" i="13"/>
  <c r="P47" i="13"/>
  <c r="I50" i="13"/>
  <c r="F53" i="13"/>
  <c r="C57" i="13"/>
  <c r="P61" i="13"/>
  <c r="D70" i="13"/>
  <c r="E82" i="13"/>
  <c r="B10" i="13"/>
  <c r="B13" i="13"/>
  <c r="D17" i="13"/>
  <c r="D19" i="13"/>
  <c r="F21" i="13"/>
  <c r="N26" i="13"/>
  <c r="L49" i="13"/>
  <c r="G3" i="13"/>
  <c r="G4" i="13"/>
  <c r="H5" i="13"/>
  <c r="G6" i="13"/>
  <c r="F7" i="13"/>
  <c r="F8" i="13"/>
  <c r="F9" i="13"/>
  <c r="G10" i="13"/>
  <c r="F11" i="13"/>
  <c r="F12" i="13"/>
  <c r="G13" i="13"/>
  <c r="G14" i="13"/>
  <c r="H15" i="13"/>
  <c r="H16" i="13"/>
  <c r="H17" i="13"/>
  <c r="I18" i="13"/>
  <c r="I19" i="13"/>
  <c r="K20" i="13"/>
  <c r="L21" i="13"/>
  <c r="L24" i="13"/>
  <c r="C26" i="13"/>
  <c r="F27" i="13"/>
  <c r="J28" i="13"/>
  <c r="F30" i="13"/>
  <c r="L32" i="13"/>
  <c r="M34" i="13"/>
  <c r="M36" i="13"/>
  <c r="G39" i="13"/>
  <c r="H41" i="13"/>
  <c r="B44" i="13"/>
  <c r="B46" i="13"/>
  <c r="B48" i="13"/>
  <c r="J50" i="13"/>
  <c r="H53" i="13"/>
  <c r="D57" i="13"/>
  <c r="B62" i="13"/>
  <c r="E70" i="13"/>
  <c r="I84" i="13"/>
  <c r="B14" i="13"/>
  <c r="M66" i="13"/>
  <c r="U2" i="6"/>
  <c r="V23" i="6"/>
  <c r="AH23" i="6"/>
  <c r="BF23" i="6"/>
  <c r="CP23" i="6"/>
  <c r="J2" i="6"/>
  <c r="V2" i="6"/>
  <c r="K23" i="6"/>
  <c r="W23" i="6"/>
  <c r="AI23" i="6"/>
  <c r="AU23" i="6"/>
  <c r="BG23" i="6"/>
  <c r="BS23" i="6"/>
  <c r="CE23" i="6"/>
  <c r="CQ23" i="6"/>
  <c r="H103" i="11"/>
  <c r="H3" i="13"/>
  <c r="I4" i="13"/>
  <c r="I5" i="13"/>
  <c r="H6" i="13"/>
  <c r="G7" i="13"/>
  <c r="G8" i="13"/>
  <c r="H9" i="13"/>
  <c r="H10" i="13"/>
  <c r="G11" i="13"/>
  <c r="G12" i="13"/>
  <c r="H13" i="13"/>
  <c r="I14" i="13"/>
  <c r="I15" i="13"/>
  <c r="I16" i="13"/>
  <c r="I17" i="13"/>
  <c r="J18" i="13"/>
  <c r="K19" i="13"/>
  <c r="L20" i="13"/>
  <c r="M24" i="13"/>
  <c r="E26" i="13"/>
  <c r="G27" i="13"/>
  <c r="B29" i="13"/>
  <c r="G30" i="13"/>
  <c r="N32" i="13"/>
  <c r="N34" i="13"/>
  <c r="H37" i="13"/>
  <c r="H39" i="13"/>
  <c r="I41" i="13"/>
  <c r="C44" i="13"/>
  <c r="C46" i="13"/>
  <c r="K48" i="13"/>
  <c r="K50" i="13"/>
  <c r="I53" i="13"/>
  <c r="E57" i="13"/>
  <c r="E62" i="13"/>
  <c r="L71" i="13"/>
  <c r="K87" i="13"/>
  <c r="P114" i="13"/>
  <c r="P108" i="13"/>
  <c r="P102" i="13"/>
  <c r="P96" i="13"/>
  <c r="P90" i="13"/>
  <c r="P84" i="13"/>
  <c r="P117" i="13"/>
  <c r="P111" i="13"/>
  <c r="P105" i="13"/>
  <c r="P99" i="13"/>
  <c r="P93" i="13"/>
  <c r="P118" i="13"/>
  <c r="P110" i="13"/>
  <c r="P119" i="13"/>
  <c r="P95" i="13"/>
  <c r="P103" i="13"/>
  <c r="P78" i="13"/>
  <c r="P72" i="13"/>
  <c r="P66" i="13"/>
  <c r="P60" i="13"/>
  <c r="P112" i="13"/>
  <c r="P104" i="13"/>
  <c r="P115" i="13"/>
  <c r="P91" i="13"/>
  <c r="P81" i="13"/>
  <c r="P88" i="13"/>
  <c r="P85" i="13"/>
  <c r="P76" i="13"/>
  <c r="P67" i="13"/>
  <c r="P55" i="13"/>
  <c r="P49" i="13"/>
  <c r="P43" i="13"/>
  <c r="P37" i="13"/>
  <c r="P31" i="13"/>
  <c r="P25" i="13"/>
  <c r="P98" i="13"/>
  <c r="P82" i="13"/>
  <c r="P77" i="13"/>
  <c r="P68" i="13"/>
  <c r="P116" i="13"/>
  <c r="P101" i="13"/>
  <c r="P89" i="13"/>
  <c r="P86" i="13"/>
  <c r="P71" i="13"/>
  <c r="P94" i="13"/>
  <c r="P79" i="13"/>
  <c r="P64" i="13"/>
  <c r="P106" i="13"/>
  <c r="P69" i="13"/>
  <c r="P57" i="13"/>
  <c r="P42" i="13"/>
  <c r="P28" i="13"/>
  <c r="P6" i="13"/>
  <c r="P113" i="13"/>
  <c r="P92" i="13"/>
  <c r="P83" i="13"/>
  <c r="P56" i="13"/>
  <c r="P41" i="13"/>
  <c r="P27" i="13"/>
  <c r="P74" i="13"/>
  <c r="P62" i="13"/>
  <c r="P58" i="13"/>
  <c r="P54" i="13"/>
  <c r="P40" i="13"/>
  <c r="P26" i="13"/>
  <c r="P65" i="13"/>
  <c r="P53" i="13"/>
  <c r="P39" i="13"/>
  <c r="P109" i="13"/>
  <c r="P59" i="13"/>
  <c r="P52" i="13"/>
  <c r="P38" i="13"/>
  <c r="P9" i="13"/>
  <c r="P70" i="13"/>
  <c r="P51" i="13"/>
  <c r="P36" i="13"/>
  <c r="P63" i="13"/>
  <c r="P50" i="13"/>
  <c r="P35" i="13"/>
  <c r="P75" i="13"/>
  <c r="P97" i="13"/>
  <c r="P87" i="13"/>
  <c r="P80" i="13"/>
  <c r="P73" i="13"/>
  <c r="P107" i="13"/>
  <c r="D18" i="13"/>
  <c r="D43" i="13"/>
  <c r="I2" i="6"/>
  <c r="J23" i="6"/>
  <c r="AT23" i="6"/>
  <c r="BR23" i="6"/>
  <c r="CD23" i="6"/>
  <c r="K2" i="6"/>
  <c r="W2" i="6"/>
  <c r="L23" i="6"/>
  <c r="X23" i="6"/>
  <c r="AJ23" i="6"/>
  <c r="AV23" i="6"/>
  <c r="BH23" i="6"/>
  <c r="BT23" i="6"/>
  <c r="CF23" i="6"/>
  <c r="CR23" i="6"/>
  <c r="I3" i="13"/>
  <c r="J4" i="13"/>
  <c r="J5" i="13"/>
  <c r="I6" i="13"/>
  <c r="I7" i="13"/>
  <c r="H8" i="13"/>
  <c r="I9" i="13"/>
  <c r="I10" i="13"/>
  <c r="H11" i="13"/>
  <c r="I12" i="13"/>
  <c r="I13" i="13"/>
  <c r="J14" i="13"/>
  <c r="J15" i="13"/>
  <c r="J16" i="13"/>
  <c r="K17" i="13"/>
  <c r="K18" i="13"/>
  <c r="L19" i="13"/>
  <c r="M20" i="13"/>
  <c r="N21" i="13"/>
  <c r="P24" i="13"/>
  <c r="F26" i="13"/>
  <c r="H27" i="13"/>
  <c r="C29" i="13"/>
  <c r="N30" i="13"/>
  <c r="P32" i="13"/>
  <c r="P34" i="13"/>
  <c r="I37" i="13"/>
  <c r="I39" i="13"/>
  <c r="C42" i="13"/>
  <c r="D44" i="13"/>
  <c r="D46" i="13"/>
  <c r="L48" i="13"/>
  <c r="L50" i="13"/>
  <c r="F54" i="13"/>
  <c r="B58" i="13"/>
  <c r="F63" i="13"/>
  <c r="N71" i="13"/>
  <c r="K90" i="13"/>
  <c r="C15" i="13"/>
  <c r="J25" i="13"/>
  <c r="I60" i="13"/>
  <c r="L2" i="6"/>
  <c r="X2" i="6"/>
  <c r="M23" i="6"/>
  <c r="Y23" i="6"/>
  <c r="AK23" i="6"/>
  <c r="AW23" i="6"/>
  <c r="BI23" i="6"/>
  <c r="BU23" i="6"/>
  <c r="CG23" i="6"/>
  <c r="CS23" i="6"/>
  <c r="K3" i="13"/>
  <c r="K4" i="13"/>
  <c r="K5" i="13"/>
  <c r="J6" i="13"/>
  <c r="J7" i="13"/>
  <c r="J8" i="13"/>
  <c r="J9" i="13"/>
  <c r="J10" i="13"/>
  <c r="I11" i="13"/>
  <c r="J12" i="13"/>
  <c r="K13" i="13"/>
  <c r="K14" i="13"/>
  <c r="K15" i="13"/>
  <c r="K16" i="13"/>
  <c r="L17" i="13"/>
  <c r="M18" i="13"/>
  <c r="M19" i="13"/>
  <c r="N20" i="13"/>
  <c r="P21" i="13"/>
  <c r="D25" i="13"/>
  <c r="G26" i="13"/>
  <c r="I27" i="13"/>
  <c r="D29" i="13"/>
  <c r="P30" i="13"/>
  <c r="B33" i="13"/>
  <c r="J35" i="13"/>
  <c r="J37" i="13"/>
  <c r="J39" i="13"/>
  <c r="D42" i="13"/>
  <c r="E44" i="13"/>
  <c r="M46" i="13"/>
  <c r="M48" i="13"/>
  <c r="N50" i="13"/>
  <c r="G54" i="13"/>
  <c r="C58" i="13"/>
  <c r="G63" i="13"/>
  <c r="J73" i="13"/>
  <c r="C94" i="13"/>
  <c r="M2" i="6"/>
  <c r="Y2" i="6"/>
  <c r="N23" i="6"/>
  <c r="Z23" i="6"/>
  <c r="AL23" i="6"/>
  <c r="AX23" i="6"/>
  <c r="BJ23" i="6"/>
  <c r="BV23" i="6"/>
  <c r="CH23" i="6"/>
  <c r="CT23" i="6"/>
  <c r="L3" i="13"/>
  <c r="L4" i="13"/>
  <c r="L5" i="13"/>
  <c r="L6" i="13"/>
  <c r="K7" i="13"/>
  <c r="K8" i="13"/>
  <c r="K9" i="13"/>
  <c r="K10" i="13"/>
  <c r="K11" i="13"/>
  <c r="K12" i="13"/>
  <c r="L13" i="13"/>
  <c r="L14" i="13"/>
  <c r="L15" i="13"/>
  <c r="M16" i="13"/>
  <c r="M17" i="13"/>
  <c r="N18" i="13"/>
  <c r="N19" i="13"/>
  <c r="P20" i="13"/>
  <c r="F25" i="13"/>
  <c r="H26" i="13"/>
  <c r="J27" i="13"/>
  <c r="E29" i="13"/>
  <c r="B31" i="13"/>
  <c r="C33" i="13"/>
  <c r="K35" i="13"/>
  <c r="K37" i="13"/>
  <c r="E40" i="13"/>
  <c r="F42" i="13"/>
  <c r="F44" i="13"/>
  <c r="N46" i="13"/>
  <c r="N48" i="13"/>
  <c r="H51" i="13"/>
  <c r="H54" i="13"/>
  <c r="D58" i="13"/>
  <c r="K63" i="13"/>
  <c r="K73" i="13"/>
  <c r="I97" i="13"/>
  <c r="O23" i="6"/>
  <c r="AA23" i="6"/>
  <c r="AM23" i="6"/>
  <c r="AY23" i="6"/>
  <c r="BK23" i="6"/>
  <c r="BW23" i="6"/>
  <c r="CI23" i="6"/>
  <c r="CU23" i="6"/>
  <c r="M3" i="13"/>
  <c r="M4" i="13"/>
  <c r="M5" i="13"/>
  <c r="M6" i="13"/>
  <c r="M7" i="13"/>
  <c r="L8" i="13"/>
  <c r="L9" i="13"/>
  <c r="L10" i="13"/>
  <c r="L11" i="13"/>
  <c r="M12" i="13"/>
  <c r="M13" i="13"/>
  <c r="M14" i="13"/>
  <c r="M15" i="13"/>
  <c r="N16" i="13"/>
  <c r="P17" i="13"/>
  <c r="P18" i="13"/>
  <c r="P19" i="13"/>
  <c r="B21" i="13"/>
  <c r="B24" i="13"/>
  <c r="G25" i="13"/>
  <c r="I26" i="13"/>
  <c r="M27" i="13"/>
  <c r="F29" i="13"/>
  <c r="D31" i="13"/>
  <c r="L33" i="13"/>
  <c r="L35" i="13"/>
  <c r="L37" i="13"/>
  <c r="F40" i="13"/>
  <c r="G42" i="13"/>
  <c r="P44" i="13"/>
  <c r="P46" i="13"/>
  <c r="P48" i="13"/>
  <c r="I51" i="13"/>
  <c r="E55" i="13"/>
  <c r="G59" i="13"/>
  <c r="N64" i="13"/>
  <c r="D75" i="13"/>
  <c r="P100" i="13"/>
  <c r="P8" i="13"/>
  <c r="B12" i="13"/>
  <c r="C16" i="13"/>
  <c r="E20" i="13"/>
  <c r="H24" i="13"/>
  <c r="E28" i="13"/>
  <c r="P29" i="13"/>
  <c r="N31" i="13"/>
  <c r="P33" i="13"/>
  <c r="I36" i="13"/>
  <c r="I38" i="13"/>
  <c r="J111" i="13"/>
  <c r="O2" i="6"/>
  <c r="AN23" i="6"/>
  <c r="BL23" i="6"/>
  <c r="BX23" i="6"/>
  <c r="CJ23" i="6"/>
  <c r="N3" i="13"/>
  <c r="N4" i="13"/>
  <c r="P5" i="13"/>
  <c r="N6" i="13"/>
  <c r="N7" i="13"/>
  <c r="M8" i="13"/>
  <c r="M9" i="13"/>
  <c r="N10" i="13"/>
  <c r="M11" i="13"/>
  <c r="N12" i="13"/>
  <c r="N13" i="13"/>
  <c r="N14" i="13"/>
  <c r="P15" i="13"/>
  <c r="P16" i="13"/>
  <c r="B18" i="13"/>
  <c r="B19" i="13"/>
  <c r="B20" i="13"/>
  <c r="D21" i="13"/>
  <c r="D24" i="13"/>
  <c r="H25" i="13"/>
  <c r="J26" i="13"/>
  <c r="C28" i="13"/>
  <c r="H29" i="13"/>
  <c r="E31" i="13"/>
  <c r="M33" i="13"/>
  <c r="M35" i="13"/>
  <c r="G38" i="13"/>
  <c r="G40" i="13"/>
  <c r="B45" i="13"/>
  <c r="B47" i="13"/>
  <c r="J49" i="13"/>
  <c r="J51" i="13"/>
  <c r="F55" i="13"/>
  <c r="H59" i="13"/>
  <c r="B65" i="13"/>
  <c r="F75" i="13"/>
  <c r="P23" i="6"/>
  <c r="AB23" i="6"/>
  <c r="AZ23" i="6"/>
  <c r="CV23" i="6"/>
  <c r="Q23" i="6"/>
  <c r="AC23" i="6"/>
  <c r="AO23" i="6"/>
  <c r="BA23" i="6"/>
  <c r="BM23" i="6"/>
  <c r="BY23" i="6"/>
  <c r="CK23" i="6"/>
  <c r="P3" i="13"/>
  <c r="P4" i="13"/>
  <c r="E119" i="13"/>
  <c r="G118" i="13"/>
  <c r="I117" i="13"/>
  <c r="K116" i="13"/>
  <c r="M115" i="13"/>
  <c r="C114" i="13"/>
  <c r="E113" i="13"/>
  <c r="G112" i="13"/>
  <c r="I111" i="13"/>
  <c r="K110" i="13"/>
  <c r="M109" i="13"/>
  <c r="C108" i="13"/>
  <c r="E107" i="13"/>
  <c r="G106" i="13"/>
  <c r="I105" i="13"/>
  <c r="K104" i="13"/>
  <c r="M103" i="13"/>
  <c r="C102" i="13"/>
  <c r="E101" i="13"/>
  <c r="G100" i="13"/>
  <c r="I99" i="13"/>
  <c r="K98" i="13"/>
  <c r="M97" i="13"/>
  <c r="C96" i="13"/>
  <c r="E95" i="13"/>
  <c r="G94" i="13"/>
  <c r="I93" i="13"/>
  <c r="K92" i="13"/>
  <c r="M91" i="13"/>
  <c r="C90" i="13"/>
  <c r="E89" i="13"/>
  <c r="G88" i="13"/>
  <c r="I87" i="13"/>
  <c r="K86" i="13"/>
  <c r="M85" i="13"/>
  <c r="C84" i="13"/>
  <c r="D119" i="13"/>
  <c r="F118" i="13"/>
  <c r="H117" i="13"/>
  <c r="J116" i="13"/>
  <c r="L115" i="13"/>
  <c r="N114" i="13"/>
  <c r="B114" i="13"/>
  <c r="D113" i="13"/>
  <c r="F112" i="13"/>
  <c r="H111" i="13"/>
  <c r="J110" i="13"/>
  <c r="L109" i="13"/>
  <c r="N108" i="13"/>
  <c r="B108" i="13"/>
  <c r="D107" i="13"/>
  <c r="F106" i="13"/>
  <c r="H105" i="13"/>
  <c r="J104" i="13"/>
  <c r="L103" i="13"/>
  <c r="N102" i="13"/>
  <c r="B102" i="13"/>
  <c r="D101" i="13"/>
  <c r="F100" i="13"/>
  <c r="H99" i="13"/>
  <c r="J98" i="13"/>
  <c r="L97" i="13"/>
  <c r="N96" i="13"/>
  <c r="B96" i="13"/>
  <c r="D95" i="13"/>
  <c r="F94" i="13"/>
  <c r="H93" i="13"/>
  <c r="J92" i="13"/>
  <c r="L91" i="13"/>
  <c r="N90" i="13"/>
  <c r="B90" i="13"/>
  <c r="D89" i="13"/>
  <c r="F88" i="13"/>
  <c r="H87" i="13"/>
  <c r="J86" i="13"/>
  <c r="L85" i="13"/>
  <c r="N84" i="13"/>
  <c r="K119" i="13"/>
  <c r="M118" i="13"/>
  <c r="C117" i="13"/>
  <c r="E116" i="13"/>
  <c r="G115" i="13"/>
  <c r="I114" i="13"/>
  <c r="K113" i="13"/>
  <c r="M112" i="13"/>
  <c r="C111" i="13"/>
  <c r="E110" i="13"/>
  <c r="G109" i="13"/>
  <c r="I108" i="13"/>
  <c r="K107" i="13"/>
  <c r="M106" i="13"/>
  <c r="C105" i="13"/>
  <c r="E104" i="13"/>
  <c r="G103" i="13"/>
  <c r="I102" i="13"/>
  <c r="K101" i="13"/>
  <c r="M100" i="13"/>
  <c r="C99" i="13"/>
  <c r="E98" i="13"/>
  <c r="G97" i="13"/>
  <c r="I96" i="13"/>
  <c r="K95" i="13"/>
  <c r="M94" i="13"/>
  <c r="C93" i="13"/>
  <c r="E92" i="13"/>
  <c r="G91" i="13"/>
  <c r="M117" i="13"/>
  <c r="L116" i="13"/>
  <c r="I115" i="13"/>
  <c r="G114" i="13"/>
  <c r="F113" i="13"/>
  <c r="C112" i="13"/>
  <c r="N109" i="13"/>
  <c r="N118" i="13"/>
  <c r="L117" i="13"/>
  <c r="I116" i="13"/>
  <c r="H115" i="13"/>
  <c r="F114" i="13"/>
  <c r="C113" i="13"/>
  <c r="B112" i="13"/>
  <c r="N110" i="13"/>
  <c r="K109" i="13"/>
  <c r="J108" i="13"/>
  <c r="H107" i="13"/>
  <c r="E106" i="13"/>
  <c r="D105" i="13"/>
  <c r="B104" i="13"/>
  <c r="M102" i="13"/>
  <c r="L101" i="13"/>
  <c r="J100" i="13"/>
  <c r="G99" i="13"/>
  <c r="F98" i="13"/>
  <c r="D97" i="13"/>
  <c r="N94" i="13"/>
  <c r="L93" i="13"/>
  <c r="I92" i="13"/>
  <c r="H91" i="13"/>
  <c r="G90" i="13"/>
  <c r="G89" i="13"/>
  <c r="E88" i="13"/>
  <c r="E87" i="13"/>
  <c r="E86" i="13"/>
  <c r="E85" i="13"/>
  <c r="E84" i="13"/>
  <c r="F83" i="13"/>
  <c r="H82" i="13"/>
  <c r="J81" i="13"/>
  <c r="L80" i="13"/>
  <c r="N79" i="13"/>
  <c r="B79" i="13"/>
  <c r="D78" i="13"/>
  <c r="F77" i="13"/>
  <c r="H76" i="13"/>
  <c r="J75" i="13"/>
  <c r="L74" i="13"/>
  <c r="N73" i="13"/>
  <c r="B73" i="13"/>
  <c r="D72" i="13"/>
  <c r="F71" i="13"/>
  <c r="H70" i="13"/>
  <c r="J69" i="13"/>
  <c r="L68" i="13"/>
  <c r="N67" i="13"/>
  <c r="B67" i="13"/>
  <c r="D66" i="13"/>
  <c r="F65" i="13"/>
  <c r="H64" i="13"/>
  <c r="J63" i="13"/>
  <c r="L62" i="13"/>
  <c r="N61" i="13"/>
  <c r="B61" i="13"/>
  <c r="D60" i="13"/>
  <c r="F59" i="13"/>
  <c r="H58" i="13"/>
  <c r="N119" i="13"/>
  <c r="L118" i="13"/>
  <c r="K117" i="13"/>
  <c r="H116" i="13"/>
  <c r="F115" i="13"/>
  <c r="E114" i="13"/>
  <c r="B113" i="13"/>
  <c r="N111" i="13"/>
  <c r="M110" i="13"/>
  <c r="J109" i="13"/>
  <c r="H108" i="13"/>
  <c r="G107" i="13"/>
  <c r="D106" i="13"/>
  <c r="B105" i="13"/>
  <c r="L102" i="13"/>
  <c r="J101" i="13"/>
  <c r="I100" i="13"/>
  <c r="F99" i="13"/>
  <c r="D98" i="13"/>
  <c r="C97" i="13"/>
  <c r="N95" i="13"/>
  <c r="L94" i="13"/>
  <c r="K93" i="13"/>
  <c r="H92" i="13"/>
  <c r="F91" i="13"/>
  <c r="F90" i="13"/>
  <c r="F89" i="13"/>
  <c r="D88" i="13"/>
  <c r="D87" i="13"/>
  <c r="D86" i="13"/>
  <c r="D85" i="13"/>
  <c r="D84" i="13"/>
  <c r="E83" i="13"/>
  <c r="G82" i="13"/>
  <c r="I81" i="13"/>
  <c r="K80" i="13"/>
  <c r="M79" i="13"/>
  <c r="C78" i="13"/>
  <c r="E77" i="13"/>
  <c r="G76" i="13"/>
  <c r="I75" i="13"/>
  <c r="K74" i="13"/>
  <c r="M73" i="13"/>
  <c r="C72" i="13"/>
  <c r="E71" i="13"/>
  <c r="G70" i="13"/>
  <c r="I69" i="13"/>
  <c r="K68" i="13"/>
  <c r="M67" i="13"/>
  <c r="C66" i="13"/>
  <c r="E65" i="13"/>
  <c r="G64" i="13"/>
  <c r="I63" i="13"/>
  <c r="K62" i="13"/>
  <c r="M61" i="13"/>
  <c r="C60" i="13"/>
  <c r="E59" i="13"/>
  <c r="G58" i="13"/>
  <c r="M119" i="13"/>
  <c r="K118" i="13"/>
  <c r="J117" i="13"/>
  <c r="G116" i="13"/>
  <c r="E115" i="13"/>
  <c r="D114" i="13"/>
  <c r="M111" i="13"/>
  <c r="L110" i="13"/>
  <c r="I109" i="13"/>
  <c r="G108" i="13"/>
  <c r="F107" i="13"/>
  <c r="C106" i="13"/>
  <c r="N103" i="13"/>
  <c r="K102" i="13"/>
  <c r="I101" i="13"/>
  <c r="H100" i="13"/>
  <c r="E99" i="13"/>
  <c r="C98" i="13"/>
  <c r="B97" i="13"/>
  <c r="M95" i="13"/>
  <c r="K94" i="13"/>
  <c r="J93" i="13"/>
  <c r="G92" i="13"/>
  <c r="E91" i="13"/>
  <c r="E90" i="13"/>
  <c r="C89" i="13"/>
  <c r="C88" i="13"/>
  <c r="C87" i="13"/>
  <c r="C86" i="13"/>
  <c r="C85" i="13"/>
  <c r="B84" i="13"/>
  <c r="D83" i="13"/>
  <c r="F82" i="13"/>
  <c r="H81" i="13"/>
  <c r="J80" i="13"/>
  <c r="L79" i="13"/>
  <c r="N78" i="13"/>
  <c r="B78" i="13"/>
  <c r="D77" i="13"/>
  <c r="F76" i="13"/>
  <c r="H75" i="13"/>
  <c r="J74" i="13"/>
  <c r="L73" i="13"/>
  <c r="N72" i="13"/>
  <c r="B72" i="13"/>
  <c r="D71" i="13"/>
  <c r="F70" i="13"/>
  <c r="H69" i="13"/>
  <c r="J68" i="13"/>
  <c r="L67" i="13"/>
  <c r="N66" i="13"/>
  <c r="B66" i="13"/>
  <c r="D65" i="13"/>
  <c r="F64" i="13"/>
  <c r="H63" i="13"/>
  <c r="J62" i="13"/>
  <c r="L61" i="13"/>
  <c r="N60" i="13"/>
  <c r="B60" i="13"/>
  <c r="D59" i="13"/>
  <c r="F58" i="13"/>
  <c r="I119" i="13"/>
  <c r="H118" i="13"/>
  <c r="E117" i="13"/>
  <c r="G119" i="13"/>
  <c r="D118" i="13"/>
  <c r="B117" i="13"/>
  <c r="L114" i="13"/>
  <c r="J113" i="13"/>
  <c r="I112" i="13"/>
  <c r="F111" i="13"/>
  <c r="D110" i="13"/>
  <c r="C109" i="13"/>
  <c r="N107" i="13"/>
  <c r="L106" i="13"/>
  <c r="K105" i="13"/>
  <c r="H104" i="13"/>
  <c r="F103" i="13"/>
  <c r="E102" i="13"/>
  <c r="B101" i="13"/>
  <c r="N99" i="13"/>
  <c r="M98" i="13"/>
  <c r="J97" i="13"/>
  <c r="H96" i="13"/>
  <c r="G95" i="13"/>
  <c r="D94" i="13"/>
  <c r="B93" i="13"/>
  <c r="L90" i="13"/>
  <c r="L89" i="13"/>
  <c r="L88" i="13"/>
  <c r="L87" i="13"/>
  <c r="L86" i="13"/>
  <c r="J85" i="13"/>
  <c r="J84" i="13"/>
  <c r="K83" i="13"/>
  <c r="M82" i="13"/>
  <c r="C81" i="13"/>
  <c r="E80" i="13"/>
  <c r="J119" i="13"/>
  <c r="F117" i="13"/>
  <c r="D115" i="13"/>
  <c r="H113" i="13"/>
  <c r="G111" i="13"/>
  <c r="F109" i="13"/>
  <c r="L107" i="13"/>
  <c r="N105" i="13"/>
  <c r="F104" i="13"/>
  <c r="H102" i="13"/>
  <c r="N100" i="13"/>
  <c r="B99" i="13"/>
  <c r="H97" i="13"/>
  <c r="J95" i="13"/>
  <c r="B94" i="13"/>
  <c r="D92" i="13"/>
  <c r="J90" i="13"/>
  <c r="J87" i="13"/>
  <c r="H84" i="13"/>
  <c r="B83" i="13"/>
  <c r="M81" i="13"/>
  <c r="H80" i="13"/>
  <c r="F79" i="13"/>
  <c r="E78" i="13"/>
  <c r="N75" i="13"/>
  <c r="M74" i="13"/>
  <c r="I73" i="13"/>
  <c r="H72" i="13"/>
  <c r="G71" i="13"/>
  <c r="C70" i="13"/>
  <c r="B69" i="13"/>
  <c r="K66" i="13"/>
  <c r="J65" i="13"/>
  <c r="I64" i="13"/>
  <c r="E63" i="13"/>
  <c r="D62" i="13"/>
  <c r="C61" i="13"/>
  <c r="M59" i="13"/>
  <c r="L58" i="13"/>
  <c r="K57" i="13"/>
  <c r="M56" i="13"/>
  <c r="C55" i="13"/>
  <c r="E54" i="13"/>
  <c r="G53" i="13"/>
  <c r="I52" i="13"/>
  <c r="K51" i="13"/>
  <c r="M50" i="13"/>
  <c r="C49" i="13"/>
  <c r="E48" i="13"/>
  <c r="G47" i="13"/>
  <c r="I46" i="13"/>
  <c r="K45" i="13"/>
  <c r="M44" i="13"/>
  <c r="C43" i="13"/>
  <c r="E42" i="13"/>
  <c r="G41" i="13"/>
  <c r="I40" i="13"/>
  <c r="K39" i="13"/>
  <c r="M38" i="13"/>
  <c r="C37" i="13"/>
  <c r="E36" i="13"/>
  <c r="G35" i="13"/>
  <c r="I34" i="13"/>
  <c r="K33" i="13"/>
  <c r="M32" i="13"/>
  <c r="C31" i="13"/>
  <c r="E30" i="13"/>
  <c r="G29" i="13"/>
  <c r="I28" i="13"/>
  <c r="K27" i="13"/>
  <c r="M26" i="13"/>
  <c r="C25" i="13"/>
  <c r="E24" i="13"/>
  <c r="H21" i="13"/>
  <c r="J20" i="13"/>
  <c r="H119" i="13"/>
  <c r="D117" i="13"/>
  <c r="C115" i="13"/>
  <c r="G113" i="13"/>
  <c r="E111" i="13"/>
  <c r="E109" i="13"/>
  <c r="J107" i="13"/>
  <c r="M105" i="13"/>
  <c r="D104" i="13"/>
  <c r="G102" i="13"/>
  <c r="L100" i="13"/>
  <c r="F97" i="13"/>
  <c r="I95" i="13"/>
  <c r="N93" i="13"/>
  <c r="C92" i="13"/>
  <c r="I90" i="13"/>
  <c r="N88" i="13"/>
  <c r="G87" i="13"/>
  <c r="N85" i="13"/>
  <c r="G84" i="13"/>
  <c r="L81" i="13"/>
  <c r="G80" i="13"/>
  <c r="E79" i="13"/>
  <c r="N76" i="13"/>
  <c r="M75" i="13"/>
  <c r="I74" i="13"/>
  <c r="H73" i="13"/>
  <c r="G72" i="13"/>
  <c r="C71" i="13"/>
  <c r="B70" i="13"/>
  <c r="K67" i="13"/>
  <c r="J66" i="13"/>
  <c r="I65" i="13"/>
  <c r="E64" i="13"/>
  <c r="D63" i="13"/>
  <c r="C62" i="13"/>
  <c r="M60" i="13"/>
  <c r="F119" i="13"/>
  <c r="B115" i="13"/>
  <c r="N112" i="13"/>
  <c r="D111" i="13"/>
  <c r="D109" i="13"/>
  <c r="I107" i="13"/>
  <c r="L105" i="13"/>
  <c r="C104" i="13"/>
  <c r="F102" i="13"/>
  <c r="K100" i="13"/>
  <c r="N98" i="13"/>
  <c r="E97" i="13"/>
  <c r="H95" i="13"/>
  <c r="M93" i="13"/>
  <c r="B92" i="13"/>
  <c r="H90" i="13"/>
  <c r="M88" i="13"/>
  <c r="F87" i="13"/>
  <c r="K85" i="13"/>
  <c r="C119" i="13"/>
  <c r="N116" i="13"/>
  <c r="M114" i="13"/>
  <c r="L112" i="13"/>
  <c r="B111" i="13"/>
  <c r="B109" i="13"/>
  <c r="C107" i="13"/>
  <c r="J105" i="13"/>
  <c r="K103" i="13"/>
  <c r="D102" i="13"/>
  <c r="E100" i="13"/>
  <c r="L98" i="13"/>
  <c r="M96" i="13"/>
  <c r="F95" i="13"/>
  <c r="G93" i="13"/>
  <c r="N91" i="13"/>
  <c r="D90" i="13"/>
  <c r="K88" i="13"/>
  <c r="B87" i="13"/>
  <c r="I85" i="13"/>
  <c r="B119" i="13"/>
  <c r="M116" i="13"/>
  <c r="K114" i="13"/>
  <c r="K112" i="13"/>
  <c r="I110" i="13"/>
  <c r="M108" i="13"/>
  <c r="B107" i="13"/>
  <c r="G105" i="13"/>
  <c r="J103" i="13"/>
  <c r="D100" i="13"/>
  <c r="I98" i="13"/>
  <c r="L96" i="13"/>
  <c r="C95" i="13"/>
  <c r="F93" i="13"/>
  <c r="K91" i="13"/>
  <c r="J88" i="13"/>
  <c r="H85" i="13"/>
  <c r="N83" i="13"/>
  <c r="K82" i="13"/>
  <c r="F81" i="13"/>
  <c r="C80" i="13"/>
  <c r="M78" i="13"/>
  <c r="L77" i="13"/>
  <c r="K76" i="13"/>
  <c r="G75" i="13"/>
  <c r="F74" i="13"/>
  <c r="E73" i="13"/>
  <c r="N70" i="13"/>
  <c r="M69" i="13"/>
  <c r="I68" i="13"/>
  <c r="H67" i="13"/>
  <c r="G66" i="13"/>
  <c r="C65" i="13"/>
  <c r="B64" i="13"/>
  <c r="I118" i="13"/>
  <c r="D116" i="13"/>
  <c r="H114" i="13"/>
  <c r="H112" i="13"/>
  <c r="G110" i="13"/>
  <c r="K108" i="13"/>
  <c r="N106" i="13"/>
  <c r="E105" i="13"/>
  <c r="H103" i="13"/>
  <c r="M101" i="13"/>
  <c r="B100" i="13"/>
  <c r="G98" i="13"/>
  <c r="J96" i="13"/>
  <c r="D93" i="13"/>
  <c r="I91" i="13"/>
  <c r="M89" i="13"/>
  <c r="H88" i="13"/>
  <c r="M86" i="13"/>
  <c r="F85" i="13"/>
  <c r="L83" i="13"/>
  <c r="I82" i="13"/>
  <c r="D81" i="13"/>
  <c r="K78" i="13"/>
  <c r="J77" i="13"/>
  <c r="I76" i="13"/>
  <c r="E75" i="13"/>
  <c r="D74" i="13"/>
  <c r="C73" i="13"/>
  <c r="M71" i="13"/>
  <c r="L70" i="13"/>
  <c r="K69" i="13"/>
  <c r="G68" i="13"/>
  <c r="F67" i="13"/>
  <c r="E66" i="13"/>
  <c r="N63" i="13"/>
  <c r="J118" i="13"/>
  <c r="J114" i="13"/>
  <c r="H110" i="13"/>
  <c r="I103" i="13"/>
  <c r="C100" i="13"/>
  <c r="K96" i="13"/>
  <c r="E93" i="13"/>
  <c r="N89" i="13"/>
  <c r="N86" i="13"/>
  <c r="F84" i="13"/>
  <c r="D82" i="13"/>
  <c r="F80" i="13"/>
  <c r="I78" i="13"/>
  <c r="M76" i="13"/>
  <c r="C75" i="13"/>
  <c r="G73" i="13"/>
  <c r="K71" i="13"/>
  <c r="E68" i="13"/>
  <c r="I66" i="13"/>
  <c r="M64" i="13"/>
  <c r="C63" i="13"/>
  <c r="K61" i="13"/>
  <c r="H60" i="13"/>
  <c r="C59" i="13"/>
  <c r="B57" i="13"/>
  <c r="C56" i="13"/>
  <c r="D55" i="13"/>
  <c r="D54" i="13"/>
  <c r="E53" i="13"/>
  <c r="F52" i="13"/>
  <c r="G51" i="13"/>
  <c r="H50" i="13"/>
  <c r="I49" i="13"/>
  <c r="J48" i="13"/>
  <c r="K47" i="13"/>
  <c r="L46" i="13"/>
  <c r="M45" i="13"/>
  <c r="N44" i="13"/>
  <c r="N43" i="13"/>
  <c r="B42" i="13"/>
  <c r="C41" i="13"/>
  <c r="D40" i="13"/>
  <c r="E39" i="13"/>
  <c r="F38" i="13"/>
  <c r="G37" i="13"/>
  <c r="H36" i="13"/>
  <c r="I35" i="13"/>
  <c r="J34" i="13"/>
  <c r="J33" i="13"/>
  <c r="K32" i="13"/>
  <c r="L31" i="13"/>
  <c r="M30" i="13"/>
  <c r="N29" i="13"/>
  <c r="B28" i="13"/>
  <c r="C27" i="13"/>
  <c r="D26" i="13"/>
  <c r="E25" i="13"/>
  <c r="F24" i="13"/>
  <c r="G21" i="13"/>
  <c r="H20" i="13"/>
  <c r="J19" i="13"/>
  <c r="L18" i="13"/>
  <c r="N17" i="13"/>
  <c r="B17" i="13"/>
  <c r="D16" i="13"/>
  <c r="F15" i="13"/>
  <c r="H14" i="13"/>
  <c r="J13" i="13"/>
  <c r="L12" i="13"/>
  <c r="N11" i="13"/>
  <c r="B11" i="13"/>
  <c r="E10" i="13"/>
  <c r="G9" i="13"/>
  <c r="I8" i="13"/>
  <c r="L7" i="13"/>
  <c r="C6" i="13"/>
  <c r="F5" i="13"/>
  <c r="H4" i="13"/>
  <c r="J3" i="13"/>
  <c r="E118" i="13"/>
  <c r="F110" i="13"/>
  <c r="K106" i="13"/>
  <c r="E103" i="13"/>
  <c r="M99" i="13"/>
  <c r="G96" i="13"/>
  <c r="K89" i="13"/>
  <c r="I86" i="13"/>
  <c r="C82" i="13"/>
  <c r="D80" i="13"/>
  <c r="H78" i="13"/>
  <c r="L76" i="13"/>
  <c r="B75" i="13"/>
  <c r="F73" i="13"/>
  <c r="J71" i="13"/>
  <c r="N69" i="13"/>
  <c r="D68" i="13"/>
  <c r="H66" i="13"/>
  <c r="L64" i="13"/>
  <c r="B63" i="13"/>
  <c r="J61" i="13"/>
  <c r="G60" i="13"/>
  <c r="B59" i="13"/>
  <c r="N57" i="13"/>
  <c r="B56" i="13"/>
  <c r="B55" i="13"/>
  <c r="C54" i="13"/>
  <c r="D53" i="13"/>
  <c r="E52" i="13"/>
  <c r="F51" i="13"/>
  <c r="G50" i="13"/>
  <c r="H49" i="13"/>
  <c r="I48" i="13"/>
  <c r="J47" i="13"/>
  <c r="K46" i="13"/>
  <c r="L45" i="13"/>
  <c r="L44" i="13"/>
  <c r="M43" i="13"/>
  <c r="N42" i="13"/>
  <c r="B41" i="13"/>
  <c r="C40" i="13"/>
  <c r="D39" i="13"/>
  <c r="E38" i="13"/>
  <c r="F37" i="13"/>
  <c r="G36" i="13"/>
  <c r="H35" i="13"/>
  <c r="H34" i="13"/>
  <c r="I33" i="13"/>
  <c r="J32" i="13"/>
  <c r="K31" i="13"/>
  <c r="L30" i="13"/>
  <c r="M29" i="13"/>
  <c r="N28" i="13"/>
  <c r="C118" i="13"/>
  <c r="N113" i="13"/>
  <c r="C110" i="13"/>
  <c r="J106" i="13"/>
  <c r="D103" i="13"/>
  <c r="L99" i="13"/>
  <c r="F96" i="13"/>
  <c r="N92" i="13"/>
  <c r="J89" i="13"/>
  <c r="H86" i="13"/>
  <c r="M83" i="13"/>
  <c r="B82" i="13"/>
  <c r="B80" i="13"/>
  <c r="G78" i="13"/>
  <c r="J76" i="13"/>
  <c r="D73" i="13"/>
  <c r="I71" i="13"/>
  <c r="L69" i="13"/>
  <c r="C68" i="13"/>
  <c r="F66" i="13"/>
  <c r="K64" i="13"/>
  <c r="I61" i="13"/>
  <c r="F60" i="13"/>
  <c r="M57" i="13"/>
  <c r="N56" i="13"/>
  <c r="N55" i="13"/>
  <c r="B54" i="13"/>
  <c r="C53" i="13"/>
  <c r="D52" i="13"/>
  <c r="E51" i="13"/>
  <c r="F50" i="13"/>
  <c r="G49" i="13"/>
  <c r="H48" i="13"/>
  <c r="I47" i="13"/>
  <c r="J46" i="13"/>
  <c r="J45" i="13"/>
  <c r="K44" i="13"/>
  <c r="L43" i="13"/>
  <c r="M42" i="13"/>
  <c r="N41" i="13"/>
  <c r="B40" i="13"/>
  <c r="C39" i="13"/>
  <c r="D38" i="13"/>
  <c r="E37" i="13"/>
  <c r="F36" i="13"/>
  <c r="F35" i="13"/>
  <c r="G34" i="13"/>
  <c r="H33" i="13"/>
  <c r="I32" i="13"/>
  <c r="J31" i="13"/>
  <c r="K30" i="13"/>
  <c r="L29" i="13"/>
  <c r="M28" i="13"/>
  <c r="N27" i="13"/>
  <c r="B26" i="13"/>
  <c r="B25" i="13"/>
  <c r="C24" i="13"/>
  <c r="B118" i="13"/>
  <c r="M113" i="13"/>
  <c r="B110" i="13"/>
  <c r="I106" i="13"/>
  <c r="C103" i="13"/>
  <c r="K99" i="13"/>
  <c r="E96" i="13"/>
  <c r="M92" i="13"/>
  <c r="I89" i="13"/>
  <c r="G86" i="13"/>
  <c r="J83" i="13"/>
  <c r="N81" i="13"/>
  <c r="K79" i="13"/>
  <c r="F78" i="13"/>
  <c r="E76" i="13"/>
  <c r="N74" i="13"/>
  <c r="M72" i="13"/>
  <c r="H71" i="13"/>
  <c r="G69" i="13"/>
  <c r="B68" i="13"/>
  <c r="J64" i="13"/>
  <c r="N62" i="13"/>
  <c r="H61" i="13"/>
  <c r="E60" i="13"/>
  <c r="N58" i="13"/>
  <c r="L57" i="13"/>
  <c r="L56" i="13"/>
  <c r="M55" i="13"/>
  <c r="N54" i="13"/>
  <c r="B53" i="13"/>
  <c r="C52" i="13"/>
  <c r="D51" i="13"/>
  <c r="E50" i="13"/>
  <c r="F49" i="13"/>
  <c r="G48" i="13"/>
  <c r="H47" i="13"/>
  <c r="H46" i="13"/>
  <c r="I45" i="13"/>
  <c r="J44" i="13"/>
  <c r="K43" i="13"/>
  <c r="L42" i="13"/>
  <c r="M41" i="13"/>
  <c r="N40" i="13"/>
  <c r="B39" i="13"/>
  <c r="C38" i="13"/>
  <c r="D37" i="13"/>
  <c r="D36" i="13"/>
  <c r="E35" i="13"/>
  <c r="F34" i="13"/>
  <c r="G33" i="13"/>
  <c r="H32" i="13"/>
  <c r="I31" i="13"/>
  <c r="J30" i="13"/>
  <c r="K29" i="13"/>
  <c r="L28" i="13"/>
  <c r="N117" i="13"/>
  <c r="L113" i="13"/>
  <c r="H106" i="13"/>
  <c r="B103" i="13"/>
  <c r="J99" i="13"/>
  <c r="D96" i="13"/>
  <c r="L92" i="13"/>
  <c r="H89" i="13"/>
  <c r="F86" i="13"/>
  <c r="I83" i="13"/>
  <c r="K81" i="13"/>
  <c r="J79" i="13"/>
  <c r="N77" i="13"/>
  <c r="D76" i="13"/>
  <c r="H74" i="13"/>
  <c r="L72" i="13"/>
  <c r="B71" i="13"/>
  <c r="F69" i="13"/>
  <c r="J67" i="13"/>
  <c r="N65" i="13"/>
  <c r="D64" i="13"/>
  <c r="M62" i="13"/>
  <c r="G61" i="13"/>
  <c r="M58" i="13"/>
  <c r="J57" i="13"/>
  <c r="K56" i="13"/>
  <c r="L55" i="13"/>
  <c r="M54" i="13"/>
  <c r="N53" i="13"/>
  <c r="B52" i="13"/>
  <c r="C51" i="13"/>
  <c r="D50" i="13"/>
  <c r="E49" i="13"/>
  <c r="F48" i="13"/>
  <c r="F47" i="13"/>
  <c r="G46" i="13"/>
  <c r="H45" i="13"/>
  <c r="I44" i="13"/>
  <c r="J43" i="13"/>
  <c r="K42" i="13"/>
  <c r="L41" i="13"/>
  <c r="M40" i="13"/>
  <c r="N39" i="13"/>
  <c r="B38" i="13"/>
  <c r="B37" i="13"/>
  <c r="C36" i="13"/>
  <c r="D35" i="13"/>
  <c r="E34" i="13"/>
  <c r="F33" i="13"/>
  <c r="G32" i="13"/>
  <c r="H31" i="13"/>
  <c r="I30" i="13"/>
  <c r="J29" i="13"/>
  <c r="K28" i="13"/>
  <c r="L27" i="13"/>
  <c r="L26" i="13"/>
  <c r="M25" i="13"/>
  <c r="N24" i="13"/>
  <c r="C21" i="13"/>
  <c r="D20" i="13"/>
  <c r="F19" i="13"/>
  <c r="H18" i="13"/>
  <c r="J17" i="13"/>
  <c r="L16" i="13"/>
  <c r="N15" i="13"/>
  <c r="B15" i="13"/>
  <c r="D14" i="13"/>
  <c r="F13" i="13"/>
  <c r="H12" i="13"/>
  <c r="J11" i="13"/>
  <c r="M10" i="13"/>
  <c r="C9" i="13"/>
  <c r="E8" i="13"/>
  <c r="H7" i="13"/>
  <c r="K6" i="13"/>
  <c r="N5" i="13"/>
  <c r="B5" i="13"/>
  <c r="D4" i="13"/>
  <c r="F3" i="13"/>
  <c r="G117" i="13"/>
  <c r="I113" i="13"/>
  <c r="H109" i="13"/>
  <c r="B106" i="13"/>
  <c r="J102" i="13"/>
  <c r="D99" i="13"/>
  <c r="L95" i="13"/>
  <c r="F92" i="13"/>
  <c r="B89" i="13"/>
  <c r="B86" i="13"/>
  <c r="H83" i="13"/>
  <c r="G81" i="13"/>
  <c r="I79" i="13"/>
  <c r="M77" i="13"/>
  <c r="C76" i="13"/>
  <c r="G74" i="13"/>
  <c r="K72" i="13"/>
  <c r="E69" i="13"/>
  <c r="I67" i="13"/>
  <c r="M65" i="13"/>
  <c r="C64" i="13"/>
  <c r="I62" i="13"/>
  <c r="F61" i="13"/>
  <c r="N59" i="13"/>
  <c r="K58" i="13"/>
  <c r="I57" i="13"/>
  <c r="J56" i="13"/>
  <c r="K55" i="13"/>
  <c r="L54" i="13"/>
  <c r="M53" i="13"/>
  <c r="N52" i="13"/>
  <c r="B51" i="13"/>
  <c r="C50" i="13"/>
  <c r="D49" i="13"/>
  <c r="D48" i="13"/>
  <c r="E47" i="13"/>
  <c r="F46" i="13"/>
  <c r="G45" i="13"/>
  <c r="H44" i="13"/>
  <c r="I43" i="13"/>
  <c r="J42" i="13"/>
  <c r="K41" i="13"/>
  <c r="L40" i="13"/>
  <c r="M39" i="13"/>
  <c r="N38" i="13"/>
  <c r="N37" i="13"/>
  <c r="B36" i="13"/>
  <c r="C35" i="13"/>
  <c r="D34" i="13"/>
  <c r="E33" i="13"/>
  <c r="F32" i="13"/>
  <c r="G31" i="13"/>
  <c r="H30" i="13"/>
  <c r="F116" i="13"/>
  <c r="J112" i="13"/>
  <c r="L108" i="13"/>
  <c r="F105" i="13"/>
  <c r="N101" i="13"/>
  <c r="H98" i="13"/>
  <c r="B95" i="13"/>
  <c r="J91" i="13"/>
  <c r="I88" i="13"/>
  <c r="G85" i="13"/>
  <c r="G83" i="13"/>
  <c r="E81" i="13"/>
  <c r="H79" i="13"/>
  <c r="K77" i="13"/>
  <c r="B76" i="13"/>
  <c r="E74" i="13"/>
  <c r="J72" i="13"/>
  <c r="M70" i="13"/>
  <c r="D69" i="13"/>
  <c r="G67" i="13"/>
  <c r="L65" i="13"/>
  <c r="H62" i="13"/>
  <c r="E61" i="13"/>
  <c r="L59" i="13"/>
  <c r="J58" i="13"/>
  <c r="H57" i="13"/>
  <c r="I56" i="13"/>
  <c r="J55" i="13"/>
  <c r="K54" i="13"/>
  <c r="L53" i="13"/>
  <c r="M52" i="13"/>
  <c r="N51" i="13"/>
  <c r="B50" i="13"/>
  <c r="B49" i="13"/>
  <c r="C48" i="13"/>
  <c r="D47" i="13"/>
  <c r="E46" i="13"/>
  <c r="F45" i="13"/>
  <c r="G44" i="13"/>
  <c r="H43" i="13"/>
  <c r="I42" i="13"/>
  <c r="J41" i="13"/>
  <c r="K40" i="13"/>
  <c r="L39" i="13"/>
  <c r="L38" i="13"/>
  <c r="M37" i="13"/>
  <c r="N36" i="13"/>
  <c r="B35" i="13"/>
  <c r="C34" i="13"/>
  <c r="D33" i="13"/>
  <c r="E32" i="13"/>
  <c r="F31" i="13"/>
  <c r="C116" i="13"/>
  <c r="E112" i="13"/>
  <c r="F108" i="13"/>
  <c r="N104" i="13"/>
  <c r="H101" i="13"/>
  <c r="B98" i="13"/>
  <c r="J94" i="13"/>
  <c r="D91" i="13"/>
  <c r="B88" i="13"/>
  <c r="B85" i="13"/>
  <c r="C83" i="13"/>
  <c r="B81" i="13"/>
  <c r="G79" i="13"/>
  <c r="I77" i="13"/>
  <c r="C74" i="13"/>
  <c r="I72" i="13"/>
  <c r="K70" i="13"/>
  <c r="C69" i="13"/>
  <c r="E67" i="13"/>
  <c r="K65" i="13"/>
  <c r="M63" i="13"/>
  <c r="G62" i="13"/>
  <c r="D61" i="13"/>
  <c r="K59" i="13"/>
  <c r="I58" i="13"/>
  <c r="G57" i="13"/>
  <c r="H56" i="13"/>
  <c r="I55" i="13"/>
  <c r="J54" i="13"/>
  <c r="K53" i="13"/>
  <c r="L52" i="13"/>
  <c r="M51" i="13"/>
  <c r="B116" i="13"/>
  <c r="D112" i="13"/>
  <c r="E108" i="13"/>
  <c r="M104" i="13"/>
  <c r="G101" i="13"/>
  <c r="I94" i="13"/>
  <c r="C91" i="13"/>
  <c r="M84" i="13"/>
  <c r="N82" i="13"/>
  <c r="D79" i="13"/>
  <c r="H77" i="13"/>
  <c r="L75" i="13"/>
  <c r="B74" i="13"/>
  <c r="F72" i="13"/>
  <c r="J70" i="13"/>
  <c r="N68" i="13"/>
  <c r="D67" i="13"/>
  <c r="H65" i="13"/>
  <c r="L63" i="13"/>
  <c r="F62" i="13"/>
  <c r="L60" i="13"/>
  <c r="J59" i="13"/>
  <c r="E58" i="13"/>
  <c r="F57" i="13"/>
  <c r="G56" i="13"/>
  <c r="H55" i="13"/>
  <c r="I54" i="13"/>
  <c r="J53" i="13"/>
  <c r="K52" i="13"/>
  <c r="N115" i="13"/>
  <c r="L111" i="13"/>
  <c r="D108" i="13"/>
  <c r="L104" i="13"/>
  <c r="F101" i="13"/>
  <c r="N97" i="13"/>
  <c r="H94" i="13"/>
  <c r="B91" i="13"/>
  <c r="N87" i="13"/>
  <c r="L84" i="13"/>
  <c r="L82" i="13"/>
  <c r="N80" i="13"/>
  <c r="C79" i="13"/>
  <c r="G77" i="13"/>
  <c r="K75" i="13"/>
  <c r="E72" i="13"/>
  <c r="I70" i="13"/>
  <c r="M68" i="13"/>
  <c r="C67" i="13"/>
  <c r="G65" i="13"/>
  <c r="K115" i="13"/>
  <c r="K111" i="13"/>
  <c r="I104" i="13"/>
  <c r="C101" i="13"/>
  <c r="K97" i="13"/>
  <c r="E94" i="13"/>
  <c r="M90" i="13"/>
  <c r="M87" i="13"/>
  <c r="K84" i="13"/>
  <c r="J82" i="13"/>
  <c r="M80" i="13"/>
  <c r="L78" i="13"/>
  <c r="P7" i="13"/>
  <c r="N8" i="13"/>
  <c r="N9" i="13"/>
  <c r="P10" i="13"/>
  <c r="P11" i="13"/>
  <c r="P12" i="13"/>
  <c r="P13" i="13"/>
  <c r="P14" i="13"/>
  <c r="B16" i="13"/>
  <c r="C17" i="13"/>
  <c r="C18" i="13"/>
  <c r="C19" i="13"/>
  <c r="C20" i="13"/>
  <c r="E21" i="13"/>
  <c r="G24" i="13"/>
  <c r="I25" i="13"/>
  <c r="K26" i="13"/>
  <c r="D28" i="13"/>
  <c r="I29" i="13"/>
  <c r="M31" i="13"/>
  <c r="N33" i="13"/>
  <c r="N35" i="13"/>
  <c r="H38" i="13"/>
  <c r="H40" i="13"/>
  <c r="B43" i="13"/>
  <c r="C45" i="13"/>
  <c r="C47" i="13"/>
  <c r="K49" i="13"/>
  <c r="L51" i="13"/>
  <c r="G55" i="13"/>
  <c r="I59" i="13"/>
  <c r="L66" i="13"/>
  <c r="B77" i="13"/>
  <c r="M107" i="13"/>
  <c r="D33" i="20"/>
  <c r="F31" i="20"/>
  <c r="A30" i="20"/>
  <c r="C28" i="20"/>
  <c r="E26" i="20"/>
  <c r="G24" i="20"/>
  <c r="B23" i="20"/>
  <c r="D21" i="20"/>
  <c r="F19" i="20"/>
  <c r="A18" i="20"/>
  <c r="C16" i="20"/>
  <c r="E14" i="20"/>
  <c r="G12" i="20"/>
  <c r="B11" i="20"/>
  <c r="D9" i="20"/>
  <c r="C33" i="20"/>
  <c r="E31" i="20"/>
  <c r="G29" i="20"/>
  <c r="B28" i="20"/>
  <c r="D26" i="20"/>
  <c r="F24" i="20"/>
  <c r="A23" i="20"/>
  <c r="C21" i="20"/>
  <c r="E19" i="20"/>
  <c r="G17" i="20"/>
  <c r="B16" i="20"/>
  <c r="D14" i="20"/>
  <c r="F12" i="20"/>
  <c r="A11" i="20"/>
  <c r="C9" i="20"/>
  <c r="E34" i="20"/>
  <c r="G32" i="20"/>
  <c r="B31" i="20"/>
  <c r="D29" i="20"/>
  <c r="F27" i="20"/>
  <c r="A26" i="20"/>
  <c r="C24" i="20"/>
  <c r="E22" i="20"/>
  <c r="G20" i="20"/>
  <c r="B19" i="20"/>
  <c r="D17" i="20"/>
  <c r="F15" i="20"/>
  <c r="A14" i="20"/>
  <c r="C12" i="20"/>
  <c r="E10" i="20"/>
  <c r="A9" i="20"/>
  <c r="C34" i="20"/>
  <c r="E32" i="20"/>
  <c r="G30" i="20"/>
  <c r="B29" i="20"/>
  <c r="D27" i="20"/>
  <c r="F25" i="20"/>
  <c r="A24" i="20"/>
  <c r="C22" i="20"/>
  <c r="E20" i="20"/>
  <c r="G18" i="20"/>
  <c r="B17" i="20"/>
  <c r="D15" i="20"/>
  <c r="F13" i="20"/>
  <c r="A12" i="20"/>
  <c r="C10" i="20"/>
  <c r="G33" i="20"/>
  <c r="B32" i="20"/>
  <c r="D30" i="20"/>
  <c r="F28" i="20"/>
  <c r="A27" i="20"/>
  <c r="C25" i="20"/>
  <c r="E23" i="20"/>
  <c r="G21" i="20"/>
  <c r="B20" i="20"/>
  <c r="D18" i="20"/>
  <c r="F16" i="20"/>
  <c r="A15" i="20"/>
  <c r="C13" i="20"/>
  <c r="E11" i="20"/>
  <c r="G9" i="20"/>
  <c r="D32" i="20"/>
  <c r="E29" i="20"/>
  <c r="F26" i="20"/>
  <c r="F23" i="20"/>
  <c r="F20" i="20"/>
  <c r="F17" i="20"/>
  <c r="G14" i="20"/>
  <c r="G11" i="20"/>
  <c r="C32" i="20"/>
  <c r="C29" i="20"/>
  <c r="C26" i="20"/>
  <c r="D23" i="20"/>
  <c r="D20" i="20"/>
  <c r="E17" i="20"/>
  <c r="F14" i="20"/>
  <c r="F11" i="20"/>
  <c r="G34" i="20"/>
  <c r="A32" i="20"/>
  <c r="A29" i="20"/>
  <c r="B26" i="20"/>
  <c r="C23" i="20"/>
  <c r="C20" i="20"/>
  <c r="C17" i="20"/>
  <c r="C14" i="20"/>
  <c r="D11" i="20"/>
  <c r="F34" i="20"/>
  <c r="G31" i="20"/>
  <c r="G28" i="20"/>
  <c r="G25" i="20"/>
  <c r="G22" i="20"/>
  <c r="A20" i="20"/>
  <c r="A17" i="20"/>
  <c r="B14" i="20"/>
  <c r="C11" i="20"/>
  <c r="D34" i="20"/>
  <c r="D31" i="20"/>
  <c r="E28" i="20"/>
  <c r="E25" i="20"/>
  <c r="F22" i="20"/>
  <c r="G19" i="20"/>
  <c r="G16" i="20"/>
  <c r="G13" i="20"/>
  <c r="G10" i="20"/>
  <c r="B34" i="20"/>
  <c r="C31" i="20"/>
  <c r="D28" i="20"/>
  <c r="D25" i="20"/>
  <c r="D22" i="20"/>
  <c r="D19" i="20"/>
  <c r="E16" i="20"/>
  <c r="E13" i="20"/>
  <c r="F10" i="20"/>
  <c r="A34" i="20"/>
  <c r="A31" i="20"/>
  <c r="A28" i="20"/>
  <c r="B25" i="20"/>
  <c r="B22" i="20"/>
  <c r="C19" i="20"/>
  <c r="D16" i="20"/>
  <c r="D13" i="20"/>
  <c r="D10" i="20"/>
  <c r="F33" i="20"/>
  <c r="F30" i="20"/>
  <c r="G27" i="20"/>
  <c r="A25" i="20"/>
  <c r="A22" i="20"/>
  <c r="A19" i="20"/>
  <c r="A16" i="20"/>
  <c r="B13" i="20"/>
  <c r="B10" i="20"/>
  <c r="E33" i="20"/>
  <c r="E30" i="20"/>
  <c r="E27" i="20"/>
  <c r="E24" i="20"/>
  <c r="F21" i="20"/>
  <c r="F18" i="20"/>
  <c r="G15" i="20"/>
  <c r="A13" i="20"/>
  <c r="A10" i="20"/>
  <c r="B33" i="20"/>
  <c r="C30" i="20"/>
  <c r="C27" i="20"/>
  <c r="D24" i="20"/>
  <c r="E21" i="20"/>
  <c r="E18" i="20"/>
  <c r="E15" i="20"/>
  <c r="E12" i="20"/>
  <c r="F9" i="20"/>
  <c r="A33" i="20"/>
  <c r="B30" i="20"/>
  <c r="B27" i="20"/>
  <c r="B24" i="20"/>
  <c r="B21" i="20"/>
  <c r="C18" i="20"/>
  <c r="C15" i="20"/>
  <c r="D12" i="20"/>
  <c r="E9" i="20"/>
  <c r="F32" i="20"/>
  <c r="F29" i="20"/>
  <c r="G26" i="20"/>
  <c r="G23" i="20"/>
  <c r="A21" i="20"/>
  <c r="B18" i="20"/>
  <c r="B15" i="20"/>
  <c r="B12" i="20"/>
  <c r="B9" i="20"/>
  <c r="E197" i="15"/>
  <c r="I197" i="15" s="1"/>
  <c r="D251" i="16"/>
  <c r="D111" i="16"/>
  <c r="D243" i="16"/>
  <c r="D210" i="23"/>
  <c r="I109" i="23" s="1"/>
  <c r="D210" i="16"/>
  <c r="T1" i="17"/>
  <c r="AO1" i="17"/>
  <c r="BI1" i="17"/>
  <c r="CC1" i="17"/>
  <c r="B1" i="17"/>
  <c r="U1" i="17"/>
  <c r="AP1" i="17"/>
  <c r="BJ1" i="17"/>
  <c r="V230" i="19"/>
  <c r="CJ1" i="17"/>
  <c r="BX1" i="17"/>
  <c r="BL1" i="17"/>
  <c r="AZ1" i="17"/>
  <c r="AN1" i="17"/>
  <c r="AB1" i="17"/>
  <c r="P1" i="17"/>
  <c r="D1" i="17"/>
  <c r="CI1" i="17"/>
  <c r="BW1" i="17"/>
  <c r="BK1" i="17"/>
  <c r="AY1" i="17"/>
  <c r="AM1" i="17"/>
  <c r="AA1" i="17"/>
  <c r="O1" i="17"/>
  <c r="C1" i="17"/>
  <c r="CR1" i="17"/>
  <c r="CF1" i="17"/>
  <c r="BT1" i="17"/>
  <c r="BH1" i="17"/>
  <c r="AV1" i="17"/>
  <c r="AJ1" i="17"/>
  <c r="X1" i="17"/>
  <c r="L1" i="17"/>
  <c r="CP1" i="17"/>
  <c r="CD1" i="17"/>
  <c r="BR1" i="17"/>
  <c r="BF1" i="17"/>
  <c r="AT1" i="17"/>
  <c r="AH1" i="17"/>
  <c r="V1" i="17"/>
  <c r="J1" i="17"/>
  <c r="CM1" i="17"/>
  <c r="CA1" i="17"/>
  <c r="BO1" i="17"/>
  <c r="BC1" i="17"/>
  <c r="AQ1" i="17"/>
  <c r="AE1" i="17"/>
  <c r="S1" i="17"/>
  <c r="G1" i="17"/>
  <c r="W1" i="17"/>
  <c r="AR1" i="17"/>
  <c r="BM1" i="17"/>
  <c r="CG1" i="17"/>
  <c r="V232" i="19"/>
  <c r="D299" i="23"/>
  <c r="I119" i="23" s="1"/>
  <c r="D268" i="23"/>
  <c r="I115" i="23" s="1"/>
  <c r="H127" i="14"/>
  <c r="E1" i="17"/>
  <c r="Y1" i="17"/>
  <c r="AS1" i="17"/>
  <c r="BN1" i="17"/>
  <c r="CH1" i="17"/>
  <c r="V233" i="19"/>
  <c r="D243" i="23"/>
  <c r="I112" i="23" s="1"/>
  <c r="F1" i="17"/>
  <c r="Z1" i="17"/>
  <c r="AU1" i="17"/>
  <c r="BP1" i="17"/>
  <c r="CK1" i="17"/>
  <c r="D290" i="23"/>
  <c r="I118" i="23" s="1"/>
  <c r="N98" i="16"/>
  <c r="N120" i="16"/>
  <c r="R120" i="16" s="1"/>
  <c r="H1" i="17"/>
  <c r="AC1" i="17"/>
  <c r="AW1" i="17"/>
  <c r="BQ1" i="17"/>
  <c r="CL1" i="17"/>
  <c r="D275" i="23"/>
  <c r="I116" i="23" s="1"/>
  <c r="I1" i="17"/>
  <c r="AD1" i="17"/>
  <c r="AX1" i="17"/>
  <c r="BS1" i="17"/>
  <c r="CN1" i="17"/>
  <c r="V235" i="19"/>
  <c r="V223" i="19"/>
  <c r="V234" i="19"/>
  <c r="V222" i="19"/>
  <c r="V231" i="19"/>
  <c r="V219" i="19"/>
  <c r="V229" i="19"/>
  <c r="V218" i="19"/>
  <c r="V226" i="19"/>
  <c r="D251" i="23"/>
  <c r="I113" i="23" s="1"/>
  <c r="K1" i="17"/>
  <c r="AF1" i="17"/>
  <c r="BA1" i="17"/>
  <c r="BU1" i="17"/>
  <c r="CO1" i="17"/>
  <c r="V220" i="19"/>
  <c r="D259" i="23"/>
  <c r="I114" i="23" s="1"/>
  <c r="D225" i="16"/>
  <c r="M1" i="17"/>
  <c r="AG1" i="17"/>
  <c r="BB1" i="17"/>
  <c r="BV1" i="17"/>
  <c r="CQ1" i="17"/>
  <c r="V221" i="19"/>
  <c r="D147" i="22"/>
  <c r="N1" i="17"/>
  <c r="AI1" i="17"/>
  <c r="BD1" i="17"/>
  <c r="BY1" i="17"/>
  <c r="CS1" i="17"/>
  <c r="V224" i="19"/>
  <c r="D282" i="23"/>
  <c r="I117" i="23" s="1"/>
  <c r="D225" i="23"/>
  <c r="I110" i="23" s="1"/>
  <c r="Q1" i="17"/>
  <c r="AK1" i="17"/>
  <c r="BE1" i="17"/>
  <c r="BZ1" i="17"/>
  <c r="V225" i="19"/>
  <c r="R1" i="17"/>
  <c r="AL1" i="17"/>
  <c r="BG1" i="17"/>
  <c r="CB1" i="17"/>
  <c r="V227" i="19"/>
</calcChain>
</file>

<file path=xl/sharedStrings.xml><?xml version="1.0" encoding="utf-8"?>
<sst xmlns="http://schemas.openxmlformats.org/spreadsheetml/2006/main" count="4344" uniqueCount="948">
  <si>
    <t>param Bud := 250;</t>
  </si>
  <si>
    <t>Bud := 250;</t>
  </si>
  <si>
    <t>Bud := 300;</t>
  </si>
  <si>
    <t>param Bud := 300;</t>
  </si>
  <si>
    <t>param Bud := 350;</t>
  </si>
  <si>
    <t>param alp := 0.85;</t>
  </si>
  <si>
    <t>param alp := 0.98;</t>
  </si>
  <si>
    <t>param alp := 0.96;</t>
  </si>
  <si>
    <t>param alp := 0.87;</t>
  </si>
  <si>
    <t>param bet := 0.94;</t>
  </si>
  <si>
    <t>param bet := 0.85;</t>
  </si>
  <si>
    <t>alp := 0.98;</t>
  </si>
  <si>
    <t>param bet := 0.71;</t>
  </si>
  <si>
    <t>bet := 0.85;</t>
  </si>
  <si>
    <t>param bet := 0.6;</t>
  </si>
  <si>
    <t>param bet := 0.73;</t>
  </si>
  <si>
    <t>Cost_Sec = 133</t>
  </si>
  <si>
    <t>Cost_Sec = 71.7</t>
  </si>
  <si>
    <t>Cost_Sec = 125.2</t>
  </si>
  <si>
    <t>Gurobi 7.0.0: optimal solution; objective 5495.6</t>
  </si>
  <si>
    <t>48305 simplex iterations</t>
  </si>
  <si>
    <t>Cost_Sec = 130.4</t>
  </si>
  <si>
    <t>Cost_Ele = 116.9</t>
  </si>
  <si>
    <t>Cost_Ele = 178.1</t>
  </si>
  <si>
    <t>6118 branch-and-cut nodes</t>
  </si>
  <si>
    <t>Cost_Ele = 174.7</t>
  </si>
  <si>
    <t>Cost_Ele = 228.1</t>
  </si>
  <si>
    <t>Cost_Ele = 278.3</t>
  </si>
  <si>
    <t>i</t>
  </si>
  <si>
    <t>Cost_Ele = 219.6</t>
  </si>
  <si>
    <t>W [*] :=</t>
  </si>
  <si>
    <t>Create_Sec = 2400</t>
  </si>
  <si>
    <t>Secondary expansion</t>
  </si>
  <si>
    <t>Create_Sec = 1400</t>
  </si>
  <si>
    <t>Create_Sec = 2100</t>
  </si>
  <si>
    <t>Cost_Sec =</t>
  </si>
  <si>
    <t>Create_Sec = 2300</t>
  </si>
  <si>
    <t>Create_Ele = 2900</t>
  </si>
  <si>
    <t>Create_Ele = 4150</t>
  </si>
  <si>
    <t>$</t>
  </si>
  <si>
    <t>Create_Ele = 3950</t>
  </si>
  <si>
    <t>Create_Ele = 5400</t>
  </si>
  <si>
    <t>Create_Ele = 6700</t>
  </si>
  <si>
    <t>Create_Ele = 5200</t>
  </si>
  <si>
    <t>Overcrowd_Sec = 0.405708</t>
  </si>
  <si>
    <t>Clayton Heights Secondary</t>
  </si>
  <si>
    <t>Overcrowd_Sec = 0.457379</t>
  </si>
  <si>
    <t>Overcrowd_Sec = 0.420821</t>
  </si>
  <si>
    <t>Cost_Ele =</t>
  </si>
  <si>
    <t>Overcrowd_Sec = 0.41071</t>
  </si>
  <si>
    <t>Overcrowd_Ele = 0.502557</t>
  </si>
  <si>
    <t>Overcrowd_Ele = 0.455099</t>
  </si>
  <si>
    <t>Overcrowd_Ele = 0.46249</t>
  </si>
  <si>
    <t>Overcrowd_Ele = 0.410547</t>
  </si>
  <si>
    <t>Ecole Earl Marriott</t>
  </si>
  <si>
    <t>Overcrowd_Ele = 0.367018</t>
  </si>
  <si>
    <t>Overcrowd_Ele = 0.417491</t>
  </si>
  <si>
    <t>Gurobi 7.0.0: optimal solution; objective 5225.6</t>
  </si>
  <si>
    <t>Gurobi 7.0.0: optimal solution; objective 5952.7</t>
  </si>
  <si>
    <t>Ecole Elgin Park</t>
  </si>
  <si>
    <t>Gurobi 7.0.0: optimal solution; objective 6748.8</t>
  </si>
  <si>
    <t>Gurobi 7.0.0: optimal solution; objective 8012.2</t>
  </si>
  <si>
    <t>Gurobi 7.0.0: optimal solution; objective 7352.4</t>
  </si>
  <si>
    <t>13873 simplex iterations</t>
  </si>
  <si>
    <t>142936 simplex iterations</t>
  </si>
  <si>
    <t>529184 simplex iterations</t>
  </si>
  <si>
    <t>122695 simplex iterations</t>
  </si>
  <si>
    <t>1650268 simplex iterations</t>
  </si>
  <si>
    <t>1178 branch-and-cut nodes</t>
  </si>
  <si>
    <t>16836 branch-and-cut nodes</t>
  </si>
  <si>
    <t>55424 branch-and-cut nodes</t>
  </si>
  <si>
    <t>12354 branch-and-cut nodes</t>
  </si>
  <si>
    <t>217628 branch-and-cut nodes</t>
  </si>
  <si>
    <t>1  0</t>
  </si>
  <si>
    <t>Create_Sec =</t>
  </si>
  <si>
    <t>3  0</t>
  </si>
  <si>
    <t>seats</t>
  </si>
  <si>
    <t>4  0</t>
  </si>
  <si>
    <t>Ecole Fraser Heights</t>
  </si>
  <si>
    <t>Create_Ele =</t>
  </si>
  <si>
    <t>5  0</t>
  </si>
  <si>
    <t>Ecole Kwantlen Park</t>
  </si>
  <si>
    <t>Ecole Lord Tweedsmuir</t>
  </si>
  <si>
    <t>Overcrowd_Sec</t>
  </si>
  <si>
    <t>6  0</t>
  </si>
  <si>
    <t>7  0</t>
  </si>
  <si>
    <t>8  0</t>
  </si>
  <si>
    <t>9  0</t>
  </si>
  <si>
    <t>11  0</t>
  </si>
  <si>
    <t>12  0</t>
  </si>
  <si>
    <t>13  0</t>
  </si>
  <si>
    <t>14  0</t>
  </si>
  <si>
    <t>15  0</t>
  </si>
  <si>
    <t>16  0</t>
  </si>
  <si>
    <t>17  0</t>
  </si>
  <si>
    <t>18  0</t>
  </si>
  <si>
    <t>19  0</t>
  </si>
  <si>
    <t>;</t>
  </si>
  <si>
    <t>X [*] :=</t>
  </si>
  <si>
    <t>1 0    9 0   17 0   27 0   36 0   48 0   56 0   65 0   75 0   83 0   90 0</t>
  </si>
  <si>
    <t>1 0    9 0   17 0   27 0   36 1   48 0   56 0   65 0   75 0   83 0   90 0</t>
  </si>
  <si>
    <t>2 0   10 0   18 0   28 0   38 0   49 0   57 0   67 0   77 0   84 2   91 0</t>
  </si>
  <si>
    <t>2 0   10 0   18 0   28 0   38 0   49 0   57 1   67 0   77 1   84 2   91 0</t>
  </si>
  <si>
    <t>2 0   10 0   18 0   28 0   38 0   49 0   57 0   67 0   77 1   84 2   91 0</t>
  </si>
  <si>
    <t>2 0   10 0   18 0   28 0   38 0   49 0   57 1   67 0   77 1   84 3   91 0</t>
  </si>
  <si>
    <t>3 0   11 0   20 2   31 0   42 0   50 1   58 0   69 0   78 1   85 0   92 0</t>
  </si>
  <si>
    <t>3 0   11 0   20 2   31 0   42 0   50 0   58 0   69 0   78 1   85 0   92 0</t>
  </si>
  <si>
    <t>3 0   11 0   20 2   31 0   42 0   50 1   58 0   69 0   78 2   85 0   92 0</t>
  </si>
  <si>
    <t>3 0   11 0   20 2   31 0   42 0   50 1   58 0   69 1   78 2   85 0   92 0</t>
  </si>
  <si>
    <t>4 0   12 0   21 1   32 0   44 0   52 0   61 0   70 0   79 0   86 0   94 0</t>
  </si>
  <si>
    <t>4 0   12 0   21 1   32 0   44 1   52 0   61 0   70 0   79 0   86 0   94 0</t>
  </si>
  <si>
    <t>4 0   12 0   21 2   32 0   44 1   52 0   61 0   70 0   79 0   86 0   94 0</t>
  </si>
  <si>
    <t>5 0   13 0   22 0   33 0   45 0   53 0   62 0   71 0   80 0   87 0   96 0</t>
  </si>
  <si>
    <t>6 0   14 0   25 0   34 0   46 0   54 1   63 0   72 0   81 1   88 1</t>
  </si>
  <si>
    <t>6 0   14 0   25 0   34 0   46 0   54 1   63 0   72 0   81 0   88 1</t>
  </si>
  <si>
    <t>6 0   14 0   25 0   34 0   46 1   54 1   63 0   72 1   81 1   88 1</t>
  </si>
  <si>
    <t>6 0   14 0   25 0   34 0   46 1   54 1   63 1   72 1   81 1   88 1</t>
  </si>
  <si>
    <t>6 0   14 0   25 0   34 0   46 0   54 0   63 0   72 1   81 1   88 0</t>
  </si>
  <si>
    <t>8 0   16 0   26 0   35 0   47 0   55 0   64 0   73 0   82 0   89 1</t>
  </si>
  <si>
    <t>j = 10</t>
  </si>
  <si>
    <t>j = 4</t>
  </si>
  <si>
    <t>g = 1</t>
  </si>
  <si>
    <t>i = 10</t>
  </si>
  <si>
    <t>i = 4</t>
  </si>
  <si>
    <t>U[i,j] = 1000</t>
  </si>
  <si>
    <t>U[i,j] = 505</t>
  </si>
  <si>
    <t>U[i,j] = 462</t>
  </si>
  <si>
    <t>j = 12</t>
  </si>
  <si>
    <t>l = 6</t>
  </si>
  <si>
    <t>i = 11</t>
  </si>
  <si>
    <t>l = 1</t>
  </si>
  <si>
    <t>h = 4</t>
  </si>
  <si>
    <t>U[i,j] = 474</t>
  </si>
  <si>
    <t>h = 3</t>
  </si>
  <si>
    <t>h = 6</t>
  </si>
  <si>
    <t>U[i,j] = 382</t>
  </si>
  <si>
    <t>i = 14</t>
  </si>
  <si>
    <t>k = 1</t>
  </si>
  <si>
    <t>U[i,j] = 405</t>
  </si>
  <si>
    <t>h = 5</t>
  </si>
  <si>
    <t>U[i,j] = 21</t>
  </si>
  <si>
    <t>h = 8</t>
  </si>
  <si>
    <t>%</t>
  </si>
  <si>
    <t>V[k,l] = 216</t>
  </si>
  <si>
    <t>U[i,j] = 156</t>
  </si>
  <si>
    <t>i = 12</t>
  </si>
  <si>
    <t>k = 6</t>
  </si>
  <si>
    <t>k = 18</t>
  </si>
  <si>
    <t>Ecole Panorama Ridge</t>
  </si>
  <si>
    <t>U[i,j] = 409</t>
  </si>
  <si>
    <t>V[k,l] = 750</t>
  </si>
  <si>
    <t>Overcrowd_Ele</t>
  </si>
  <si>
    <t>V[k,l] = 850</t>
  </si>
  <si>
    <t>V[k,l] = 27</t>
  </si>
  <si>
    <t>l = 17</t>
  </si>
  <si>
    <t>k = 65</t>
  </si>
  <si>
    <t>i = 6</t>
  </si>
  <si>
    <t>U[i,j] = 186</t>
  </si>
  <si>
    <t>V[k,l] = 207</t>
  </si>
  <si>
    <t>U[i,j] = 96</t>
  </si>
  <si>
    <t>k = 17</t>
  </si>
  <si>
    <t>x2</t>
  </si>
  <si>
    <t>V[k,l] = 387</t>
  </si>
  <si>
    <t>V[k,l] = 350</t>
  </si>
  <si>
    <t>U[i,j] = 904</t>
  </si>
  <si>
    <t>k = 47</t>
  </si>
  <si>
    <t>l = 20</t>
  </si>
  <si>
    <t>l = 3</t>
  </si>
  <si>
    <t>V[k,l] = 700</t>
  </si>
  <si>
    <t>V[k,l] = 63</t>
  </si>
  <si>
    <t>h = 2</t>
  </si>
  <si>
    <t>l = 33</t>
  </si>
  <si>
    <t>k = 3</t>
  </si>
  <si>
    <t>V[k,l] = 74</t>
  </si>
  <si>
    <t>V[k,l] = 884</t>
  </si>
  <si>
    <t>V[k,l] = 85</t>
  </si>
  <si>
    <t>k = 20</t>
  </si>
  <si>
    <t>k = 22</t>
  </si>
  <si>
    <t>V[k,l] = 328</t>
  </si>
  <si>
    <t>V[k,l] = 30</t>
  </si>
  <si>
    <t>V[k,l] = 176</t>
  </si>
  <si>
    <t>V[k,l] = 16</t>
  </si>
  <si>
    <t>V[k,l] = 84</t>
  </si>
  <si>
    <t>k = 33</t>
  </si>
  <si>
    <t>l = 47</t>
  </si>
  <si>
    <t>k = 46</t>
  </si>
  <si>
    <t>V[k,l] = 22</t>
  </si>
  <si>
    <t>V[k,l] = 177</t>
  </si>
  <si>
    <t>V[k,l] = 413</t>
  </si>
  <si>
    <t>h = 9</t>
  </si>
  <si>
    <t>V[k,l] = 10</t>
  </si>
  <si>
    <t>l = 53</t>
  </si>
  <si>
    <t>k = 91</t>
  </si>
  <si>
    <t>k = 5</t>
  </si>
  <si>
    <t>k = 54</t>
  </si>
  <si>
    <t>h = 1</t>
  </si>
  <si>
    <t>V[k,l] = 43</t>
  </si>
  <si>
    <t>V[k,l] = 137</t>
  </si>
  <si>
    <t>V[k,l] = 28</t>
  </si>
  <si>
    <t>V[k,l] = 559</t>
  </si>
  <si>
    <t>V[k,l] = 71</t>
  </si>
  <si>
    <t>k = 53</t>
  </si>
  <si>
    <t>V[k,l] = 200</t>
  </si>
  <si>
    <t>V[k,l] = 50</t>
  </si>
  <si>
    <t>V[k,l] = 26</t>
  </si>
  <si>
    <t>Enver Creek Secondary</t>
  </si>
  <si>
    <t>l = 89</t>
  </si>
  <si>
    <t>k = 89</t>
  </si>
  <si>
    <t>Fleetwood Park Secondary</t>
  </si>
  <si>
    <t>V[k,l] = 250</t>
  </si>
  <si>
    <t>V[k,l] = 272</t>
  </si>
  <si>
    <t>V[k,l] = 15</t>
  </si>
  <si>
    <t>Frank Hurt Secondary</t>
  </si>
  <si>
    <t>l = 55</t>
  </si>
  <si>
    <t>V[k,l] = 112</t>
  </si>
  <si>
    <t>V[k,l] = 127</t>
  </si>
  <si>
    <t>Guildford Park Secondary</t>
  </si>
  <si>
    <t>V[k,l] = 900</t>
  </si>
  <si>
    <t>k = 57</t>
  </si>
  <si>
    <t>k = 52</t>
  </si>
  <si>
    <t>Johnston Heights Secondary</t>
  </si>
  <si>
    <t>V[k,l] = 19</t>
  </si>
  <si>
    <t>L. A. Matheson Secondary</t>
  </si>
  <si>
    <t>V[k,l] = 296</t>
  </si>
  <si>
    <t>V[k,l] = 132</t>
  </si>
  <si>
    <t>North Surrey Secondary</t>
  </si>
  <si>
    <t>k = 55</t>
  </si>
  <si>
    <t>k = 61</t>
  </si>
  <si>
    <t>Princess Margaret Secondary</t>
  </si>
  <si>
    <t>V[k,l] = 419</t>
  </si>
  <si>
    <t>V[k,l] = 155</t>
  </si>
  <si>
    <t>V[k,l] = 4</t>
  </si>
  <si>
    <t>Queen Elizabeth Secondary</t>
  </si>
  <si>
    <t>V[k,l] = 165</t>
  </si>
  <si>
    <t>Semiahmoo Secondary</t>
  </si>
  <si>
    <t>Sullivan Heights Secondary</t>
  </si>
  <si>
    <t>V[k,l] = 73</t>
  </si>
  <si>
    <t>V[k,l] = 53</t>
  </si>
  <si>
    <t>Tamanawis Secondary</t>
  </si>
  <si>
    <t>l = 86</t>
  </si>
  <si>
    <t>V[k,l] = 105</t>
  </si>
  <si>
    <t>k = 2</t>
  </si>
  <si>
    <t>V[k,l] = 6</t>
  </si>
  <si>
    <t>V[k,l] = 92</t>
  </si>
  <si>
    <t>k = 21</t>
  </si>
  <si>
    <t>V[k,l] = 61</t>
  </si>
  <si>
    <t>V[k,l] = 123</t>
  </si>
  <si>
    <t>V[k,l] = 140</t>
  </si>
  <si>
    <t>V[k,l] = 308</t>
  </si>
  <si>
    <t>V[k,l] = 113</t>
  </si>
  <si>
    <t>k = 70</t>
  </si>
  <si>
    <t>l = 70</t>
  </si>
  <si>
    <t>l = 52</t>
  </si>
  <si>
    <t>V[k,l] = 55</t>
  </si>
  <si>
    <t>k = 86</t>
  </si>
  <si>
    <t>l = 81</t>
  </si>
  <si>
    <t>V[k,l] = 182</t>
  </si>
  <si>
    <t>V[k,l] = 189</t>
  </si>
  <si>
    <t>k = 50</t>
  </si>
  <si>
    <t>k = 81</t>
  </si>
  <si>
    <t>V[k,l] = 48</t>
  </si>
  <si>
    <t>V[k,l] = 18</t>
  </si>
  <si>
    <t>V[k,l] = 11</t>
  </si>
  <si>
    <t>V[k,l] = 76</t>
  </si>
  <si>
    <t>V[k,l] = 35</t>
  </si>
  <si>
    <t>h = 7</t>
  </si>
  <si>
    <t>V[k,l] = 258</t>
  </si>
  <si>
    <t>V[k,l] = 124</t>
  </si>
  <si>
    <t>V[k,l] = 167</t>
  </si>
  <si>
    <t>V[k,l] = 78</t>
  </si>
  <si>
    <t>V[k,l] = 378</t>
  </si>
  <si>
    <t>Cost:</t>
  </si>
  <si>
    <t>V[k,l] = 426</t>
  </si>
  <si>
    <t>V[k,l] = 522</t>
  </si>
  <si>
    <t>V[k,l] = 52</t>
  </si>
  <si>
    <t>V[k,l] = 271</t>
  </si>
  <si>
    <t>l = 91</t>
  </si>
  <si>
    <t>V[k,l] = 70</t>
  </si>
  <si>
    <t>V[k,l] = 79</t>
  </si>
  <si>
    <t>V[k,l] = 24</t>
  </si>
  <si>
    <t>V[k,l] = 58</t>
  </si>
  <si>
    <t>k = 35</t>
  </si>
  <si>
    <t>V[k,l] = 326</t>
  </si>
  <si>
    <t>V[k,l] = 442</t>
  </si>
  <si>
    <t>V[k,l] = 185</t>
  </si>
  <si>
    <t>V[k,l] = 90</t>
  </si>
  <si>
    <t>k</t>
  </si>
  <si>
    <t>Elementary expansion in hundreds</t>
  </si>
  <si>
    <t>A. H. P. Matthew Elementary</t>
  </si>
  <si>
    <t>V[k,l] = 157</t>
  </si>
  <si>
    <t>V[k,l] = 128</t>
  </si>
  <si>
    <t>A. J. McLellan Elementary</t>
  </si>
  <si>
    <t>k = 88</t>
  </si>
  <si>
    <t>V[k,l] = 169</t>
  </si>
  <si>
    <t>Adams Road Elementary</t>
  </si>
  <si>
    <t>V[k,l] = 8</t>
  </si>
  <si>
    <t>Bayridge Elementary</t>
  </si>
  <si>
    <t>Bear Creek Elementary</t>
  </si>
  <si>
    <t>Beaver Creek Elementary</t>
  </si>
  <si>
    <t>k = 48</t>
  </si>
  <si>
    <t>V[k,l] = 14</t>
  </si>
  <si>
    <t>Berkshire Park Elementary</t>
  </si>
  <si>
    <t>V[k,l] = 116</t>
  </si>
  <si>
    <t>Betty Huff Elementary</t>
  </si>
  <si>
    <t>Bonaccord Elementary</t>
  </si>
  <si>
    <t>V[k,l] = 570</t>
  </si>
  <si>
    <t>V[k,l] = 39</t>
  </si>
  <si>
    <t>V[k,l] = 511</t>
  </si>
  <si>
    <t>V[k,l] = 20</t>
  </si>
  <si>
    <t>V[k,l] = 188</t>
  </si>
  <si>
    <t>k = 96</t>
  </si>
  <si>
    <t>Bothwell Elementary</t>
  </si>
  <si>
    <t>V[k,l] = 42</t>
  </si>
  <si>
    <t>Boundary Park Elementary</t>
  </si>
  <si>
    <t>Bridgeview Elementary</t>
  </si>
  <si>
    <t>Brookside Elementary</t>
  </si>
  <si>
    <t>Cambridge Elementary</t>
  </si>
  <si>
    <t>Cedar Hills Elementary</t>
  </si>
  <si>
    <t>Chantrell Creek Elementary</t>
  </si>
  <si>
    <t>Chimney Hill Elementary</t>
  </si>
  <si>
    <t>Cindrich Elementary</t>
  </si>
  <si>
    <t>Clayton Elementary</t>
  </si>
  <si>
    <t>Coast Meridian Elementary</t>
  </si>
  <si>
    <t>Colebrook Elementary</t>
  </si>
  <si>
    <t>Cougar Creek Elementary</t>
  </si>
  <si>
    <t>Coyote Creek Elementary</t>
  </si>
  <si>
    <t>Creekside Elementary</t>
  </si>
  <si>
    <t>David Brankin Elementary</t>
  </si>
  <si>
    <t>Dogwood Elementary</t>
  </si>
  <si>
    <t>Don Christian Elementary</t>
  </si>
  <si>
    <t>Dr. F. D. Sinclair Elementary</t>
  </si>
  <si>
    <t>East Kensington Elementary</t>
  </si>
  <si>
    <t>École Crescent Park</t>
  </si>
  <si>
    <t>École Erma Stephenson</t>
  </si>
  <si>
    <t>École Fraser Wood</t>
  </si>
  <si>
    <t>École Frost Road</t>
  </si>
  <si>
    <t>École Henry Bose</t>
  </si>
  <si>
    <t>École Jessie Lee</t>
  </si>
  <si>
    <t>École K.B. Woodward</t>
  </si>
  <si>
    <t>École Martha Currie</t>
  </si>
  <si>
    <t>École Ocean Cliff</t>
  </si>
  <si>
    <t>École Peace Arch</t>
  </si>
  <si>
    <t>École Riverdale</t>
  </si>
  <si>
    <t>École Simon Cunningham</t>
  </si>
  <si>
    <t>École Sunrise Ridge</t>
  </si>
  <si>
    <t>École Woodward Hill</t>
  </si>
  <si>
    <t>Bud := 350;</t>
  </si>
  <si>
    <t>alp := 0.87;</t>
  </si>
  <si>
    <t>bet := 0.73;</t>
  </si>
  <si>
    <t>Ellendale Elementary</t>
  </si>
  <si>
    <t>Forsyth Road Elementary</t>
  </si>
  <si>
    <t>George Greenaway Elementary</t>
  </si>
  <si>
    <t>Georges Vanier Elementary</t>
  </si>
  <si>
    <t>Goldstone Park Elementary</t>
  </si>
  <si>
    <t>Green Timbers Elementary</t>
  </si>
  <si>
    <t>H. T. Thrift Elementary</t>
  </si>
  <si>
    <t>Hall's Prairie Elementary</t>
  </si>
  <si>
    <t>Harold Bishop Elementary</t>
  </si>
  <si>
    <t>Hazelgrove Elementary</t>
  </si>
  <si>
    <t>Hillcrest Elementary</t>
  </si>
  <si>
    <t>Hjorth Road Elementary</t>
  </si>
  <si>
    <t>Holly Elementary</t>
  </si>
  <si>
    <t>Hyland Elementary</t>
  </si>
  <si>
    <t>J. T. Brown Elementary</t>
  </si>
  <si>
    <t>James Ardiel Elementary</t>
  </si>
  <si>
    <t>Janice Churchill Elementary</t>
  </si>
  <si>
    <t>Katzie Elementary</t>
  </si>
  <si>
    <t>Kennedy Trail Elementary</t>
  </si>
  <si>
    <t>Kirkbride Elementary</t>
  </si>
  <si>
    <t>Latimer Road Elementary</t>
  </si>
  <si>
    <t>Lena Shaw Elementary</t>
  </si>
  <si>
    <t>M. B. Sanford Elementary</t>
  </si>
  <si>
    <t>Maple Green Elementary</t>
  </si>
  <si>
    <t>Martha Jane Norris Elementary</t>
  </si>
  <si>
    <t>Mary Jane Shannon Elementary</t>
  </si>
  <si>
    <t>Morgan Elementary</t>
  </si>
  <si>
    <t>Newton Elementary</t>
  </si>
  <si>
    <t>North Ridge Elementary</t>
  </si>
  <si>
    <t>Old Yale Road Elementary</t>
  </si>
  <si>
    <t>Pacific Heights Elementary</t>
  </si>
  <si>
    <t>Panorama Park Elementary</t>
  </si>
  <si>
    <t>Port Kells Elementary</t>
  </si>
  <si>
    <t>Prince Charles Elementary</t>
  </si>
  <si>
    <t>Ray Shepherd Elementary</t>
  </si>
  <si>
    <t>Rosemary Heights Elementary</t>
  </si>
  <si>
    <t>Royal Heights Elementary</t>
  </si>
  <si>
    <t>Semiahmoo Trail Elementary</t>
  </si>
  <si>
    <t>Senator Reid Elementary</t>
  </si>
  <si>
    <t>Serpentine Heights Elementary</t>
  </si>
  <si>
    <t>South Meridian Elementary</t>
  </si>
  <si>
    <t>Strawberry Hill Elementary</t>
  </si>
  <si>
    <t>Sullivan Elementary</t>
  </si>
  <si>
    <t>Sunnyside Elementary</t>
  </si>
  <si>
    <t>Surrey Centre Elementary</t>
  </si>
  <si>
    <t>T. E. Scott Elementary</t>
  </si>
  <si>
    <t>W. E. Kinvig Elementary</t>
  </si>
  <si>
    <t>Walnut Road Elementary</t>
  </si>
  <si>
    <t>Westerman Elementary</t>
  </si>
  <si>
    <t>White Rock Elementary</t>
  </si>
  <si>
    <t>William F. Davidson Elementary</t>
  </si>
  <si>
    <t>William Watson Elementary</t>
  </si>
  <si>
    <t>Woodland Park Elementary</t>
  </si>
  <si>
    <t>Total =</t>
  </si>
  <si>
    <t>New Secondary School</t>
  </si>
  <si>
    <t>New Elementary School</t>
  </si>
  <si>
    <t>U[i,j] =</t>
  </si>
  <si>
    <t>From</t>
  </si>
  <si>
    <t>h = 4,5</t>
  </si>
  <si>
    <t>V[k,l] =</t>
  </si>
  <si>
    <t>h = 4,8</t>
  </si>
  <si>
    <t>set J;</t>
  </si>
  <si>
    <t>#</t>
  </si>
  <si>
    <t>Secondary school catchment zones</t>
  </si>
  <si>
    <t>set L;</t>
  </si>
  <si>
    <t>Elementary school catchment zones</t>
  </si>
  <si>
    <t>set G;</t>
  </si>
  <si>
    <t>Choices of capacity for a new secondary school</t>
  </si>
  <si>
    <t>set H;</t>
  </si>
  <si>
    <t>Choices of capacity for a new elementary school</t>
  </si>
  <si>
    <t>param S {J} &gt;= 0;</t>
  </si>
  <si>
    <t>Secondary students population</t>
  </si>
  <si>
    <t>param c {J} &gt;= 0;</t>
  </si>
  <si>
    <t>Secondary school capacity</t>
  </si>
  <si>
    <t>param sig {J} &gt;= 0;</t>
  </si>
  <si>
    <t>Number of 100 seats expanding for secondary</t>
  </si>
  <si>
    <t>param tau {L} &gt;= 0;</t>
  </si>
  <si>
    <t>Number of 100 seats expanding for elementary</t>
  </si>
  <si>
    <t>param phi &gt;= 0;</t>
  </si>
  <si>
    <t>Cost for Expanding 100 seats for secondary</t>
  </si>
  <si>
    <t>param lam &gt;= 0;</t>
  </si>
  <si>
    <t>Cost for Expanding 100 seats for elementary</t>
  </si>
  <si>
    <t>param gam {G} &gt;= 0;</t>
  </si>
  <si>
    <t>Capacity for a new secondary school</t>
  </si>
  <si>
    <t>param a {J,J} &gt;= 0;</t>
  </si>
  <si>
    <t>Adjacencies for secondary catchment zones</t>
  </si>
  <si>
    <t>param the {G} &gt;= 0;</t>
  </si>
  <si>
    <t>Cost for building a new secondary school</t>
  </si>
  <si>
    <t>param E {L} &gt;= 0;</t>
  </si>
  <si>
    <t>Elementary students population</t>
  </si>
  <si>
    <t>param d {L} &gt;= 0;</t>
  </si>
  <si>
    <t>Elementary school capacity</t>
  </si>
  <si>
    <t>param del {H} &gt;=0;</t>
  </si>
  <si>
    <t>Capacity for a new elementary school</t>
  </si>
  <si>
    <t>param b {L,L} &gt;=0;</t>
  </si>
  <si>
    <t>Adjacencies for elementary catchment zones</t>
  </si>
  <si>
    <t>param psi {H} &gt;=0;</t>
  </si>
  <si>
    <t>Cost for building a new elementary school</t>
  </si>
  <si>
    <t>param Bud &gt;=0;</t>
  </si>
  <si>
    <t>Total Budget</t>
  </si>
  <si>
    <t>param P {j in J} = S[j]-c[j];</t>
  </si>
  <si>
    <t>param Q {l in L} = E[l]-d[l];</t>
  </si>
  <si>
    <t>param alp &gt;= 0;</t>
  </si>
  <si>
    <t>param bet &gt;=0;</t>
  </si>
  <si>
    <t>set I := {j in J: P[j] &gt; 0};</t>
  </si>
  <si>
    <t>Secondary zones that have overcap</t>
  </si>
  <si>
    <t>set K := {l in L: Q[l] &gt; 0};</t>
  </si>
  <si>
    <t>Elementary zones that have overcap</t>
  </si>
  <si>
    <t>var W {j in I} integer &gt;= 0;</t>
  </si>
  <si>
    <t>Expansion for secondary</t>
  </si>
  <si>
    <t>var X {l in K} integer &gt;=0;</t>
  </si>
  <si>
    <t>Expansion for elementary</t>
  </si>
  <si>
    <t>var Y {j in I, g in G} integer &gt;= 0;</t>
  </si>
  <si>
    <t>Locations for new secondary</t>
  </si>
  <si>
    <t>var Z {l in K, h in H} integer &gt;= 0;</t>
  </si>
  <si>
    <t>Locations for new elementary</t>
  </si>
  <si>
    <t>var U {i in I, j in I} integer &gt;= 0;</t>
  </si>
  <si>
    <t>Transfers for new secondary</t>
  </si>
  <si>
    <t>var V {k in K, l in K} integer &gt;= 0;</t>
  </si>
  <si>
    <t>Transfers for new elementary</t>
  </si>
  <si>
    <t>maximize Crowdedness:</t>
  </si>
  <si>
    <t>sum {i in I} 100*W[i] + 0.9*sum {i in I,j in I} U[i,j] + 0.1*sum {i in I} U[i,i] + sum {k in K} 100*X[k] + 0.9*sum {k in K,l in K} V[k,l] + 0.1*sum {k in K} V[k,k];</t>
  </si>
  <si>
    <t>subject to Lowerbd_Sec {i in I}:</t>
  </si>
  <si>
    <t>sum {j in I} U[i,j] &lt;= P[i] - 100*W[i];</t>
  </si>
  <si>
    <t>subject to Lowerbd_Ele {k in K}:</t>
  </si>
  <si>
    <t>sum {l in K} V[k,l] &lt;= Q[k] - 100*X[k];</t>
  </si>
  <si>
    <t>subject to Upperbd_Sec {i in I}:</t>
  </si>
  <si>
    <t>S[i] - sum {j in I} U[i,j] &lt;= (1+alp)*(c[i] + 100*W[i]);</t>
  </si>
  <si>
    <t>subject to Upperbd_Ele {k in K}:</t>
  </si>
  <si>
    <t>E[k] - sum {l in K} V[k,l] &lt;= (1+bet)*(d[k] + 100*X[k]);</t>
  </si>
  <si>
    <t>subject to Expan_Sec {i in I}:</t>
  </si>
  <si>
    <t>100*W[i] &lt;= sig[i]-c[i];</t>
  </si>
  <si>
    <t>subject to Expan_Ele {k in K}:</t>
  </si>
  <si>
    <t>100*X[k] &lt;= tau[k]-d[k];</t>
  </si>
  <si>
    <t>subject to Adjacent_Sec {i in I, j in I}:</t>
  </si>
  <si>
    <t>U[i,j] &lt;= a[i,j]* sum {g in G} gam[g]*Y[j,g];</t>
  </si>
  <si>
    <t>subject to Transfer_Sec {j in I}:</t>
  </si>
  <si>
    <t>sum {i in I} U[i,j] &lt;= sum {g in G} gam[g]*Y[j,g];</t>
  </si>
  <si>
    <t>subject to Focus_Sec {j in I, i in I:i&lt;&gt;j}:</t>
  </si>
  <si>
    <t>U[i,j] &lt;= U[j,j];</t>
  </si>
  <si>
    <t>subject to Adjacent_Ele {k in K, l in K}:</t>
  </si>
  <si>
    <t>V[k,l] &lt;= b[k,l]* sum{h in H} del[h]*Z[l,h];</t>
  </si>
  <si>
    <t>subject to Transfer_Ele {l in K}:</t>
  </si>
  <si>
    <t>sum {k in K} V[k,l] &lt;= sum{h in H} del[h]*Z[l,h];</t>
  </si>
  <si>
    <t>subject to Focus_Ele {l in K, k in K:k&lt;&gt;l}:</t>
  </si>
  <si>
    <t>V[k,l] &lt;= V[l,l];</t>
  </si>
  <si>
    <t>subject to Budget:</t>
  </si>
  <si>
    <t>sum {i in I} phi*W[i] + sum {k in K} lam*X[k] + sum {j in I, g in G} the[g]*Y[j,g] + sum {l in K,h in H} psi[h]*Z[l,h] &lt;= Bud;</t>
  </si>
  <si>
    <t>Secondary School</t>
  </si>
  <si>
    <t>Index</t>
  </si>
  <si>
    <t>Population 2025</t>
  </si>
  <si>
    <t>Capacity</t>
  </si>
  <si>
    <t>Max Capacity</t>
  </si>
  <si>
    <t>bet := 0.71;</t>
  </si>
  <si>
    <t>Elementary School</t>
  </si>
  <si>
    <t>h = 3,8</t>
  </si>
  <si>
    <t xml:space="preserve"> </t>
  </si>
  <si>
    <t>Census \ Age</t>
  </si>
  <si>
    <t>0-4</t>
  </si>
  <si>
    <t>15-19</t>
  </si>
  <si>
    <t>15-17</t>
  </si>
  <si>
    <t>Elementary</t>
  </si>
  <si>
    <t>Secondary</t>
  </si>
  <si>
    <t>Elem</t>
  </si>
  <si>
    <t>Sec</t>
  </si>
  <si>
    <t>tract</t>
  </si>
  <si>
    <t>proportion</t>
  </si>
  <si>
    <t>population</t>
  </si>
  <si>
    <t>Tract</t>
  </si>
  <si>
    <t>Proportion</t>
  </si>
  <si>
    <t>Population</t>
  </si>
  <si>
    <t>1/2 Jessie Lee</t>
  </si>
  <si>
    <t>1/2 White Rock</t>
  </si>
  <si>
    <t>Peace Arch</t>
  </si>
  <si>
    <t>South Meridan</t>
  </si>
  <si>
    <t>Hall's Prairie</t>
  </si>
  <si>
    <t>Pacific Heights</t>
  </si>
  <si>
    <t>East Kensington</t>
  </si>
  <si>
    <t>Morgan</t>
  </si>
  <si>
    <t>Rosemary Heights</t>
  </si>
  <si>
    <t>Total</t>
  </si>
  <si>
    <t>Ocean Cliff</t>
  </si>
  <si>
    <t>Crescent Park</t>
  </si>
  <si>
    <t>Chantrell Creek</t>
  </si>
  <si>
    <t>Ray Shepherd</t>
  </si>
  <si>
    <t>Dogwood</t>
  </si>
  <si>
    <t>Erma Stephenson</t>
  </si>
  <si>
    <t>Fraserwood</t>
  </si>
  <si>
    <t>Bothwell</t>
  </si>
  <si>
    <t>Bridgeview</t>
  </si>
  <si>
    <t>K.B. Woodward</t>
  </si>
  <si>
    <t>Old Yale Road</t>
  </si>
  <si>
    <t>Forsyth Road</t>
  </si>
  <si>
    <t>James Ardiel</t>
  </si>
  <si>
    <t>A. J. McLellan</t>
  </si>
  <si>
    <t>Surrey Centre</t>
  </si>
  <si>
    <t>George Greenaway</t>
  </si>
  <si>
    <t>Adams Road</t>
  </si>
  <si>
    <t>Don Christian</t>
  </si>
  <si>
    <t>Martha Currie</t>
  </si>
  <si>
    <t>Sunrise Ridge</t>
  </si>
  <si>
    <t>Colebrook</t>
  </si>
  <si>
    <t>Panorama Park</t>
  </si>
  <si>
    <t>Henry Bose</t>
  </si>
  <si>
    <t>Northridge</t>
  </si>
  <si>
    <t>Brookside</t>
  </si>
  <si>
    <t>Green Timbers</t>
  </si>
  <si>
    <t>Janice Churchill</t>
  </si>
  <si>
    <t>Maple Green</t>
  </si>
  <si>
    <t>William Watson</t>
  </si>
  <si>
    <t>Coyote Creek</t>
  </si>
  <si>
    <t>Walnut Road</t>
  </si>
  <si>
    <t>Bear Creek</t>
  </si>
  <si>
    <t>M.B. Sanford</t>
  </si>
  <si>
    <t>Georges Vanier</t>
  </si>
  <si>
    <t>T.E Scott</t>
  </si>
  <si>
    <t>Chimney Hill</t>
  </si>
  <si>
    <t>Lena Shaw</t>
  </si>
  <si>
    <t>Mary Jane Shannon</t>
  </si>
  <si>
    <t>Hjorth Road</t>
  </si>
  <si>
    <t>Holly</t>
  </si>
  <si>
    <t>Riverdale</t>
  </si>
  <si>
    <t>Ellendale</t>
  </si>
  <si>
    <t>1/2 William F. Davidson</t>
  </si>
  <si>
    <t>Berkshire Park</t>
  </si>
  <si>
    <t xml:space="preserve">Bonaccord </t>
  </si>
  <si>
    <t>Harold Bishop</t>
  </si>
  <si>
    <t>Prince Charles</t>
  </si>
  <si>
    <t>Royal Heights</t>
  </si>
  <si>
    <t>Cedar Hill</t>
  </si>
  <si>
    <t>Senator Reid</t>
  </si>
  <si>
    <t>Kirkbride</t>
  </si>
  <si>
    <t>Kennedy Trail</t>
  </si>
  <si>
    <t>Serpentine Heights</t>
  </si>
  <si>
    <t>Woodland Park</t>
  </si>
  <si>
    <t>Frost Road</t>
  </si>
  <si>
    <t>Coast Meridian</t>
  </si>
  <si>
    <t>Westerman</t>
  </si>
  <si>
    <t>Strawberry Hill</t>
  </si>
  <si>
    <t>Dr F.D. Sinclair</t>
  </si>
  <si>
    <t>Newton</t>
  </si>
  <si>
    <t>W.E. Kinvig</t>
  </si>
  <si>
    <t>A.H.P. Matthew</t>
  </si>
  <si>
    <t>Betty Huff</t>
  </si>
  <si>
    <t>David Brankin</t>
  </si>
  <si>
    <t>Cindrich</t>
  </si>
  <si>
    <t>Creekside</t>
  </si>
  <si>
    <t>Simon Cunningham</t>
  </si>
  <si>
    <t>Bayridge</t>
  </si>
  <si>
    <t>Semiahmoo Trail</t>
  </si>
  <si>
    <t>Woodward Hill</t>
  </si>
  <si>
    <t>Goldstone Park</t>
  </si>
  <si>
    <t>Cambridge</t>
  </si>
  <si>
    <t>Sullivan</t>
  </si>
  <si>
    <t>Cougar Creek</t>
  </si>
  <si>
    <t>Beaver Creek</t>
  </si>
  <si>
    <t>Boundary Park</t>
  </si>
  <si>
    <t>Martha Jane Norris</t>
  </si>
  <si>
    <t>J.T. Brown</t>
  </si>
  <si>
    <t>Port Kells</t>
  </si>
  <si>
    <t>Clayton</t>
  </si>
  <si>
    <t>Hazelgrove</t>
  </si>
  <si>
    <t>Katzie</t>
  </si>
  <si>
    <t>Hillcrest</t>
  </si>
  <si>
    <t>Latimer Road</t>
  </si>
  <si>
    <t>Census tract</t>
  </si>
  <si>
    <t>COST OF NEW SCHOOL BY CAPACITY</t>
  </si>
  <si>
    <t>SECONDARY SCHOOL</t>
  </si>
  <si>
    <t>COST OF EXPANSION PER 100 STUDENTS</t>
  </si>
  <si>
    <t>CAPACITY</t>
  </si>
  <si>
    <t>COST</t>
  </si>
  <si>
    <t>ELEMENTARY SCHOOL</t>
  </si>
  <si>
    <t>TOTAL BUDGET 2021-2025:</t>
  </si>
  <si>
    <t>ESTIMATION MADE IN 2014 (IN MILLIONS)</t>
  </si>
  <si>
    <t>Cost of Site Purchase Per Hectare:</t>
  </si>
  <si>
    <t>Construction Cost  Per Hectare (Secondary):</t>
  </si>
  <si>
    <t>Construction Cost Per Hectare (Elementary):</t>
  </si>
  <si>
    <t>Typical purchased site size factor (Secondary):</t>
  </si>
  <si>
    <t>Typical purchased site size factor (Elementary):</t>
  </si>
  <si>
    <t>Average inflation rate (2011-2016):</t>
  </si>
  <si>
    <t>Number of years to bring forward to 2020:</t>
  </si>
  <si>
    <t xml:space="preserve">Total </t>
  </si>
  <si>
    <t>0-4 %</t>
  </si>
  <si>
    <t>5-9 %</t>
  </si>
  <si>
    <t>10-14 %</t>
  </si>
  <si>
    <t>15-19%</t>
  </si>
  <si>
    <t>total</t>
  </si>
  <si>
    <t>Enroll</t>
  </si>
  <si>
    <t>total </t>
  </si>
  <si>
    <t>TOTAL BUDGET FOR 2020-2025:</t>
  </si>
  <si>
    <t>Construction Cost  Per Hectare (Secondary School):</t>
  </si>
  <si>
    <t>Construction Cost Per Hectare (Elementary School):</t>
  </si>
  <si>
    <t>School Name</t>
  </si>
  <si>
    <t>Location</t>
  </si>
  <si>
    <t>Grade</t>
  </si>
  <si>
    <t>Enrollment －2016/17</t>
  </si>
  <si>
    <t xml:space="preserve">Capacity </t>
  </si>
  <si>
    <t>Overcapacity</t>
  </si>
  <si>
    <t>Expand (5-year)</t>
  </si>
  <si>
    <t>6151 - 180 St., Surrey, BC V3S 4L5</t>
  </si>
  <si>
    <t>6248 - 144 St., Surrey, BC V3X 1A1</t>
  </si>
  <si>
    <t>15751 - 16 Ave., Surrey, BC V4A 1S1</t>
  </si>
  <si>
    <t>10441 - 132 St., Surrey, BC V3T 3V3</t>
  </si>
  <si>
    <t>1785 - 148 St., Surrey, BC V4A 4M6</t>
  </si>
  <si>
    <t>12600 - 66 Ave., Surrye, BC V3W 2A8</t>
  </si>
  <si>
    <t>K - 7  A. J. McLellan Elementary</t>
  </si>
  <si>
    <t>7003 - 188 St., Surrey, BC V4N 3G6</t>
  </si>
  <si>
    <t>7940 - 156 St., Surrey, BC V3S 3R3</t>
  </si>
  <si>
    <t>10707 - 146 St., Surrey, BC V3R 1T5</t>
  </si>
  <si>
    <t>15945 - 96 Ave., Surrey, BC V4N 2R8</t>
  </si>
  <si>
    <t>16060 - 108 Ave., Surrey, BC V4N 1M1</t>
  </si>
  <si>
    <t>13220 - 64 Ave., Surrey, BC V3W 1X9</t>
  </si>
  <si>
    <t>K - 7  Adams Road Elementary</t>
  </si>
  <si>
    <t>13940 - 77 Ave., Surrey, BC V3W 5Z4</t>
  </si>
  <si>
    <t>13484 - 24 Ave., Surrey, BC V4A 2G5</t>
  </si>
  <si>
    <t>14505 - 84 Ave., Surrey, BC V3S 8X2</t>
  </si>
  <si>
    <t xml:space="preserve"> 15350 - 99 Ave., Surrey, BC V3R 0R9</t>
  </si>
  <si>
    <t>9457 - King George Blvd., Surrey, BC V3V 5W4</t>
  </si>
  <si>
    <t>12870 - 72 Ave., Surrey, BC V3W 2M9</t>
  </si>
  <si>
    <t>K - 7  Bayridge Elementary</t>
  </si>
  <si>
    <t>9484 - 122 St., Surrey, BC V3V 4M1</t>
  </si>
  <si>
    <t>City Central Learning Centre</t>
  </si>
  <si>
    <t>13104 - 109 Ave., Surrey, BC V3T 2N7</t>
  </si>
  <si>
    <t>N/A</t>
  </si>
  <si>
    <t>School</t>
  </si>
  <si>
    <t>Cloverdale Learning Centre</t>
  </si>
  <si>
    <t>5658 - 176 St., Surrey, BC V3S 4C6</t>
  </si>
  <si>
    <t>Guildford Learning Centre</t>
  </si>
  <si>
    <t>10183- 152A St., Surrey, BC V3R 4H6</t>
  </si>
  <si>
    <t>K - 7  Bear Creek Elementary</t>
  </si>
  <si>
    <t>North Surrey Learning Centre</t>
  </si>
  <si>
    <t>9260 - 140 St., Surrey, BC V3V 5Z4</t>
  </si>
  <si>
    <t>South Surrey/White Rock Learning Centre</t>
  </si>
  <si>
    <t>#13 2320 King George Hwy., Surrey, BC V4A 5A5</t>
  </si>
  <si>
    <t>Surrey Academy of Innovative Learning</t>
  </si>
  <si>
    <t>14033 - 92 Avenue, V3V 0B7</t>
  </si>
  <si>
    <t>K - 7  Katzie Elementary</t>
  </si>
  <si>
    <t>6887 194A St., Surrey, BC V4N 1N2</t>
  </si>
  <si>
    <t>K-7</t>
  </si>
  <si>
    <t>K - 7  Beaver Creek Elementary</t>
  </si>
  <si>
    <t>K - 7  École Woodward Hill</t>
  </si>
  <si>
    <t>6082-142 St., Surrey, BC V3X 1C1</t>
  </si>
  <si>
    <t>K - 7  Cambridge Elementary</t>
  </si>
  <si>
    <t>6115 - 150 St., Surrey, BC V3S 3H7</t>
  </si>
  <si>
    <t>K - 7  Sunnyside Elementary</t>
  </si>
  <si>
    <t>2828 159 St., Surrey, BC V3S 0E5</t>
  </si>
  <si>
    <t>K - 7  Berkshire Park Elementary</t>
  </si>
  <si>
    <t>K - 7  Hillcrest Elementary</t>
  </si>
  <si>
    <t>18599 - 65 Ave., Surrey, BC V3S 8T2</t>
  </si>
  <si>
    <t>K - 7  Hazelgrove Elementary</t>
  </si>
  <si>
    <t>7057 - 191 St., Surrey, BC V4N 6E5</t>
  </si>
  <si>
    <t>K - 7  École Erma Stephenson</t>
  </si>
  <si>
    <t>10929 - 160 St., Surrey, BC V4N 1P3</t>
  </si>
  <si>
    <t>K - 7  Panorama Park Elementary</t>
  </si>
  <si>
    <t>12878 - 62 Ave., Surrey, BC V3X 2E8</t>
  </si>
  <si>
    <t>K - 7  Betty Huff Elementary</t>
  </si>
  <si>
    <t>K - 7  École Frost Road</t>
  </si>
  <si>
    <t>8606 - 162 St., Surrey, BC V4N 1B4</t>
  </si>
  <si>
    <t>K - 7  Walnut Road Elementary</t>
  </si>
  <si>
    <t>16152 - 82 Ave., Surrey, BC V4N 0N5</t>
  </si>
  <si>
    <t>K - 7  T. E. Scott Elementary</t>
  </si>
  <si>
    <t>7079 - 148 St., Surrey, BC V3S 3E5</t>
  </si>
  <si>
    <t>K - 7  École K.B. Woodward</t>
  </si>
  <si>
    <t>13130 - 106 Ave., Surrey, BC V3T 2C3</t>
  </si>
  <si>
    <t>K - 7  Sullivan Elementary</t>
  </si>
  <si>
    <t>K - 7  Bonaccord Elementary</t>
  </si>
  <si>
    <t>6016 - 152 St., Surrey, BC V3S 3K6</t>
  </si>
  <si>
    <t>K - 7  Clayton Elementary</t>
  </si>
  <si>
    <t>7541 - 184 St., Surrey, BC V4N 3G5</t>
  </si>
  <si>
    <t>K - 7  South Meridian Elementary</t>
  </si>
  <si>
    <t>16244 - 13 Ave., Surrey, BC V4A 8E6</t>
  </si>
  <si>
    <t>K - 7  Bothwell Elementary</t>
  </si>
  <si>
    <t>K - 7  École Ocean Cliff</t>
  </si>
  <si>
    <t>12550 - 20 Ave., Surrey, BC V4A 1Y6</t>
  </si>
  <si>
    <t>K - 7  Surrey Centre Elementary</t>
  </si>
  <si>
    <t>16670 Old McLellan Rd., Surrey, BC V3S 1K3</t>
  </si>
  <si>
    <t>K - 7  Goldstone Park Elementary</t>
  </si>
  <si>
    <t>6287 146 St., Surrey, BC V3S 3A3</t>
  </si>
  <si>
    <t>K - 7  Rosemary Heights Elementary</t>
  </si>
  <si>
    <t>15516 - 36 Ave., Surrey, BC V3S 0J5</t>
  </si>
  <si>
    <t>K - 7  Old Yale Road Elementary</t>
  </si>
  <si>
    <t>10135 - 132 St., Surrey, BC V3T 3T6</t>
  </si>
  <si>
    <t>K - 7  Boundary Park Elementary</t>
  </si>
  <si>
    <t>K - 7  Semiahmoo Trail Elementary</t>
  </si>
  <si>
    <t>3040 - 145A St., Surrey, BC V4P 1P8</t>
  </si>
  <si>
    <t>K - 7  Chimney Hill Elementary</t>
  </si>
  <si>
    <t>14755 - 74 Ave., Surrey, BC V3S 8Y8</t>
  </si>
  <si>
    <t>K - 7  École Fraser Wood</t>
  </si>
  <si>
    <t>10650 - 164 St., Surrey, BC V4N 1W8</t>
  </si>
  <si>
    <t>18228 - 68 Ave., Surrey, BC V3S9H5</t>
  </si>
  <si>
    <t>K - 7  Hall's Prairie Elementary</t>
  </si>
  <si>
    <t>18035 - 8 Ave., Surrey, BC V3S 9R9</t>
  </si>
  <si>
    <t>K - 7  Bridgeview Elementary</t>
  </si>
  <si>
    <t>K - 7  Pacific Heights Elementary</t>
  </si>
  <si>
    <t>17148 - 26 Ave., Surrey, BC V3S 0A4</t>
  </si>
  <si>
    <t>K - 7  White Rock Elementary</t>
  </si>
  <si>
    <t>1273 Fir St., White Rock, BC V4B 5A6</t>
  </si>
  <si>
    <t>K - 7  George Greenaway Elementary</t>
  </si>
  <si>
    <t>17285 - 61A Ave., Surrey, BC V3S 1W3</t>
  </si>
  <si>
    <t>K - 7  H. T. Thrift Elementary</t>
  </si>
  <si>
    <t>1739 - 148 St., Surrey, BC V4A 4M6</t>
  </si>
  <si>
    <t>K - 7  Brookside Elementary</t>
  </si>
  <si>
    <t>K - 7  William Watson Elementary</t>
  </si>
  <si>
    <t>16450 - 80 Ave., Surrey, BC V4N 0H3</t>
  </si>
  <si>
    <t>K - 7  Holly Elementary</t>
  </si>
  <si>
    <t>10719 - 150 St., Surrey, BC V3R 4C8</t>
  </si>
  <si>
    <t>K - 7  École Riverdale</t>
  </si>
  <si>
    <t>14835 - 108A Ave., Surrey, BC V3R 1W9</t>
  </si>
  <si>
    <t>13368 - 97 Ave., Surrey, BC V3T 1A4</t>
  </si>
  <si>
    <t>K - 7  Hjorth Road Elementary</t>
  </si>
  <si>
    <t>14781 - 104 Ave., Surrey, BC V3R 5X4</t>
  </si>
  <si>
    <t>K - 7  École Peace Arch</t>
  </si>
  <si>
    <t>geocode</t>
  </si>
  <si>
    <t>15877 Roper Ave., White Rock, BC V4B 2H5</t>
  </si>
  <si>
    <t>1730 - 142 St., Surrey, BC V4A 6G7</t>
  </si>
  <si>
    <t>K - 7  École Sunrise Ridge</t>
  </si>
  <si>
    <t>18690 - 60 Ave., Surrey, BC V3S 8L8</t>
  </si>
  <si>
    <t>K - 7  Forsyth Road Elementary</t>
  </si>
  <si>
    <t>10730 - 139 St., Surrey, BC V3T 4L9</t>
  </si>
  <si>
    <t>K - 7  Cedar Hills Elementary</t>
  </si>
  <si>
    <t>K - 7  Morgan Elementary</t>
  </si>
  <si>
    <t>3366 - 156A St., Surrey, BC V3S 9Y7</t>
  </si>
  <si>
    <t>TOTAL</t>
  </si>
  <si>
    <t>13367 - 97 Ave., Surrey, BC V3T 1A4</t>
  </si>
  <si>
    <t>K - 7  Kennedy Trail Elementary</t>
  </si>
  <si>
    <t>ppl for elem</t>
  </si>
  <si>
    <t>ppl for sec</t>
  </si>
  <si>
    <t>8305 - 122A St., Surrey, BC V3W 9P8</t>
  </si>
  <si>
    <t>K - 7  Don Christian Elementary</t>
  </si>
  <si>
    <t>6256 - 184 St., Surrey, BC V3S 8E6</t>
  </si>
  <si>
    <t>K - 7  Chantrell Creek Elementary</t>
  </si>
  <si>
    <t>6505 - 123A St., Surrey, BC V3W 5Y5</t>
  </si>
  <si>
    <t>K - 7  École Martha Currie</t>
  </si>
  <si>
    <t>5811 - 184 St. Surrey, BC V3S 4N2</t>
  </si>
  <si>
    <t>2575 - 137 St., Surrey, BC V4P 2K5</t>
  </si>
  <si>
    <t>K - 7  Coyote Creek Elementary</t>
  </si>
  <si>
    <t>8131 - 156 St., Surrey, BC V3S 3R4</t>
  </si>
  <si>
    <t>K - 7  Coast Meridian Elementary</t>
  </si>
  <si>
    <t>8222 - 168A St., Surrey, BC V4N 4T8</t>
  </si>
  <si>
    <t>K - 7  J. T. Brown Elementary</t>
  </si>
  <si>
    <t>12530 - 60 Ave., Surrey, BC V3X 2K8</t>
  </si>
  <si>
    <t>K - 7  Hyland Elementary</t>
  </si>
  <si>
    <t>6677 - 140 St., Surrey, BC V3W 5J3</t>
  </si>
  <si>
    <t>K - 7  Martha Jane Norris Elementary</t>
  </si>
  <si>
    <t>12928 - 66A Ave., Surrey, BC V3W 8Z7</t>
  </si>
  <si>
    <t>K - 7  Cindrich Elementary</t>
  </si>
  <si>
    <t>13455 - 90 Ave., Surrey, BC V3V 8A2</t>
  </si>
  <si>
    <t>K - 7  Ellendale Elementary</t>
  </si>
  <si>
    <t>14525 - 110A Ave., Surrey, BC V3R 2B4</t>
  </si>
  <si>
    <t>K - 7  École Henry Bose</t>
  </si>
  <si>
    <t>6550 - 134 St., Surrey, BC V3W 4S3</t>
  </si>
  <si>
    <t>K - 7  M. B. Sanford Elementary</t>
  </si>
  <si>
    <t>7318 - 143 St., Surrey, BC V3W 7T6</t>
  </si>
  <si>
    <t>K - 7  Woodland Park Elementary</t>
  </si>
  <si>
    <t>9025 - 158 St., Surrey, BC V4N 2Y6</t>
  </si>
  <si>
    <t>K - 7  École Simon Cunningham</t>
  </si>
  <si>
    <t>9380 - 140 St., Surrey, BC V3V 5Z4</t>
  </si>
  <si>
    <t>K - 7  École Crescent Park</t>
  </si>
  <si>
    <t>2440 - 128 St., Surrey, BC V4A 3W3</t>
  </si>
  <si>
    <t>K - 7  North Ridge Elementary</t>
  </si>
  <si>
    <t>13460 - 62 Ave., Surrey, BC V3X 2J2</t>
  </si>
  <si>
    <t>K - 7  David Brankin Elementary</t>
  </si>
  <si>
    <t>9160 - 128 St., Surrey, BC V3V 5M8</t>
  </si>
  <si>
    <t>K - 7  Port Kells Elementary</t>
  </si>
  <si>
    <t>19076 - 88 Ave., Surrey, BC V4N 3G5</t>
  </si>
  <si>
    <t>12834 - 115A Ave., Surrey, BC V3R 2X4</t>
  </si>
  <si>
    <t>K - 7  Mary Jane Shannon Elementary</t>
  </si>
  <si>
    <t>10682 - 144 St., Surrey, BC V3T 4W1</t>
  </si>
  <si>
    <t>K - 7  Georges Vanier Elementary</t>
  </si>
  <si>
    <t>6985 - 142 St., Surrey, BC V3W 5N1</t>
  </si>
  <si>
    <t>K - 7  Dr. F. D. Sinclair Elementary</t>
  </si>
  <si>
    <t>7480 - 128 St., Surrey, BC V3W 4E5</t>
  </si>
  <si>
    <t>12332 N. Boundary Dr., Surrey, BC V3X 1Z6</t>
  </si>
  <si>
    <t>K - 7  Maple Green Elementary</t>
  </si>
  <si>
    <t>14898 Spenser Dr., Surrey, BC V3S 7K7</t>
  </si>
  <si>
    <t>K - 7  Colebrook Elementary</t>
  </si>
  <si>
    <t>5404 - 125A St., Surrey, BC V3X 1W6</t>
  </si>
  <si>
    <t>K - 7  East Kensington Elementary</t>
  </si>
  <si>
    <t>2795 - 184 St., Surrey, BC V3S 9V2</t>
  </si>
  <si>
    <t>K - 7  Ray Shepherd Elementary</t>
  </si>
  <si>
    <t>1650 - 136 St., Surrey, BC V4A 4E4</t>
  </si>
  <si>
    <t>K - 7  Green Timbers Elementary</t>
  </si>
  <si>
    <t>8824 - 144 St., Surrey, BC V3V 5Z7</t>
  </si>
  <si>
    <t>5372 - 94 Ave., Surrey, BC V3R 1E3</t>
  </si>
  <si>
    <t>4986 - 98 Ave., Surrey, BC V3R 1J1</t>
  </si>
  <si>
    <t>12370 - 98 Ave., Surrey, BC V3V 2K3</t>
  </si>
  <si>
    <t>K - 7  Kirkbride Elementary</t>
  </si>
  <si>
    <t>12150 - 92 Ave., Surrey, BC V3V 1G2</t>
  </si>
  <si>
    <t>K - 7  Cougar Creek Elementary</t>
  </si>
  <si>
    <t>13780 - 80 Ave., Surrey, BC V3W 7X6</t>
  </si>
  <si>
    <t>K - 7  Lena Shaw Elementary</t>
  </si>
  <si>
    <t>14250 - 100A Ave., Surrey, BC V3T 1K8</t>
  </si>
  <si>
    <t>K - 7  Prince Charles Elementary</t>
  </si>
  <si>
    <t>12405 - 100 Ave., Surrey, BC V3V 2X2</t>
  </si>
  <si>
    <t>K - 7  James Ardiel Elementary</t>
  </si>
  <si>
    <t>13751 - 112 Ave., Surrey, BC V3R 2G4</t>
  </si>
  <si>
    <t>K - 7  Westerman Elementary</t>
  </si>
  <si>
    <t>7626 - 122 St., Surrey, BC V3W 1H4</t>
  </si>
  <si>
    <t>17070 - 102 Ave., Surrey, BC V4N 4N6</t>
  </si>
  <si>
    <t>K - 7  Serpentine Heights Elementary</t>
  </si>
  <si>
    <t>16126 - 93A Ave., Surrey, BC V4N 3A2</t>
  </si>
  <si>
    <t>K - 7  Latimer Road Elementary</t>
  </si>
  <si>
    <t>19233 - 60 Ave., Surrey, BC V3S 2T5</t>
  </si>
  <si>
    <t>K - 7  École Jessie Lee</t>
  </si>
  <si>
    <t>2064 - 154 St., Surrey, BC V4A 4S3</t>
  </si>
  <si>
    <t>K - 7  Dogwood Elementary</t>
  </si>
  <si>
    <t>10752 - 157 St., Surrey, BC V4N 1K6</t>
  </si>
  <si>
    <t>K - 7  Harold Bishop Elementary</t>
  </si>
  <si>
    <t>15670 - 104 Ave., Surrey, BC V4N 2J3</t>
  </si>
  <si>
    <t>K - 7  Creekside Elementary</t>
  </si>
  <si>
    <t>K - 7  Strawberry Hill Elementary</t>
  </si>
  <si>
    <t>7633 - 124 St., Surrey, BC V3W 8N2</t>
  </si>
  <si>
    <t>K - 7  W. E. Kinvig Elementary</t>
  </si>
  <si>
    <t>13266 - 70B Ave., Surrey, BC V3W 8N1</t>
  </si>
  <si>
    <t>13838 - 91 Ave., Surrey, BC V3V 7K4</t>
  </si>
  <si>
    <t>K - 7  Janice Churchill Elementary</t>
  </si>
  <si>
    <t>8226 - 146 St., Surrey, BC V3S 3A5</t>
  </si>
  <si>
    <t>K - 7  William F. Davidson Elementary</t>
  </si>
  <si>
    <t>15550 - 99A Ave., Surrey, BC V3R 9H5</t>
  </si>
  <si>
    <t>8555 - 142A St., Surrey, BC V3W 0S6</t>
  </si>
  <si>
    <t>K - 7  Senator Reid Elementary</t>
  </si>
  <si>
    <t>9341 - 126 St., Surrey, BC V3V 5C4</t>
  </si>
  <si>
    <t>13055 Huntley Ave., Surrey, BC V3V 1V1</t>
  </si>
  <si>
    <t>K - 7  Newton Elementary</t>
  </si>
  <si>
    <t>13359 - 81 Ave., Surrey, BC V3W 3C5</t>
  </si>
  <si>
    <t>12236 - 70A Ave., Surrey, BC V3W 4Z8</t>
  </si>
  <si>
    <t>K - 7  Royal Heights Elementary</t>
  </si>
  <si>
    <t>11665 - 97 Ave., Surrey, BC V3V 2B9</t>
  </si>
  <si>
    <t>New Elementary Schools</t>
  </si>
  <si>
    <t>Priority</t>
  </si>
  <si>
    <t>Clayton North Area #1 Site 184</t>
  </si>
  <si>
    <t>https://www.surreyschools.ca/departments/BMGS/Announcements/DispForm.aspx?ID=17&amp;ContentTypeId=0x010400E3077DC437C8FF4CBD86FC235CD8E173</t>
  </si>
  <si>
    <t>Approved</t>
  </si>
  <si>
    <t>Clayton Village NW Area Site 218</t>
  </si>
  <si>
    <t>https://www.surreyschools.ca/departments/BMGS/Documents/Community%20Forum%20Feb%202014%20-%20Capital%20Slides.pdf</t>
  </si>
  <si>
    <t>Grandview Heights South #2 Site 206</t>
  </si>
  <si>
    <t>http://www.surrey.ca/images/pageImages/MapofStudyArea.jpg</t>
  </si>
  <si>
    <t>High</t>
  </si>
  <si>
    <t>New South Newton Site 4Ha</t>
  </si>
  <si>
    <t>Not yet acquire</t>
  </si>
  <si>
    <t>New Grandview Area Site 3Ha</t>
  </si>
  <si>
    <t>New Douglas Area Site 180</t>
  </si>
  <si>
    <t>http://surrey.ca/files/Douglas_Industrial_Brochure_LOWRES.pdf</t>
  </si>
  <si>
    <t>Grandview Centre Site 208 2.9Ha</t>
  </si>
  <si>
    <t>Clayton Village Site 217</t>
  </si>
  <si>
    <t>Mid</t>
  </si>
  <si>
    <t>New Clayton NE Area Site 204</t>
  </si>
  <si>
    <t>Port Kells Site 216</t>
  </si>
  <si>
    <t>Port Kells Site 209</t>
  </si>
  <si>
    <t>Low</t>
  </si>
  <si>
    <t>New Secondary Schools</t>
  </si>
  <si>
    <t>Grandview Heights</t>
  </si>
  <si>
    <t>168th Street 28th Avenue</t>
  </si>
  <si>
    <t>Salish (New Clayton)</t>
  </si>
  <si>
    <t>7278 184th Street</t>
  </si>
  <si>
    <t>Map with new schools' exact locations</t>
  </si>
  <si>
    <t>https://drive.google.com/file/d/0BzR8mZZxWsQ1RFItN1BKYTY4SzA/view?usp=sharing</t>
  </si>
  <si>
    <t>SORTED ALPHABETICALLY</t>
  </si>
  <si>
    <t>Overcap</t>
  </si>
  <si>
    <t>Max</t>
  </si>
  <si>
    <t>Can Expand</t>
  </si>
  <si>
    <t>Total Cost</t>
  </si>
  <si>
    <t>Ecole Earl Marriott Secondary</t>
  </si>
  <si>
    <t>Cloverdale</t>
  </si>
  <si>
    <t>Fleetwood</t>
  </si>
  <si>
    <t>Guildford</t>
  </si>
  <si>
    <t>S Surrey</t>
  </si>
  <si>
    <t>Whally</t>
  </si>
  <si>
    <t>Enrollment - 2011/12</t>
  </si>
  <si>
    <t>Enrollment - 2012/13</t>
  </si>
  <si>
    <t>Enrollment - 2013/14</t>
  </si>
  <si>
    <t>Enrollment - 2014/15</t>
  </si>
  <si>
    <t>Enrollment - 2015/16</t>
  </si>
  <si>
    <t>Enrollment - 2016/17</t>
  </si>
  <si>
    <t>Year</t>
  </si>
  <si>
    <t>South Surrey</t>
  </si>
  <si>
    <t>Whalley</t>
  </si>
  <si>
    <t>city centre</t>
  </si>
  <si>
    <t>Surrey Total</t>
  </si>
  <si>
    <t>8 - 12 Ecole Earl Marriott</t>
  </si>
  <si>
    <t>8 - 12 Ecole Elgin Park</t>
  </si>
  <si>
    <t>8 - 12 Ecole Fraser Heights</t>
  </si>
  <si>
    <t>8 - 12 Ecole Kwantlen Park</t>
  </si>
  <si>
    <t>8 - 12 Ecole Lord Tweedsmuir</t>
  </si>
  <si>
    <t>8 - 12 Ecole Panorama Ridge</t>
  </si>
  <si>
    <t>8 - 12 Enver Creek Secondary</t>
  </si>
  <si>
    <t>8 - 12 Fleetwood Park Secondary</t>
  </si>
  <si>
    <t>8 - 12 Frank Hurt Secondary</t>
  </si>
  <si>
    <t>8 - 12 Guildford Park Secondary</t>
  </si>
  <si>
    <t>8 - 12 Johnston Heights Secondary</t>
  </si>
  <si>
    <t>8 - 12 L. A. Matheson Secondary</t>
  </si>
  <si>
    <t>8 - 12 North Surrey Secondary</t>
  </si>
  <si>
    <t>8 - 12 Princess Margaret Secondary</t>
  </si>
  <si>
    <t>8 - 12 Queen Elizabeth Secondary</t>
  </si>
  <si>
    <t>8 - 12 Semiahmoo Secondary</t>
  </si>
  <si>
    <t>8 - 12 Sullivan Heights Secondary</t>
  </si>
  <si>
    <t>8 - 12 Tamanawis Secondary</t>
  </si>
  <si>
    <t>8 - 12 Clayton Heights Secondary</t>
  </si>
  <si>
    <t>#DIV/0!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</si>
</sst>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\ d"/>
    <numFmt numFmtId="165" formatCode="m\-d"/>
    <numFmt numFmtId="166" formatCode="m/d"/>
  </numFmts>
  <fonts count="37">
    <font>
      <sz val="10"/>
      <color rgb="FF000000"/>
      <name val="Arial"/>
    </font>
    <font>
      <sz val="10"/>
      <name val="Arial"/>
    </font>
    <font>
      <sz val="11"/>
      <color rgb="FF000000"/>
      <name val="Inconsolata"/>
    </font>
    <font>
      <b/>
      <sz val="10"/>
      <name val="Arial"/>
    </font>
    <font>
      <sz val="10"/>
      <color rgb="FF444444"/>
      <name val="&quot;Lucida Sans&quot;"/>
    </font>
    <font>
      <sz val="10"/>
      <name val="Arial"/>
    </font>
    <font>
      <sz val="11"/>
      <color rgb="FF000000"/>
      <name val="Calibri"/>
    </font>
    <font>
      <sz val="10"/>
      <color rgb="FF000000"/>
      <name val="Helvetica"/>
    </font>
    <font>
      <sz val="10"/>
      <color rgb="FF000000"/>
      <name val="Arial"/>
    </font>
    <font>
      <sz val="10"/>
      <color rgb="FF000000"/>
      <name val="Verdana"/>
    </font>
    <font>
      <sz val="10"/>
      <color rgb="FF000000"/>
      <name val="Arial"/>
    </font>
    <font>
      <b/>
      <sz val="18"/>
      <name val="Arial"/>
    </font>
    <font>
      <b/>
      <sz val="10"/>
      <color rgb="FF444444"/>
      <name val="&quot;Lucida Sans&quot;"/>
    </font>
    <font>
      <u/>
      <sz val="10"/>
      <color rgb="FF000000"/>
      <name val="Arial"/>
    </font>
    <font>
      <u/>
      <sz val="10"/>
      <color rgb="FF0000FF"/>
      <name val="Arial"/>
    </font>
    <font>
      <b/>
      <sz val="11"/>
      <name val="Arial"/>
    </font>
    <font>
      <u/>
      <sz val="10"/>
      <color rgb="FF0000FF"/>
      <name val="Arial"/>
    </font>
    <font>
      <b/>
      <sz val="11"/>
      <color rgb="FF333333"/>
      <name val="Arial"/>
    </font>
    <font>
      <b/>
      <sz val="10"/>
      <name val="Arial"/>
    </font>
    <font>
      <sz val="11"/>
      <color rgb="FF000000"/>
      <name val="Arial"/>
    </font>
    <font>
      <sz val="10"/>
      <name val="Arial"/>
    </font>
    <font>
      <b/>
      <sz val="11"/>
      <color rgb="FF000000"/>
      <name val="Calibri"/>
    </font>
    <font>
      <b/>
      <sz val="11"/>
      <name val="Arial"/>
    </font>
    <font>
      <sz val="11"/>
      <name val="Arial"/>
    </font>
    <font>
      <sz val="11"/>
      <name val="Arial"/>
    </font>
    <font>
      <b/>
      <sz val="12"/>
      <name val="Arial"/>
    </font>
    <font>
      <b/>
      <sz val="12"/>
      <color rgb="FF444444"/>
      <name val="&quot;Lucida Sans&quot;"/>
    </font>
    <font>
      <sz val="12"/>
      <color rgb="FF980000"/>
      <name val="Arial"/>
    </font>
    <font>
      <sz val="12"/>
      <color rgb="FFFF9900"/>
      <name val="Arial"/>
    </font>
    <font>
      <sz val="12"/>
      <color rgb="FF93C47D"/>
      <name val="Arial"/>
    </font>
    <font>
      <sz val="12"/>
      <color rgb="FF0000FF"/>
      <name val="Arial"/>
    </font>
    <font>
      <sz val="12"/>
      <color rgb="FF674EA7"/>
      <name val="Arial"/>
    </font>
    <font>
      <sz val="12"/>
      <color rgb="FF7F6000"/>
      <name val="Arial"/>
    </font>
    <font>
      <sz val="12"/>
      <name val="Arial"/>
    </font>
    <font>
      <sz val="12"/>
      <color rgb="FF000000"/>
      <name val="Arial"/>
    </font>
    <font>
      <sz val="12"/>
      <color rgb="FF00FF00"/>
      <name val="Arial"/>
    </font>
    <font>
      <sz val="11"/>
      <color rgb="FF333333"/>
      <name val="Arial"/>
    </font>
  </fonts>
  <fills count="17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B7E1CD"/>
        <bgColor rgb="FFB7E1CD"/>
      </patternFill>
    </fill>
    <fill>
      <patternFill patternType="solid">
        <fgColor rgb="FFC9DAF8"/>
        <bgColor rgb="FFC9DAF8"/>
      </patternFill>
    </fill>
    <fill>
      <patternFill patternType="solid">
        <fgColor rgb="FFFFE599"/>
        <bgColor rgb="FFFFE599"/>
      </patternFill>
    </fill>
    <fill>
      <patternFill patternType="solid">
        <fgColor rgb="FFEA9999"/>
        <bgColor rgb="FFEA9999"/>
      </patternFill>
    </fill>
    <fill>
      <patternFill patternType="solid">
        <fgColor rgb="FFC27BA0"/>
        <bgColor rgb="FFC27BA0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D966"/>
        <bgColor rgb="FFFFD966"/>
      </patternFill>
    </fill>
    <fill>
      <patternFill patternType="solid">
        <fgColor rgb="FF93C47D"/>
        <bgColor rgb="FF93C47D"/>
      </patternFill>
    </fill>
    <fill>
      <patternFill patternType="solid">
        <fgColor rgb="FFA4C2F4"/>
        <bgColor rgb="FFA4C2F4"/>
      </patternFill>
    </fill>
    <fill>
      <patternFill patternType="solid">
        <fgColor rgb="FFD9D2E9"/>
        <bgColor rgb="FFD9D2E9"/>
      </patternFill>
    </fill>
    <fill>
      <patternFill patternType="solid">
        <fgColor rgb="FFB6D7A8"/>
        <bgColor rgb="FFB6D7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4">
    <xf numFmtId="0" fontId="0" fillId="0" borderId="0" xfId="0"/>
    <xf numFmtId="0" fontId="1" fillId="0" borderId="0" xfId="0" applyFont="1"/>
    <xf numFmtId="0" fontId="1" fillId="2" borderId="0" xfId="0" applyFont="1" applyFill="1"/>
    <xf numFmtId="164" fontId="1" fillId="0" borderId="0" xfId="0" applyNumberFormat="1" applyFont="1"/>
    <xf numFmtId="0" fontId="2" fillId="3" borderId="0" xfId="0" applyFont="1" applyFill="1"/>
    <xf numFmtId="0" fontId="3" fillId="0" borderId="0" xfId="0" applyFont="1"/>
    <xf numFmtId="0" fontId="4" fillId="0" borderId="0" xfId="0" applyFont="1"/>
    <xf numFmtId="2" fontId="5" fillId="0" borderId="0" xfId="0" applyNumberFormat="1" applyFont="1"/>
    <xf numFmtId="0" fontId="1" fillId="4" borderId="0" xfId="0" applyFont="1" applyFill="1"/>
    <xf numFmtId="165" fontId="1" fillId="4" borderId="0" xfId="0" applyNumberFormat="1" applyFont="1" applyFill="1"/>
    <xf numFmtId="165" fontId="1" fillId="0" borderId="0" xfId="0" applyNumberFormat="1" applyFont="1"/>
    <xf numFmtId="4" fontId="5" fillId="0" borderId="0" xfId="0" applyNumberFormat="1" applyFont="1" applyAlignment="1">
      <alignment horizontal="right"/>
    </xf>
    <xf numFmtId="0" fontId="6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4" fontId="5" fillId="3" borderId="0" xfId="0" applyNumberFormat="1" applyFont="1" applyFill="1" applyAlignment="1">
      <alignment horizontal="right"/>
    </xf>
    <xf numFmtId="4" fontId="5" fillId="5" borderId="0" xfId="0" applyNumberFormat="1" applyFont="1" applyFill="1" applyAlignment="1">
      <alignment horizontal="right"/>
    </xf>
    <xf numFmtId="0" fontId="1" fillId="5" borderId="0" xfId="0" applyFont="1" applyFill="1"/>
    <xf numFmtId="0" fontId="5" fillId="4" borderId="0" xfId="0" applyFont="1" applyFill="1"/>
    <xf numFmtId="165" fontId="5" fillId="4" borderId="0" xfId="0" applyNumberFormat="1" applyFont="1" applyFill="1" applyAlignment="1">
      <alignment horizontal="right"/>
    </xf>
    <xf numFmtId="0" fontId="5" fillId="4" borderId="0" xfId="0" applyFont="1" applyFill="1" applyAlignment="1">
      <alignment horizontal="right"/>
    </xf>
    <xf numFmtId="0" fontId="7" fillId="0" borderId="0" xfId="0" applyFont="1" applyAlignment="1">
      <alignment horizontal="right" vertical="top"/>
    </xf>
    <xf numFmtId="4" fontId="8" fillId="0" borderId="0" xfId="0" applyNumberFormat="1" applyFont="1" applyAlignment="1">
      <alignment horizontal="right"/>
    </xf>
    <xf numFmtId="10" fontId="1" fillId="0" borderId="0" xfId="0" applyNumberFormat="1" applyFont="1"/>
    <xf numFmtId="0" fontId="5" fillId="6" borderId="0" xfId="0" applyFont="1" applyFill="1"/>
    <xf numFmtId="165" fontId="5" fillId="6" borderId="0" xfId="0" applyNumberFormat="1" applyFont="1" applyFill="1" applyAlignment="1">
      <alignment horizontal="right"/>
    </xf>
    <xf numFmtId="0" fontId="5" fillId="6" borderId="0" xfId="0" applyFont="1" applyFill="1" applyAlignment="1">
      <alignment horizontal="right"/>
    </xf>
    <xf numFmtId="0" fontId="5" fillId="0" borderId="0" xfId="0" applyFont="1"/>
    <xf numFmtId="1" fontId="5" fillId="6" borderId="0" xfId="0" applyNumberFormat="1" applyFont="1" applyFill="1"/>
    <xf numFmtId="1" fontId="5" fillId="6" borderId="0" xfId="0" applyNumberFormat="1" applyFont="1" applyFill="1" applyAlignment="1">
      <alignment horizontal="right"/>
    </xf>
    <xf numFmtId="1" fontId="5" fillId="0" borderId="0" xfId="0" applyNumberFormat="1" applyFont="1" applyAlignment="1">
      <alignment horizontal="right"/>
    </xf>
    <xf numFmtId="1" fontId="9" fillId="3" borderId="0" xfId="0" applyNumberFormat="1" applyFont="1" applyFill="1" applyAlignment="1">
      <alignment horizontal="right"/>
    </xf>
    <xf numFmtId="1" fontId="1" fillId="0" borderId="0" xfId="0" applyNumberFormat="1" applyFont="1"/>
    <xf numFmtId="4" fontId="5" fillId="7" borderId="0" xfId="0" applyNumberFormat="1" applyFont="1" applyFill="1" applyAlignment="1">
      <alignment horizontal="right"/>
    </xf>
    <xf numFmtId="4" fontId="5" fillId="8" borderId="0" xfId="0" applyNumberFormat="1" applyFont="1" applyFill="1" applyAlignment="1">
      <alignment horizontal="right"/>
    </xf>
    <xf numFmtId="0" fontId="3" fillId="6" borderId="0" xfId="0" applyFont="1" applyFill="1"/>
    <xf numFmtId="0" fontId="1" fillId="6" borderId="0" xfId="0" applyFont="1" applyFill="1"/>
    <xf numFmtId="4" fontId="5" fillId="9" borderId="0" xfId="0" applyNumberFormat="1" applyFont="1" applyFill="1" applyAlignment="1">
      <alignment horizontal="right"/>
    </xf>
    <xf numFmtId="1" fontId="8" fillId="0" borderId="0" xfId="0" applyNumberFormat="1" applyFont="1" applyAlignment="1">
      <alignment horizontal="right"/>
    </xf>
    <xf numFmtId="0" fontId="3" fillId="7" borderId="0" xfId="0" applyFont="1" applyFill="1"/>
    <xf numFmtId="0" fontId="1" fillId="7" borderId="0" xfId="0" applyFont="1" applyFill="1"/>
    <xf numFmtId="0" fontId="8" fillId="7" borderId="0" xfId="0" applyFont="1" applyFill="1"/>
    <xf numFmtId="1" fontId="5" fillId="0" borderId="0" xfId="0" applyNumberFormat="1" applyFont="1"/>
    <xf numFmtId="1" fontId="2" fillId="3" borderId="0" xfId="0" applyNumberFormat="1" applyFont="1" applyFill="1"/>
    <xf numFmtId="4" fontId="8" fillId="10" borderId="0" xfId="0" applyNumberFormat="1" applyFont="1" applyFill="1" applyAlignment="1">
      <alignment horizontal="right"/>
    </xf>
    <xf numFmtId="4" fontId="5" fillId="10" borderId="0" xfId="0" applyNumberFormat="1" applyFont="1" applyFill="1" applyAlignment="1">
      <alignment horizontal="right"/>
    </xf>
    <xf numFmtId="0" fontId="4" fillId="3" borderId="0" xfId="0" applyFont="1" applyFill="1"/>
    <xf numFmtId="166" fontId="1" fillId="0" borderId="0" xfId="0" applyNumberFormat="1" applyFont="1"/>
    <xf numFmtId="0" fontId="1" fillId="11" borderId="0" xfId="0" applyFont="1" applyFill="1"/>
    <xf numFmtId="0" fontId="10" fillId="0" borderId="0" xfId="0" applyFont="1"/>
    <xf numFmtId="0" fontId="1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2" fillId="0" borderId="0" xfId="0" applyFont="1"/>
    <xf numFmtId="0" fontId="13" fillId="0" borderId="0" xfId="0" applyFont="1"/>
    <xf numFmtId="0" fontId="14" fillId="0" borderId="0" xfId="0" applyFont="1"/>
    <xf numFmtId="165" fontId="1" fillId="0" borderId="0" xfId="0" applyNumberFormat="1" applyFont="1" applyAlignment="1">
      <alignment horizontal="right"/>
    </xf>
    <xf numFmtId="2" fontId="1" fillId="0" borderId="0" xfId="0" applyNumberFormat="1" applyFont="1"/>
    <xf numFmtId="0" fontId="1" fillId="8" borderId="0" xfId="0" applyFont="1" applyFill="1"/>
    <xf numFmtId="0" fontId="1" fillId="12" borderId="0" xfId="0" applyFont="1" applyFill="1"/>
    <xf numFmtId="0" fontId="1" fillId="13" borderId="0" xfId="0" applyFont="1" applyFill="1"/>
    <xf numFmtId="0" fontId="1" fillId="14" borderId="0" xfId="0" applyFont="1" applyFill="1"/>
    <xf numFmtId="0" fontId="15" fillId="0" borderId="0" xfId="0" applyFont="1"/>
    <xf numFmtId="0" fontId="1" fillId="3" borderId="0" xfId="0" applyFont="1" applyFill="1"/>
    <xf numFmtId="0" fontId="1" fillId="10" borderId="0" xfId="0" applyFont="1" applyFill="1"/>
    <xf numFmtId="0" fontId="1" fillId="15" borderId="0" xfId="0" applyFont="1" applyFill="1"/>
    <xf numFmtId="0" fontId="17" fillId="0" borderId="0" xfId="0" applyFont="1"/>
    <xf numFmtId="0" fontId="18" fillId="0" borderId="0" xfId="0" applyFont="1"/>
    <xf numFmtId="0" fontId="1" fillId="16" borderId="0" xfId="0" applyFont="1" applyFill="1"/>
    <xf numFmtId="0" fontId="19" fillId="8" borderId="0" xfId="0" applyFont="1" applyFill="1"/>
    <xf numFmtId="0" fontId="19" fillId="12" borderId="0" xfId="0" applyFont="1" applyFill="1"/>
    <xf numFmtId="0" fontId="19" fillId="0" borderId="0" xfId="0" applyFont="1" applyAlignment="1">
      <alignment horizontal="right"/>
    </xf>
    <xf numFmtId="0" fontId="20" fillId="0" borderId="0" xfId="0" applyFont="1"/>
    <xf numFmtId="0" fontId="21" fillId="0" borderId="0" xfId="0" applyFont="1" applyAlignment="1">
      <alignment horizontal="right"/>
    </xf>
    <xf numFmtId="0" fontId="22" fillId="0" borderId="0" xfId="0" applyFont="1"/>
    <xf numFmtId="0" fontId="23" fillId="0" borderId="0" xfId="0" applyFont="1"/>
    <xf numFmtId="0" fontId="24" fillId="0" borderId="0" xfId="0" applyFont="1"/>
    <xf numFmtId="0" fontId="25" fillId="0" borderId="0" xfId="0" applyFont="1" applyAlignment="1">
      <alignment wrapText="1"/>
    </xf>
    <xf numFmtId="0" fontId="26" fillId="0" borderId="0" xfId="0" applyFont="1" applyAlignment="1">
      <alignment wrapText="1"/>
    </xf>
    <xf numFmtId="0" fontId="27" fillId="0" borderId="0" xfId="0" applyFont="1"/>
    <xf numFmtId="0" fontId="28" fillId="0" borderId="0" xfId="0" applyFont="1"/>
    <xf numFmtId="0" fontId="29" fillId="0" borderId="0" xfId="0" applyFont="1"/>
    <xf numFmtId="0" fontId="30" fillId="0" borderId="0" xfId="0" applyFont="1"/>
    <xf numFmtId="0" fontId="31" fillId="0" borderId="0" xfId="0" applyFont="1"/>
    <xf numFmtId="0" fontId="32" fillId="0" borderId="0" xfId="0" applyFont="1"/>
    <xf numFmtId="0" fontId="33" fillId="0" borderId="0" xfId="0" applyFont="1" applyAlignment="1">
      <alignment wrapText="1"/>
    </xf>
    <xf numFmtId="0" fontId="33" fillId="0" borderId="0" xfId="0" applyFont="1"/>
    <xf numFmtId="0" fontId="34" fillId="0" borderId="0" xfId="0" applyFont="1"/>
    <xf numFmtId="0" fontId="35" fillId="0" borderId="0" xfId="0" applyFont="1"/>
    <xf numFmtId="0" fontId="3" fillId="3" borderId="0" xfId="0" applyFont="1" applyFill="1"/>
    <xf numFmtId="0" fontId="36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11" fillId="0" borderId="0" xfId="0" applyFont="1" applyAlignment="1">
      <alignment horizontal="center" wrapText="1"/>
    </xf>
    <xf numFmtId="0" fontId="16" fillId="0" borderId="0" xfId="0" applyFont="1"/>
    <xf numFmtId="0" fontId="1" fillId="0" borderId="0" xfId="0" applyFont="1"/>
  </cellXfs>
  <cellStyles count="1">
    <cellStyle name="Normal" xfId="0" builtinId="0"/>
  </cellStyles>
  <dxfs count="6">
    <dxf>
      <fill>
        <patternFill patternType="solid">
          <fgColor rgb="FFB7E1CD"/>
          <bgColor rgb="FFB7E1CD"/>
        </patternFill>
      </fill>
      <border>
        <left/>
        <right/>
        <top/>
        <bottom/>
      </border>
    </dxf>
    <dxf>
      <fill>
        <patternFill patternType="solid">
          <fgColor rgb="FFB7E1CD"/>
          <bgColor rgb="FFB7E1CD"/>
        </patternFill>
      </fill>
      <border>
        <left/>
        <right/>
        <top/>
        <bottom/>
      </border>
    </dxf>
    <dxf>
      <fill>
        <patternFill patternType="solid">
          <fgColor rgb="FFF4C7C3"/>
          <bgColor rgb="FFF4C7C3"/>
        </patternFill>
      </fill>
      <border>
        <left/>
        <right/>
        <top/>
        <bottom/>
      </border>
    </dxf>
    <dxf>
      <fill>
        <patternFill patternType="solid">
          <fgColor rgb="FFB7E1CD"/>
          <bgColor rgb="FFB7E1CD"/>
        </patternFill>
      </fill>
      <border>
        <left/>
        <right/>
        <top/>
        <bottom/>
      </border>
    </dxf>
    <dxf>
      <fill>
        <patternFill patternType="solid">
          <fgColor rgb="FFF4C7C3"/>
          <bgColor rgb="FFF4C7C3"/>
        </patternFill>
      </fill>
      <border>
        <left/>
        <right/>
        <top/>
        <bottom/>
      </border>
    </dxf>
    <dxf>
      <fill>
        <patternFill patternType="solid">
          <fgColor rgb="FFB7E1CD"/>
          <bgColor rgb="FFB7E1CD"/>
        </patternFill>
      </fill>
      <border>
        <left/>
        <right/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600" b="1">
                <a:solidFill>
                  <a:srgbClr val="000000"/>
                </a:solidFill>
              </a:defRPr>
            </a:pPr>
            <a:r>
              <a:t>Overcapacity % for each elementary school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3366CC"/>
            </a:solidFill>
          </c:spPr>
          <c:invertIfNegative val="1"/>
          <c:val>
            <c:numRef>
              <c:f>'linear projection elementary'!$I$101:$I$196</c:f>
              <c:numCache>
                <c:formatCode>General</c:formatCode>
                <c:ptCount val="96"/>
                <c:pt idx="0">
                  <c:v>56</c:v>
                </c:pt>
                <c:pt idx="1">
                  <c:v>62</c:v>
                </c:pt>
                <c:pt idx="2">
                  <c:v>85</c:v>
                </c:pt>
                <c:pt idx="3">
                  <c:v>33</c:v>
                </c:pt>
                <c:pt idx="4">
                  <c:v>76</c:v>
                </c:pt>
                <c:pt idx="5">
                  <c:v>230</c:v>
                </c:pt>
                <c:pt idx="6">
                  <c:v>-7</c:v>
                </c:pt>
                <c:pt idx="7">
                  <c:v>23</c:v>
                </c:pt>
                <c:pt idx="8">
                  <c:v>18</c:v>
                </c:pt>
                <c:pt idx="9">
                  <c:v>54</c:v>
                </c:pt>
                <c:pt idx="10">
                  <c:v>0</c:v>
                </c:pt>
                <c:pt idx="11">
                  <c:v>26</c:v>
                </c:pt>
                <c:pt idx="12">
                  <c:v>51</c:v>
                </c:pt>
                <c:pt idx="13">
                  <c:v>33</c:v>
                </c:pt>
                <c:pt idx="14">
                  <c:v>-22</c:v>
                </c:pt>
                <c:pt idx="15">
                  <c:v>8</c:v>
                </c:pt>
                <c:pt idx="16">
                  <c:v>144</c:v>
                </c:pt>
                <c:pt idx="17">
                  <c:v>65</c:v>
                </c:pt>
                <c:pt idx="18">
                  <c:v>-43</c:v>
                </c:pt>
                <c:pt idx="19">
                  <c:v>206</c:v>
                </c:pt>
                <c:pt idx="20">
                  <c:v>147</c:v>
                </c:pt>
                <c:pt idx="21">
                  <c:v>63</c:v>
                </c:pt>
                <c:pt idx="22">
                  <c:v>-39</c:v>
                </c:pt>
                <c:pt idx="23">
                  <c:v>-2</c:v>
                </c:pt>
                <c:pt idx="24">
                  <c:v>58</c:v>
                </c:pt>
                <c:pt idx="25">
                  <c:v>52</c:v>
                </c:pt>
                <c:pt idx="26">
                  <c:v>14</c:v>
                </c:pt>
                <c:pt idx="27">
                  <c:v>29</c:v>
                </c:pt>
                <c:pt idx="28">
                  <c:v>-62</c:v>
                </c:pt>
                <c:pt idx="29">
                  <c:v>-41</c:v>
                </c:pt>
                <c:pt idx="30">
                  <c:v>44</c:v>
                </c:pt>
                <c:pt idx="31">
                  <c:v>34</c:v>
                </c:pt>
                <c:pt idx="32">
                  <c:v>74</c:v>
                </c:pt>
                <c:pt idx="33">
                  <c:v>52</c:v>
                </c:pt>
                <c:pt idx="34">
                  <c:v>64</c:v>
                </c:pt>
                <c:pt idx="35">
                  <c:v>73</c:v>
                </c:pt>
                <c:pt idx="36">
                  <c:v>-16</c:v>
                </c:pt>
                <c:pt idx="37">
                  <c:v>16</c:v>
                </c:pt>
                <c:pt idx="38">
                  <c:v>-50</c:v>
                </c:pt>
                <c:pt idx="39">
                  <c:v>-38</c:v>
                </c:pt>
                <c:pt idx="40">
                  <c:v>-1</c:v>
                </c:pt>
                <c:pt idx="41">
                  <c:v>17</c:v>
                </c:pt>
                <c:pt idx="42">
                  <c:v>0</c:v>
                </c:pt>
                <c:pt idx="43">
                  <c:v>87</c:v>
                </c:pt>
                <c:pt idx="44">
                  <c:v>23</c:v>
                </c:pt>
                <c:pt idx="45">
                  <c:v>75</c:v>
                </c:pt>
                <c:pt idx="46">
                  <c:v>117</c:v>
                </c:pt>
                <c:pt idx="47">
                  <c:v>63</c:v>
                </c:pt>
                <c:pt idx="48">
                  <c:v>12</c:v>
                </c:pt>
                <c:pt idx="49">
                  <c:v>104</c:v>
                </c:pt>
                <c:pt idx="50">
                  <c:v>-62</c:v>
                </c:pt>
                <c:pt idx="51">
                  <c:v>89</c:v>
                </c:pt>
                <c:pt idx="52">
                  <c:v>124</c:v>
                </c:pt>
                <c:pt idx="53">
                  <c:v>104</c:v>
                </c:pt>
                <c:pt idx="54">
                  <c:v>65</c:v>
                </c:pt>
                <c:pt idx="55">
                  <c:v>46</c:v>
                </c:pt>
                <c:pt idx="56">
                  <c:v>98</c:v>
                </c:pt>
                <c:pt idx="57">
                  <c:v>25</c:v>
                </c:pt>
                <c:pt idx="58">
                  <c:v>-13</c:v>
                </c:pt>
                <c:pt idx="59">
                  <c:v>-6</c:v>
                </c:pt>
                <c:pt idx="60">
                  <c:v>72</c:v>
                </c:pt>
                <c:pt idx="61">
                  <c:v>28</c:v>
                </c:pt>
                <c:pt idx="62">
                  <c:v>63</c:v>
                </c:pt>
                <c:pt idx="63">
                  <c:v>25</c:v>
                </c:pt>
                <c:pt idx="64">
                  <c:v>94</c:v>
                </c:pt>
                <c:pt idx="65">
                  <c:v>-29</c:v>
                </c:pt>
                <c:pt idx="66">
                  <c:v>39</c:v>
                </c:pt>
                <c:pt idx="67">
                  <c:v>-7</c:v>
                </c:pt>
                <c:pt idx="68">
                  <c:v>63</c:v>
                </c:pt>
                <c:pt idx="69">
                  <c:v>93</c:v>
                </c:pt>
                <c:pt idx="70">
                  <c:v>36</c:v>
                </c:pt>
                <c:pt idx="71">
                  <c:v>80</c:v>
                </c:pt>
                <c:pt idx="72">
                  <c:v>54</c:v>
                </c:pt>
                <c:pt idx="73">
                  <c:v>-49</c:v>
                </c:pt>
                <c:pt idx="74">
                  <c:v>46</c:v>
                </c:pt>
                <c:pt idx="75">
                  <c:v>-87</c:v>
                </c:pt>
                <c:pt idx="76">
                  <c:v>88</c:v>
                </c:pt>
                <c:pt idx="77">
                  <c:v>118</c:v>
                </c:pt>
                <c:pt idx="78">
                  <c:v>33</c:v>
                </c:pt>
                <c:pt idx="79">
                  <c:v>4</c:v>
                </c:pt>
                <c:pt idx="80">
                  <c:v>135</c:v>
                </c:pt>
                <c:pt idx="81">
                  <c:v>23</c:v>
                </c:pt>
                <c:pt idx="82">
                  <c:v>5</c:v>
                </c:pt>
                <c:pt idx="83">
                  <c:v>200</c:v>
                </c:pt>
                <c:pt idx="84">
                  <c:v>30</c:v>
                </c:pt>
                <c:pt idx="85">
                  <c:v>28</c:v>
                </c:pt>
                <c:pt idx="86">
                  <c:v>9</c:v>
                </c:pt>
                <c:pt idx="87">
                  <c:v>101</c:v>
                </c:pt>
                <c:pt idx="88">
                  <c:v>217</c:v>
                </c:pt>
                <c:pt idx="89">
                  <c:v>31</c:v>
                </c:pt>
                <c:pt idx="90">
                  <c:v>92</c:v>
                </c:pt>
                <c:pt idx="91">
                  <c:v>43</c:v>
                </c:pt>
                <c:pt idx="92">
                  <c:v>-12</c:v>
                </c:pt>
                <c:pt idx="93">
                  <c:v>19</c:v>
                </c:pt>
                <c:pt idx="94">
                  <c:v>-7</c:v>
                </c:pt>
                <c:pt idx="95">
                  <c:v>69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FD5F-4B4B-BA57-F2E682B917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02979763"/>
        <c:axId val="2070932494"/>
      </c:barChart>
      <c:catAx>
        <c:axId val="18029797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/>
                </a:pPr>
                <a:r>
                  <a:t>Schools</a:t>
                </a:r>
              </a:p>
            </c:rich>
          </c:tx>
          <c:overlay val="0"/>
        </c:title>
        <c:majorTickMark val="cross"/>
        <c:minorTickMark val="cross"/>
        <c:tickLblPos val="nextTo"/>
        <c:txPr>
          <a:bodyPr/>
          <a:lstStyle/>
          <a:p>
            <a:pPr lvl="0">
              <a:defRPr/>
            </a:pPr>
            <a:endParaRPr lang="en-US"/>
          </a:p>
        </c:txPr>
        <c:crossAx val="2070932494"/>
        <c:crosses val="autoZero"/>
        <c:auto val="1"/>
        <c:lblAlgn val="ctr"/>
        <c:lblOffset val="100"/>
        <c:noMultiLvlLbl val="1"/>
      </c:catAx>
      <c:valAx>
        <c:axId val="2070932494"/>
        <c:scaling>
          <c:orientation val="minMax"/>
          <c:max val="250"/>
          <c:min val="-10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/>
                </a:pPr>
                <a:r>
                  <a:t>%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 w="47625">
            <a:noFill/>
          </a:ln>
        </c:spPr>
        <c:txPr>
          <a:bodyPr/>
          <a:lstStyle/>
          <a:p>
            <a:pPr lvl="0">
              <a:defRPr/>
            </a:pPr>
            <a:endParaRPr lang="en-US"/>
          </a:p>
        </c:txPr>
        <c:crossAx val="1802979763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800" b="1">
                <a:solidFill>
                  <a:srgbClr val="000000"/>
                </a:solidFill>
              </a:defRPr>
            </a:pPr>
            <a:r>
              <a:t>Overcapacity % for each secondary school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3366CC"/>
            </a:solidFill>
          </c:spPr>
          <c:invertIfNegative val="1"/>
          <c:val>
            <c:numRef>
              <c:f>'linear projection secondary'!$R$101:$R$119</c:f>
              <c:numCache>
                <c:formatCode>General</c:formatCode>
                <c:ptCount val="19"/>
                <c:pt idx="0">
                  <c:v>18</c:v>
                </c:pt>
                <c:pt idx="1">
                  <c:v>-6</c:v>
                </c:pt>
                <c:pt idx="2">
                  <c:v>25</c:v>
                </c:pt>
                <c:pt idx="3">
                  <c:v>63</c:v>
                </c:pt>
                <c:pt idx="4">
                  <c:v>62</c:v>
                </c:pt>
                <c:pt idx="5">
                  <c:v>94</c:v>
                </c:pt>
                <c:pt idx="6">
                  <c:v>16</c:v>
                </c:pt>
                <c:pt idx="7">
                  <c:v>27</c:v>
                </c:pt>
                <c:pt idx="8">
                  <c:v>23</c:v>
                </c:pt>
                <c:pt idx="9">
                  <c:v>192</c:v>
                </c:pt>
                <c:pt idx="10">
                  <c:v>141</c:v>
                </c:pt>
                <c:pt idx="11">
                  <c:v>29</c:v>
                </c:pt>
                <c:pt idx="12">
                  <c:v>59</c:v>
                </c:pt>
                <c:pt idx="13">
                  <c:v>97</c:v>
                </c:pt>
                <c:pt idx="14">
                  <c:v>48</c:v>
                </c:pt>
                <c:pt idx="15">
                  <c:v>81</c:v>
                </c:pt>
                <c:pt idx="16">
                  <c:v>2</c:v>
                </c:pt>
                <c:pt idx="17">
                  <c:v>2</c:v>
                </c:pt>
                <c:pt idx="18">
                  <c:v>60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8D07-40CF-9166-ABA514C250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58869499"/>
        <c:axId val="479221570"/>
      </c:barChart>
      <c:catAx>
        <c:axId val="9588694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400" i="1">
                    <a:solidFill>
                      <a:srgbClr val="222222"/>
                    </a:solidFill>
                  </a:defRPr>
                </a:pPr>
                <a:r>
                  <a:t>Schools</a:t>
                </a:r>
              </a:p>
            </c:rich>
          </c:tx>
          <c:overlay val="0"/>
        </c:title>
        <c:majorTickMark val="cross"/>
        <c:minorTickMark val="cross"/>
        <c:tickLblPos val="nextTo"/>
        <c:txPr>
          <a:bodyPr/>
          <a:lstStyle/>
          <a:p>
            <a:pPr lvl="0">
              <a:defRPr/>
            </a:pPr>
            <a:endParaRPr lang="en-US"/>
          </a:p>
        </c:txPr>
        <c:crossAx val="479221570"/>
        <c:crosses val="autoZero"/>
        <c:auto val="1"/>
        <c:lblAlgn val="ctr"/>
        <c:lblOffset val="100"/>
        <c:noMultiLvlLbl val="1"/>
      </c:catAx>
      <c:valAx>
        <c:axId val="479221570"/>
        <c:scaling>
          <c:orientation val="minMax"/>
          <c:max val="200"/>
          <c:min val="-1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400" i="1">
                    <a:solidFill>
                      <a:srgbClr val="222222"/>
                    </a:solidFill>
                  </a:defRPr>
                </a:pPr>
                <a:r>
                  <a:t>%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 w="47625">
            <a:noFill/>
          </a:ln>
        </c:spPr>
        <c:txPr>
          <a:bodyPr/>
          <a:lstStyle/>
          <a:p>
            <a:pPr lvl="0">
              <a:defRPr/>
            </a:pPr>
            <a:endParaRPr lang="en-US"/>
          </a:p>
        </c:txPr>
        <c:crossAx val="958869499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123825</xdr:colOff>
      <xdr:row>106</xdr:row>
      <xdr:rowOff>171450</xdr:rowOff>
    </xdr:from>
    <xdr:to>
      <xdr:col>11</xdr:col>
      <xdr:colOff>828675</xdr:colOff>
      <xdr:row>128</xdr:row>
      <xdr:rowOff>57150</xdr:rowOff>
    </xdr:to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533400</xdr:colOff>
      <xdr:row>101</xdr:row>
      <xdr:rowOff>47625</xdr:rowOff>
    </xdr:from>
    <xdr:to>
      <xdr:col>24</xdr:col>
      <xdr:colOff>476250</xdr:colOff>
      <xdr:row>118</xdr:row>
      <xdr:rowOff>180975</xdr:rowOff>
    </xdr:to>
    <xdr:graphicFrame macro="">
      <xdr:nvGraphicFramePr>
        <xdr:cNvPr id="2" name="Chart 2" title="Chart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3.xml.rels><?xml version="1.0" encoding="UTF-8" standalone="yes"?>
<Relationships xmlns="http://schemas.openxmlformats.org/package/2006/relationships"><Relationship Id="rId26" Type="http://schemas.openxmlformats.org/officeDocument/2006/relationships/hyperlink" Target="http://mybaragar.com/index.cfm?event=action.PublicSchoolLocatorAllSchools&amp;school_guid=380066E9-C561-4C9F-B0D2-933DBF788801&amp;DistrictGUID=E6EC1BC2-3986-463A-9ED9-FFF4DECA3AB3&amp;DistrictCode=BC36&amp;DataStatus=1&amp;token=6E99A5CF2DF0F43262F17E857D0D7C1472011FBEF62E4E7104EB8F96AB55F6FD" TargetMode="External"/><Relationship Id="rId21" Type="http://schemas.openxmlformats.org/officeDocument/2006/relationships/hyperlink" Target="http://mybaragar.com/index.cfm?event=action.PublicSchoolLocatorAllSchools&amp;school_guid=80A37ADF-3391-4291-9C5E-4DA311039E65&amp;DistrictGUID=E6EC1BC2-3986-463A-9ED9-FFF4DECA3AB3&amp;DistrictCode=BC36&amp;DataStatus=1&amp;token=6E99A5CF2DF0F43262F17E857D0D7C1472011FBEF62E4E7104EB8F96AB55F6FD" TargetMode="External"/><Relationship Id="rId42" Type="http://schemas.openxmlformats.org/officeDocument/2006/relationships/hyperlink" Target="http://mybaragar.com/index.cfm?event=action.PublicSchoolLocatorAllSchools&amp;school_guid=60C9198F-5DF3-4977-8D47-A450108EF12D&amp;DistrictGUID=E6EC1BC2-3986-463A-9ED9-FFF4DECA3AB3&amp;DistrictCode=BC36&amp;DataStatus=1&amp;token=6E99A5CF2DF0F43262F17E857D0D7C1472011FBEF62E4E7104EB8F96AB55F6FD" TargetMode="External"/><Relationship Id="rId47" Type="http://schemas.openxmlformats.org/officeDocument/2006/relationships/hyperlink" Target="http://mybaragar.com/index.cfm?event=action.PublicSchoolLocatorAllSchools&amp;school_guid=F29512B0-ED2D-4F6D-A7D0-7A349D6028B4&amp;DistrictGUID=E6EC1BC2-3986-463A-9ED9-FFF4DECA3AB3&amp;DistrictCode=BC36&amp;DataStatus=1&amp;token=6E99A5CF2DF0F43262F17E857D0D7C1472011FBEF62E4E7104EB8F96AB55F6FD" TargetMode="External"/><Relationship Id="rId63" Type="http://schemas.openxmlformats.org/officeDocument/2006/relationships/hyperlink" Target="http://mybaragar.com/index.cfm?event=action.PublicSchoolLocatorAllSchools&amp;school_guid=6F00D459-F624-4162-AC34-1556F9FA165A&amp;DistrictGUID=E6EC1BC2-3986-463A-9ED9-FFF4DECA3AB3&amp;DistrictCode=BC36&amp;DataStatus=1&amp;token=6E99A5CF2DF0F43262F17E857D0D7C1472011FBEF62E4E7104EB8F96AB55F6FD" TargetMode="External"/><Relationship Id="rId68" Type="http://schemas.openxmlformats.org/officeDocument/2006/relationships/hyperlink" Target="http://mybaragar.com/index.cfm?event=action.PublicSchoolLocatorAllSchools&amp;school_guid=0C159246-6B6B-4837-8813-034B7760B3D5&amp;DistrictGUID=E6EC1BC2-3986-463A-9ED9-FFF4DECA3AB3&amp;DistrictCode=BC36&amp;DataStatus=1&amp;token=6E99A5CF2DF0F43262F17E857D0D7C1472011FBEF62E4E7104EB8F96AB55F6FD" TargetMode="External"/><Relationship Id="rId84" Type="http://schemas.openxmlformats.org/officeDocument/2006/relationships/hyperlink" Target="http://mybaragar.com/index.cfm?event=action.PublicSchoolLocatorAllSchools&amp;school_guid=7FEDD7E1-4DD7-4086-9AD3-A1B124610F8F&amp;DistrictGUID=E6EC1BC2-3986-463A-9ED9-FFF4DECA3AB3&amp;DistrictCode=BC36&amp;DataStatus=1&amp;token=6E99A5CF2DF0F43262F17E857D0D7C1472011FBEF62E4E7104EB8F96AB55F6FD" TargetMode="External"/><Relationship Id="rId89" Type="http://schemas.openxmlformats.org/officeDocument/2006/relationships/hyperlink" Target="http://mybaragar.com/index.cfm?event=action.PublicSchoolLocatorAllSchools&amp;school_guid=D797ED26-1B3A-4391-842A-1A6AE4300889&amp;DistrictGUID=E6EC1BC2-3986-463A-9ED9-FFF4DECA3AB3&amp;DistrictCode=BC36&amp;DataStatus=1&amp;token=6E99A5CF2DF0F43262F17E857D0D7C1472011FBEF62E4E7104EB8F96AB55F6FD" TargetMode="External"/><Relationship Id="rId16" Type="http://schemas.openxmlformats.org/officeDocument/2006/relationships/hyperlink" Target="http://mybaragar.com/index.cfm?event=action.PublicSchoolLocatorAllSchools&amp;school_guid=55383491-2304-43CD-BABE-5A65FEF3B166&amp;DistrictGUID=E6EC1BC2-3986-463A-9ED9-FFF4DECA3AB3&amp;DistrictCode=BC36&amp;DataStatus=1&amp;token=6E99A5CF2DF0F43262F17E857D0D7C1472011FBEF62E4E7104EB8F96AB55F6FD" TargetMode="External"/><Relationship Id="rId11" Type="http://schemas.openxmlformats.org/officeDocument/2006/relationships/hyperlink" Target="http://mybaragar.com/index.cfm?event=action.PublicSchoolLocatorAllSchools&amp;school_guid=B318B2AC-6031-4CA3-B490-CDBF8DF00236&amp;DistrictGUID=E6EC1BC2-3986-463A-9ED9-FFF4DECA3AB3&amp;DistrictCode=BC36&amp;DataStatus=1&amp;token=6E99A5CF2DF0F43262F17E857D0D7C1472011FBEF62E4E7104EB8F96AB55F6FD" TargetMode="External"/><Relationship Id="rId32" Type="http://schemas.openxmlformats.org/officeDocument/2006/relationships/hyperlink" Target="http://mybaragar.com/index.cfm?event=action.PublicSchoolLocatorAllSchools&amp;school_guid=1276CE11-16EA-438A-AD4C-FF1AB429F887&amp;DistrictGUID=E6EC1BC2-3986-463A-9ED9-FFF4DECA3AB3&amp;DistrictCode=BC36&amp;DataStatus=1&amp;token=6E99A5CF2DF0F43262F17E857D0D7C1472011FBEF62E4E7104EB8F96AB55F6FD" TargetMode="External"/><Relationship Id="rId37" Type="http://schemas.openxmlformats.org/officeDocument/2006/relationships/hyperlink" Target="http://mybaragar.com/index.cfm?event=action.PublicSchoolLocatorAllSchools&amp;school_guid=826EA976-70CF-4154-A167-39B2E07DC377&amp;DistrictGUID=E6EC1BC2-3986-463A-9ED9-FFF4DECA3AB3&amp;DistrictCode=BC36&amp;DataStatus=1&amp;token=6E99A5CF2DF0F43262F17E857D0D7C1472011FBEF62E4E7104EB8F96AB55F6FD" TargetMode="External"/><Relationship Id="rId53" Type="http://schemas.openxmlformats.org/officeDocument/2006/relationships/hyperlink" Target="http://mybaragar.com/index.cfm?event=action.PublicSchoolLocatorAllSchools&amp;school_guid=F3C956BC-7A9A-4BCA-9F46-DD5AC915BD55&amp;DistrictGUID=E6EC1BC2-3986-463A-9ED9-FFF4DECA3AB3&amp;DistrictCode=BC36&amp;DataStatus=1&amp;token=6E99A5CF2DF0F43262F17E857D0D7C1472011FBEF62E4E7104EB8F96AB55F6FD" TargetMode="External"/><Relationship Id="rId58" Type="http://schemas.openxmlformats.org/officeDocument/2006/relationships/hyperlink" Target="http://mybaragar.com/index.cfm?event=action.PublicSchoolLocatorAllSchools&amp;school_guid=AAC1CD1E-FC3C-4707-9194-8A81E8502BFF&amp;DistrictGUID=E6EC1BC2-3986-463A-9ED9-FFF4DECA3AB3&amp;DistrictCode=BC36&amp;DataStatus=1&amp;token=6E99A5CF2DF0F43262F17E857D0D7C1472011FBEF62E4E7104EB8F96AB55F6FD" TargetMode="External"/><Relationship Id="rId74" Type="http://schemas.openxmlformats.org/officeDocument/2006/relationships/hyperlink" Target="http://mybaragar.com/index.cfm?event=action.PublicSchoolLocatorAllSchools&amp;school_guid=2CA32233-6EA1-4CE2-96F3-BF5FE18FB14F&amp;DistrictGUID=E6EC1BC2-3986-463A-9ED9-FFF4DECA3AB3&amp;DistrictCode=BC36&amp;DataStatus=1&amp;token=6E99A5CF2DF0F43262F17E857D0D7C1472011FBEF62E4E7104EB8F96AB55F6FD" TargetMode="External"/><Relationship Id="rId79" Type="http://schemas.openxmlformats.org/officeDocument/2006/relationships/hyperlink" Target="http://mybaragar.com/index.cfm?event=action.PublicSchoolLocatorAllSchools&amp;school_guid=B247E9D6-AF70-44E4-8723-13365BAFE9D0&amp;DistrictGUID=E6EC1BC2-3986-463A-9ED9-FFF4DECA3AB3&amp;DistrictCode=BC36&amp;DataStatus=1&amp;token=6E99A5CF2DF0F43262F17E857D0D7C1472011FBEF62E4E7104EB8F96AB55F6FD" TargetMode="External"/><Relationship Id="rId5" Type="http://schemas.openxmlformats.org/officeDocument/2006/relationships/hyperlink" Target="http://mybaragar.com/index.cfm?event=action.PublicSchoolLocatorAllSchools&amp;school_guid=26B60423-E72E-463D-BDA7-ABAC413DDA86&amp;DistrictGUID=E6EC1BC2-3986-463A-9ED9-FFF4DECA3AB3&amp;DistrictCode=BC36&amp;DataStatus=1&amp;token=6E99A5CF2DF0F43262F17E857D0D7C1472011FBEF62E4E7104EB8F96AB55F6FD" TargetMode="External"/><Relationship Id="rId90" Type="http://schemas.openxmlformats.org/officeDocument/2006/relationships/hyperlink" Target="http://mybaragar.com/index.cfm?event=action.PublicSchoolLocatorAllSchools&amp;school_guid=50714DBB-6800-4930-9C26-A0F270C92E88&amp;DistrictGUID=E6EC1BC2-3986-463A-9ED9-FFF4DECA3AB3&amp;DistrictCode=BC36&amp;DataStatus=1&amp;token=6E99A5CF2DF0F43262F17E857D0D7C1472011FBEF62E4E7104EB8F96AB55F6FD" TargetMode="External"/><Relationship Id="rId95" Type="http://schemas.openxmlformats.org/officeDocument/2006/relationships/hyperlink" Target="http://mybaragar.com/index.cfm?event=action.PublicSchoolLocatorAllSchools&amp;school_guid=545EC4E1-847D-418A-848C-13C65886CDAD&amp;DistrictGUID=E6EC1BC2-3986-463A-9ED9-FFF4DECA3AB3&amp;DistrictCode=BC36&amp;DataStatus=1&amp;token=6E99A5CF2DF0F43262F17E857D0D7C1472011FBEF62E4E7104EB8F96AB55F6FD" TargetMode="External"/><Relationship Id="rId22" Type="http://schemas.openxmlformats.org/officeDocument/2006/relationships/hyperlink" Target="http://mybaragar.com/index.cfm?event=action.PublicSchoolLocatorAllSchools&amp;school_guid=DCC95976-DA90-4ED5-A9B7-D6CAA89E5973&amp;DistrictGUID=E6EC1BC2-3986-463A-9ED9-FFF4DECA3AB3&amp;DistrictCode=BC36&amp;DataStatus=1&amp;token=6E99A5CF2DF0F43262F17E857D0D7C1472011FBEF62E4E7104EB8F96AB55F6FD" TargetMode="External"/><Relationship Id="rId27" Type="http://schemas.openxmlformats.org/officeDocument/2006/relationships/hyperlink" Target="http://mybaragar.com/index.cfm?event=action.PublicSchoolLocatorAllSchools&amp;school_guid=FA0086F3-28E7-49D6-968C-C1DFC6576DAC&amp;DistrictGUID=E6EC1BC2-3986-463A-9ED9-FFF4DECA3AB3&amp;DistrictCode=BC36&amp;DataStatus=1&amp;token=6E99A5CF2DF0F43262F17E857D0D7C1472011FBEF62E4E7104EB8F96AB55F6FD" TargetMode="External"/><Relationship Id="rId43" Type="http://schemas.openxmlformats.org/officeDocument/2006/relationships/hyperlink" Target="http://mybaragar.com/index.cfm?event=action.PublicSchoolLocatorAllSchools&amp;school_guid=9BA9807C-2E69-406A-809A-656BED4D202F&amp;DistrictGUID=E6EC1BC2-3986-463A-9ED9-FFF4DECA3AB3&amp;DistrictCode=BC36&amp;DataStatus=1&amp;token=6E99A5CF2DF0F43262F17E857D0D7C1472011FBEF62E4E7104EB8F96AB55F6FD" TargetMode="External"/><Relationship Id="rId48" Type="http://schemas.openxmlformats.org/officeDocument/2006/relationships/hyperlink" Target="http://mybaragar.com/index.cfm?event=action.PublicSchoolLocatorAllSchools&amp;school_guid=280B83B4-BC40-4460-B191-7EA748FC58C6&amp;DistrictGUID=E6EC1BC2-3986-463A-9ED9-FFF4DECA3AB3&amp;DistrictCode=BC36&amp;DataStatus=1&amp;token=6E99A5CF2DF0F43262F17E857D0D7C1472011FBEF62E4E7104EB8F96AB55F6FD" TargetMode="External"/><Relationship Id="rId64" Type="http://schemas.openxmlformats.org/officeDocument/2006/relationships/hyperlink" Target="http://mybaragar.com/index.cfm?event=action.PublicSchoolLocatorAllSchools&amp;school_guid=C7F656A6-5374-4C04-A38F-2C925ACC1D89&amp;DistrictGUID=E6EC1BC2-3986-463A-9ED9-FFF4DECA3AB3&amp;DistrictCode=BC36&amp;DataStatus=1&amp;token=6E99A5CF2DF0F43262F17E857D0D7C1472011FBEF62E4E7104EB8F96AB55F6FD" TargetMode="External"/><Relationship Id="rId69" Type="http://schemas.openxmlformats.org/officeDocument/2006/relationships/hyperlink" Target="http://mybaragar.com/index.cfm?event=action.PublicSchoolLocatorAllSchools&amp;school_guid=9FE8F980-7C91-4F28-AF9F-12E8AE72672A&amp;DistrictGUID=E6EC1BC2-3986-463A-9ED9-FFF4DECA3AB3&amp;DistrictCode=BC36&amp;DataStatus=1&amp;token=6E99A5CF2DF0F43262F17E857D0D7C1472011FBEF62E4E7104EB8F96AB55F6FD" TargetMode="External"/><Relationship Id="rId8" Type="http://schemas.openxmlformats.org/officeDocument/2006/relationships/hyperlink" Target="http://mybaragar.com/index.cfm?event=action.PublicSchoolLocatorAllSchools&amp;school_guid=7088753D-4671-49F3-A165-42DAD15C70A5&amp;DistrictGUID=E6EC1BC2-3986-463A-9ED9-FFF4DECA3AB3&amp;DistrictCode=BC36&amp;DataStatus=1&amp;token=6E99A5CF2DF0F43262F17E857D0D7C1472011FBEF62E4E7104EB8F96AB55F6FD" TargetMode="External"/><Relationship Id="rId51" Type="http://schemas.openxmlformats.org/officeDocument/2006/relationships/hyperlink" Target="http://mybaragar.com/index.cfm?event=action.PublicSchoolLocatorAllSchools&amp;school_guid=0A6717AC-30CE-4E89-A42A-5F0933D33EFC&amp;DistrictGUID=E6EC1BC2-3986-463A-9ED9-FFF4DECA3AB3&amp;DistrictCode=BC36&amp;DataStatus=1&amp;token=6E99A5CF2DF0F43262F17E857D0D7C1472011FBEF62E4E7104EB8F96AB55F6FD" TargetMode="External"/><Relationship Id="rId72" Type="http://schemas.openxmlformats.org/officeDocument/2006/relationships/hyperlink" Target="http://mybaragar.com/index.cfm?event=action.PublicSchoolLocatorAllSchools&amp;school_guid=F02077AA-4E3A-446C-A6D3-99B17E8E3F75&amp;DistrictGUID=E6EC1BC2-3986-463A-9ED9-FFF4DECA3AB3&amp;DistrictCode=BC36&amp;DataStatus=1&amp;token=6E99A5CF2DF0F43262F17E857D0D7C1472011FBEF62E4E7104EB8F96AB55F6FD" TargetMode="External"/><Relationship Id="rId80" Type="http://schemas.openxmlformats.org/officeDocument/2006/relationships/hyperlink" Target="http://mybaragar.com/index.cfm?event=action.PublicSchoolLocatorAllSchools&amp;school_guid=6C5FB3FC-1C50-4350-AAC7-767471039A5A&amp;DistrictGUID=E6EC1BC2-3986-463A-9ED9-FFF4DECA3AB3&amp;DistrictCode=BC36&amp;DataStatus=1&amp;token=6E99A5CF2DF0F43262F17E857D0D7C1472011FBEF62E4E7104EB8F96AB55F6FD" TargetMode="External"/><Relationship Id="rId85" Type="http://schemas.openxmlformats.org/officeDocument/2006/relationships/hyperlink" Target="http://mybaragar.com/index.cfm?event=action.PublicSchoolLocatorAllSchools&amp;school_guid=79621CB5-9F0A-4798-A49C-45F895EBD854&amp;DistrictGUID=E6EC1BC2-3986-463A-9ED9-FFF4DECA3AB3&amp;DistrictCode=BC36&amp;DataStatus=1&amp;token=6E99A5CF2DF0F43262F17E857D0D7C1472011FBEF62E4E7104EB8F96AB55F6FD" TargetMode="External"/><Relationship Id="rId93" Type="http://schemas.openxmlformats.org/officeDocument/2006/relationships/hyperlink" Target="http://mybaragar.com/index.cfm?event=action.PublicSchoolLocatorAllSchools&amp;school_guid=CB7CF14B-42ED-44EE-8651-6ADB1944CFCD&amp;DistrictGUID=E6EC1BC2-3986-463A-9ED9-FFF4DECA3AB3&amp;DistrictCode=BC36&amp;DataStatus=1&amp;token=6E99A5CF2DF0F43262F17E857D0D7C1472011FBEF62E4E7104EB8F96AB55F6FD" TargetMode="External"/><Relationship Id="rId3" Type="http://schemas.openxmlformats.org/officeDocument/2006/relationships/hyperlink" Target="http://mybaragar.com/index.cfm?event=action.PublicSchoolLocatorAllSchools&amp;school_guid=299063D6-8763-4A9F-885B-67709C3073E6&amp;DistrictGUID=E6EC1BC2-3986-463A-9ED9-FFF4DECA3AB3&amp;DistrictCode=BC36&amp;DataStatus=1&amp;token=6E99A5CF2DF0F43262F17E857D0D7C1472011FBEF62E4E7104EB8F96AB55F6FD" TargetMode="External"/><Relationship Id="rId12" Type="http://schemas.openxmlformats.org/officeDocument/2006/relationships/hyperlink" Target="http://mybaragar.com/index.cfm?event=action.PublicSchoolLocatorAllSchools&amp;school_guid=887F3038-6D86-44CF-B4E8-57BDDD1FDEEE&amp;DistrictGUID=E6EC1BC2-3986-463A-9ED9-FFF4DECA3AB3&amp;DistrictCode=BC36&amp;DataStatus=1&amp;token=6E99A5CF2DF0F43262F17E857D0D7C1472011FBEF62E4E7104EB8F96AB55F6FD" TargetMode="External"/><Relationship Id="rId17" Type="http://schemas.openxmlformats.org/officeDocument/2006/relationships/hyperlink" Target="http://mybaragar.com/index.cfm?event=action.PublicSchoolLocatorAllSchools&amp;school_guid=7CF53B5B-B463-4BDB-B876-FA379F453AB1&amp;DistrictGUID=E6EC1BC2-3986-463A-9ED9-FFF4DECA3AB3&amp;DistrictCode=BC36&amp;DataStatus=1&amp;token=6E99A5CF2DF0F43262F17E857D0D7C1472011FBEF62E4E7104EB8F96AB55F6FD" TargetMode="External"/><Relationship Id="rId25" Type="http://schemas.openxmlformats.org/officeDocument/2006/relationships/hyperlink" Target="http://mybaragar.com/index.cfm?event=action.PublicSchoolLocatorAllSchools&amp;school_guid=10A3695D-1EFB-49EB-890E-1A9606478524&amp;DistrictGUID=E6EC1BC2-3986-463A-9ED9-FFF4DECA3AB3&amp;DistrictCode=BC36&amp;DataStatus=1&amp;token=6E99A5CF2DF0F43262F17E857D0D7C1472011FBEF62E4E7104EB8F96AB55F6FD" TargetMode="External"/><Relationship Id="rId33" Type="http://schemas.openxmlformats.org/officeDocument/2006/relationships/hyperlink" Target="http://mybaragar.com/index.cfm?event=action.PublicSchoolLocatorAllSchools&amp;school_guid=88AAF28A-CDAF-4FCA-99F2-049BDB200C82&amp;DistrictGUID=E6EC1BC2-3986-463A-9ED9-FFF4DECA3AB3&amp;DistrictCode=BC36&amp;DataStatus=1&amp;token=6E99A5CF2DF0F43262F17E857D0D7C1472011FBEF62E4E7104EB8F96AB55F6FD" TargetMode="External"/><Relationship Id="rId38" Type="http://schemas.openxmlformats.org/officeDocument/2006/relationships/hyperlink" Target="http://mybaragar.com/index.cfm?event=action.PublicSchoolLocatorAllSchools&amp;school_guid=1EF1DAFB-DE6B-4E0B-8954-BC59AABC2484&amp;DistrictGUID=E6EC1BC2-3986-463A-9ED9-FFF4DECA3AB3&amp;DistrictCode=BC36&amp;DataStatus=1&amp;token=6E99A5CF2DF0F43262F17E857D0D7C1472011FBEF62E4E7104EB8F96AB55F6FD" TargetMode="External"/><Relationship Id="rId46" Type="http://schemas.openxmlformats.org/officeDocument/2006/relationships/hyperlink" Target="http://mybaragar.com/index.cfm?event=action.PublicSchoolLocatorAllSchools&amp;school_guid=DE340F67-4E73-467E-A508-CD339295AC72&amp;DistrictGUID=E6EC1BC2-3986-463A-9ED9-FFF4DECA3AB3&amp;DistrictCode=BC36&amp;DataStatus=1&amp;token=6E99A5CF2DF0F43262F17E857D0D7C1472011FBEF62E4E7104EB8F96AB55F6FD" TargetMode="External"/><Relationship Id="rId59" Type="http://schemas.openxmlformats.org/officeDocument/2006/relationships/hyperlink" Target="http://mybaragar.com/index.cfm?event=action.PublicSchoolLocatorAllSchools&amp;school_guid=CE92A74A-FCC5-4B97-9CD9-D81CC0491E32&amp;DistrictGUID=E6EC1BC2-3986-463A-9ED9-FFF4DECA3AB3&amp;DistrictCode=BC36&amp;DataStatus=1&amp;token=6E99A5CF2DF0F43262F17E857D0D7C1472011FBEF62E4E7104EB8F96AB55F6FD" TargetMode="External"/><Relationship Id="rId67" Type="http://schemas.openxmlformats.org/officeDocument/2006/relationships/hyperlink" Target="http://mybaragar.com/index.cfm?event=action.PublicSchoolLocatorAllSchools&amp;school_guid=9B4632BD-6218-443B-A0EF-B078B3F23C12&amp;DistrictGUID=E6EC1BC2-3986-463A-9ED9-FFF4DECA3AB3&amp;DistrictCode=BC36&amp;DataStatus=1&amp;token=6E99A5CF2DF0F43262F17E857D0D7C1472011FBEF62E4E7104EB8F96AB55F6FD" TargetMode="External"/><Relationship Id="rId20" Type="http://schemas.openxmlformats.org/officeDocument/2006/relationships/hyperlink" Target="http://mybaragar.com/index.cfm?event=action.PublicSchoolLocatorAllSchools&amp;school_guid=DB5DBF71-508A-4B20-B525-19E718D3A80A&amp;DistrictGUID=E6EC1BC2-3986-463A-9ED9-FFF4DECA3AB3&amp;DistrictCode=BC36&amp;DataStatus=1&amp;token=6E99A5CF2DF0F43262F17E857D0D7C1472011FBEF62E4E7104EB8F96AB55F6FD" TargetMode="External"/><Relationship Id="rId41" Type="http://schemas.openxmlformats.org/officeDocument/2006/relationships/hyperlink" Target="http://mybaragar.com/index.cfm?event=action.PublicSchoolLocatorAllSchools&amp;school_guid=B835A471-81DC-4A2A-A820-AB730E129362&amp;DistrictGUID=E6EC1BC2-3986-463A-9ED9-FFF4DECA3AB3&amp;DistrictCode=BC36&amp;DataStatus=1&amp;token=6E99A5CF2DF0F43262F17E857D0D7C1472011FBEF62E4E7104EB8F96AB55F6FD" TargetMode="External"/><Relationship Id="rId54" Type="http://schemas.openxmlformats.org/officeDocument/2006/relationships/hyperlink" Target="http://mybaragar.com/index.cfm?event=action.PublicSchoolLocatorAllSchools&amp;school_guid=44C4B3C8-5C1B-4BD2-9B13-8885BCD9F283&amp;DistrictGUID=E6EC1BC2-3986-463A-9ED9-FFF4DECA3AB3&amp;DistrictCode=BC36&amp;DataStatus=1&amp;token=6E99A5CF2DF0F43262F17E857D0D7C1472011FBEF62E4E7104EB8F96AB55F6FD" TargetMode="External"/><Relationship Id="rId62" Type="http://schemas.openxmlformats.org/officeDocument/2006/relationships/hyperlink" Target="http://mybaragar.com/index.cfm?event=action.PublicSchoolLocatorAllSchools&amp;school_guid=399B58A8-9AD6-4D23-9B7F-9D8FF081D035&amp;DistrictGUID=E6EC1BC2-3986-463A-9ED9-FFF4DECA3AB3&amp;DistrictCode=BC36&amp;DataStatus=1&amp;token=6E99A5CF2DF0F43262F17E857D0D7C1472011FBEF62E4E7104EB8F96AB55F6FD" TargetMode="External"/><Relationship Id="rId70" Type="http://schemas.openxmlformats.org/officeDocument/2006/relationships/hyperlink" Target="http://mybaragar.com/index.cfm?event=action.PublicSchoolLocatorAllSchools&amp;school_guid=E67735F5-0AF8-4A38-B660-88DE91D1A612&amp;DistrictGUID=E6EC1BC2-3986-463A-9ED9-FFF4DECA3AB3&amp;DistrictCode=BC36&amp;DataStatus=1&amp;token=6E99A5CF2DF0F43262F17E857D0D7C1472011FBEF62E4E7104EB8F96AB55F6FD" TargetMode="External"/><Relationship Id="rId75" Type="http://schemas.openxmlformats.org/officeDocument/2006/relationships/hyperlink" Target="http://mybaragar.com/index.cfm?event=action.PublicSchoolLocatorAllSchools&amp;school_guid=C2EF6B83-6136-4F12-A5EA-B6807F8B1E7B&amp;DistrictGUID=E6EC1BC2-3986-463A-9ED9-FFF4DECA3AB3&amp;DistrictCode=BC36&amp;DataStatus=1&amp;token=6E99A5CF2DF0F43262F17E857D0D7C1472011FBEF62E4E7104EB8F96AB55F6FD" TargetMode="External"/><Relationship Id="rId83" Type="http://schemas.openxmlformats.org/officeDocument/2006/relationships/hyperlink" Target="http://mybaragar.com/index.cfm?event=action.PublicSchoolLocatorAllSchools&amp;school_guid=82E8060D-427E-4D7F-A226-86CB8FDD5B16&amp;DistrictGUID=E6EC1BC2-3986-463A-9ED9-FFF4DECA3AB3&amp;DistrictCode=BC36&amp;DataStatus=1&amp;token=6E99A5CF2DF0F43262F17E857D0D7C1472011FBEF62E4E7104EB8F96AB55F6FD" TargetMode="External"/><Relationship Id="rId88" Type="http://schemas.openxmlformats.org/officeDocument/2006/relationships/hyperlink" Target="http://mybaragar.com/index.cfm?event=action.PublicSchoolLocatorAllSchools&amp;school_guid=57A895A2-4C22-4B73-A4D7-A34E5488EB89&amp;DistrictGUID=E6EC1BC2-3986-463A-9ED9-FFF4DECA3AB3&amp;DistrictCode=BC36&amp;DataStatus=1&amp;token=6E99A5CF2DF0F43262F17E857D0D7C1472011FBEF62E4E7104EB8F96AB55F6FD" TargetMode="External"/><Relationship Id="rId91" Type="http://schemas.openxmlformats.org/officeDocument/2006/relationships/hyperlink" Target="http://mybaragar.com/index.cfm?event=action.PublicSchoolLocatorAllSchools&amp;school_guid=10EF9EF1-70D1-4284-A504-B30A82CFC464&amp;DistrictGUID=E6EC1BC2-3986-463A-9ED9-FFF4DECA3AB3&amp;DistrictCode=BC36&amp;DataStatus=1&amp;token=6E99A5CF2DF0F43262F17E857D0D7C1472011FBEF62E4E7104EB8F96AB55F6FD" TargetMode="External"/><Relationship Id="rId1" Type="http://schemas.openxmlformats.org/officeDocument/2006/relationships/hyperlink" Target="http://mybaragar.com/index.cfm?event=action.PublicSchoolLocatorAllSchools&amp;school_guid=4B9F928D-48C3-4054-935F-D154DC44DBBD&amp;DistrictGUID=E6EC1BC2-3986-463A-9ED9-FFF4DECA3AB3&amp;DistrictCode=BC36&amp;DataStatus=1&amp;token=6E99A5CF2DF0F43262F17E857D0D7C1472011FBEF62E4E7104EB8F96AB55F6FD" TargetMode="External"/><Relationship Id="rId6" Type="http://schemas.openxmlformats.org/officeDocument/2006/relationships/hyperlink" Target="http://mybaragar.com/index.cfm?event=action.PublicSchoolLocatorAllSchools&amp;school_guid=A42794A5-6D1B-4F96-A005-44FEABC607DB&amp;DistrictGUID=E6EC1BC2-3986-463A-9ED9-FFF4DECA3AB3&amp;DistrictCode=BC36&amp;DataStatus=1&amp;token=6E99A5CF2DF0F43262F17E857D0D7C1472011FBEF62E4E7104EB8F96AB55F6FD" TargetMode="External"/><Relationship Id="rId15" Type="http://schemas.openxmlformats.org/officeDocument/2006/relationships/hyperlink" Target="http://mybaragar.com/index.cfm?event=action.PublicSchoolLocatorAllSchools&amp;school_guid=08ED557D-B8D5-4627-8304-2B46E68B84D5&amp;DistrictGUID=E6EC1BC2-3986-463A-9ED9-FFF4DECA3AB3&amp;DistrictCode=BC36&amp;DataStatus=1&amp;token=6E99A5CF2DF0F43262F17E857D0D7C1472011FBEF62E4E7104EB8F96AB55F6FD" TargetMode="External"/><Relationship Id="rId23" Type="http://schemas.openxmlformats.org/officeDocument/2006/relationships/hyperlink" Target="http://mybaragar.com/index.cfm?event=action.PublicSchoolLocatorAllSchools&amp;school_guid=781AB989-FA8B-4202-AD6E-6A2E386720C3&amp;DistrictGUID=E6EC1BC2-3986-463A-9ED9-FFF4DECA3AB3&amp;DistrictCode=BC36&amp;DataStatus=1&amp;token=6E99A5CF2DF0F43262F17E857D0D7C1472011FBEF62E4E7104EB8F96AB55F6FD" TargetMode="External"/><Relationship Id="rId28" Type="http://schemas.openxmlformats.org/officeDocument/2006/relationships/hyperlink" Target="http://mybaragar.com/index.cfm?event=action.PublicSchoolLocatorAllSchools&amp;school_guid=FD5F0093-CDA4-4611-8C93-54FBFBB3A202&amp;DistrictGUID=E6EC1BC2-3986-463A-9ED9-FFF4DECA3AB3&amp;DistrictCode=BC36&amp;DataStatus=1&amp;token=6E99A5CF2DF0F43262F17E857D0D7C1472011FBEF62E4E7104EB8F96AB55F6FD" TargetMode="External"/><Relationship Id="rId36" Type="http://schemas.openxmlformats.org/officeDocument/2006/relationships/hyperlink" Target="http://mybaragar.com/index.cfm?event=action.PublicSchoolLocatorAllSchools&amp;school_guid=F15A34C7-C104-4F3F-A1C7-88BE1A635087&amp;DistrictGUID=E6EC1BC2-3986-463A-9ED9-FFF4DECA3AB3&amp;DistrictCode=BC36&amp;DataStatus=1&amp;token=6E99A5CF2DF0F43262F17E857D0D7C1472011FBEF62E4E7104EB8F96AB55F6FD" TargetMode="External"/><Relationship Id="rId49" Type="http://schemas.openxmlformats.org/officeDocument/2006/relationships/hyperlink" Target="http://mybaragar.com/index.cfm?event=action.PublicSchoolLocatorAllSchools&amp;school_guid=C9678910-524B-4CDA-8AF2-11D69D673CD7&amp;DistrictGUID=E6EC1BC2-3986-463A-9ED9-FFF4DECA3AB3&amp;DistrictCode=BC36&amp;DataStatus=1&amp;token=6E99A5CF2DF0F43262F17E857D0D7C1472011FBEF62E4E7104EB8F96AB55F6FD" TargetMode="External"/><Relationship Id="rId57" Type="http://schemas.openxmlformats.org/officeDocument/2006/relationships/hyperlink" Target="http://mybaragar.com/index.cfm?event=action.PublicSchoolLocatorAllSchools&amp;school_guid=3D9E981F-3730-47C9-B648-3C5F6C12EAEB&amp;DistrictGUID=E6EC1BC2-3986-463A-9ED9-FFF4DECA3AB3&amp;DistrictCode=BC36&amp;DataStatus=1&amp;token=6E99A5CF2DF0F43262F17E857D0D7C1472011FBEF62E4E7104EB8F96AB55F6FD" TargetMode="External"/><Relationship Id="rId10" Type="http://schemas.openxmlformats.org/officeDocument/2006/relationships/hyperlink" Target="http://mybaragar.com/index.cfm?event=action.PublicSchoolLocatorAllSchools&amp;school_guid=7776CF6F-90C5-48C0-AB6C-EEAA0F3F71A8&amp;DistrictGUID=E6EC1BC2-3986-463A-9ED9-FFF4DECA3AB3&amp;DistrictCode=BC36&amp;DataStatus=1&amp;token=6E99A5CF2DF0F43262F17E857D0D7C1472011FBEF62E4E7104EB8F96AB55F6FD" TargetMode="External"/><Relationship Id="rId31" Type="http://schemas.openxmlformats.org/officeDocument/2006/relationships/hyperlink" Target="http://mybaragar.com/index.cfm?event=action.PublicSchoolLocatorAllSchools&amp;school_guid=4A37A534-E616-4A72-922C-5408291421EF&amp;DistrictGUID=E6EC1BC2-3986-463A-9ED9-FFF4DECA3AB3&amp;DistrictCode=BC36&amp;DataStatus=1&amp;token=6E99A5CF2DF0F43262F17E857D0D7C1472011FBEF62E4E7104EB8F96AB55F6FD" TargetMode="External"/><Relationship Id="rId44" Type="http://schemas.openxmlformats.org/officeDocument/2006/relationships/hyperlink" Target="http://mybaragar.com/index.cfm?event=action.PublicSchoolLocatorAllSchools&amp;school_guid=E174BACD-D766-4AD1-9B14-9316112F8168&amp;DistrictGUID=E6EC1BC2-3986-463A-9ED9-FFF4DECA3AB3&amp;DistrictCode=BC36&amp;DataStatus=1&amp;token=6E99A5CF2DF0F43262F17E857D0D7C1472011FBEF62E4E7104EB8F96AB55F6FD" TargetMode="External"/><Relationship Id="rId52" Type="http://schemas.openxmlformats.org/officeDocument/2006/relationships/hyperlink" Target="http://mybaragar.com/index.cfm?event=action.PublicSchoolLocatorAllSchools&amp;school_guid=753EDF7A-7512-4F2A-87E9-D400F5DFABCB&amp;DistrictGUID=E6EC1BC2-3986-463A-9ED9-FFF4DECA3AB3&amp;DistrictCode=BC36&amp;DataStatus=1&amp;token=6E99A5CF2DF0F43262F17E857D0D7C1472011FBEF62E4E7104EB8F96AB55F6FD" TargetMode="External"/><Relationship Id="rId60" Type="http://schemas.openxmlformats.org/officeDocument/2006/relationships/hyperlink" Target="http://mybaragar.com/index.cfm?event=action.PublicSchoolLocatorAllSchools&amp;school_guid=6F4A091B-79A4-4D8B-AAC0-39C78489965F&amp;DistrictGUID=E6EC1BC2-3986-463A-9ED9-FFF4DECA3AB3&amp;DistrictCode=BC36&amp;DataStatus=1&amp;token=6E99A5CF2DF0F43262F17E857D0D7C1472011FBEF62E4E7104EB8F96AB55F6FD" TargetMode="External"/><Relationship Id="rId65" Type="http://schemas.openxmlformats.org/officeDocument/2006/relationships/hyperlink" Target="http://mybaragar.com/index.cfm?event=action.PublicSchoolLocatorAllSchools&amp;school_guid=DD927328-9BFB-445B-B26D-A1DB33437C6A&amp;DistrictGUID=E6EC1BC2-3986-463A-9ED9-FFF4DECA3AB3&amp;DistrictCode=BC36&amp;DataStatus=1&amp;token=6E99A5CF2DF0F43262F17E857D0D7C1472011FBEF62E4E7104EB8F96AB55F6FD" TargetMode="External"/><Relationship Id="rId73" Type="http://schemas.openxmlformats.org/officeDocument/2006/relationships/hyperlink" Target="http://mybaragar.com/index.cfm?event=action.PublicSchoolLocatorAllSchools&amp;school_guid=C3DBAC2F-B5D8-4887-9567-8D64EFF4C7CB&amp;DistrictGUID=E6EC1BC2-3986-463A-9ED9-FFF4DECA3AB3&amp;DistrictCode=BC36&amp;DataStatus=1&amp;token=6E99A5CF2DF0F43262F17E857D0D7C1472011FBEF62E4E7104EB8F96AB55F6FD" TargetMode="External"/><Relationship Id="rId78" Type="http://schemas.openxmlformats.org/officeDocument/2006/relationships/hyperlink" Target="http://mybaragar.com/index.cfm?event=action.PublicSchoolLocatorAllSchools&amp;school_guid=A0A25042-6B59-464B-B0CC-A9821758FD01&amp;DistrictGUID=E6EC1BC2-3986-463A-9ED9-FFF4DECA3AB3&amp;DistrictCode=BC36&amp;DataStatus=1&amp;token=6E99A5CF2DF0F43262F17E857D0D7C1472011FBEF62E4E7104EB8F96AB55F6FD" TargetMode="External"/><Relationship Id="rId81" Type="http://schemas.openxmlformats.org/officeDocument/2006/relationships/hyperlink" Target="http://mybaragar.com/index.cfm?event=action.PublicSchoolLocatorAllSchools&amp;school_guid=76509702-BA64-4400-91D1-8930FE2CB8A9&amp;DistrictGUID=E6EC1BC2-3986-463A-9ED9-FFF4DECA3AB3&amp;DistrictCode=BC36&amp;DataStatus=1&amp;token=6E99A5CF2DF0F43262F17E857D0D7C1472011FBEF62E4E7104EB8F96AB55F6FD" TargetMode="External"/><Relationship Id="rId86" Type="http://schemas.openxmlformats.org/officeDocument/2006/relationships/hyperlink" Target="http://mybaragar.com/index.cfm?event=action.PublicSchoolLocatorAllSchools&amp;school_guid=65CD118A-DFD4-44B5-B106-EC766443EF79&amp;DistrictGUID=E6EC1BC2-3986-463A-9ED9-FFF4DECA3AB3&amp;DistrictCode=BC36&amp;DataStatus=1&amp;token=6E99A5CF2DF0F43262F17E857D0D7C1472011FBEF62E4E7104EB8F96AB55F6FD" TargetMode="External"/><Relationship Id="rId94" Type="http://schemas.openxmlformats.org/officeDocument/2006/relationships/hyperlink" Target="http://mybaragar.com/index.cfm?event=action.PublicSchoolLocatorAllSchools&amp;school_guid=98C3B833-6C43-4EA1-92C4-938401E4304F&amp;DistrictGUID=E6EC1BC2-3986-463A-9ED9-FFF4DECA3AB3&amp;DistrictCode=BC36&amp;DataStatus=1&amp;token=6E99A5CF2DF0F43262F17E857D0D7C1472011FBEF62E4E7104EB8F96AB55F6FD" TargetMode="External"/><Relationship Id="rId4" Type="http://schemas.openxmlformats.org/officeDocument/2006/relationships/hyperlink" Target="http://mybaragar.com/index.cfm?event=action.PublicSchoolLocatorAllSchools&amp;school_guid=D19A802C-2279-46AD-B1CD-A7373FBACD3C&amp;DistrictGUID=E6EC1BC2-3986-463A-9ED9-FFF4DECA3AB3&amp;DistrictCode=BC36&amp;DataStatus=1&amp;token=6E99A5CF2DF0F43262F17E857D0D7C1472011FBEF62E4E7104EB8F96AB55F6FD" TargetMode="External"/><Relationship Id="rId9" Type="http://schemas.openxmlformats.org/officeDocument/2006/relationships/hyperlink" Target="http://mybaragar.com/index.cfm?event=action.PublicSchoolLocatorAllSchools&amp;school_guid=158B0241-B083-4176-8A7F-6D7A18D0E62B&amp;DistrictGUID=E6EC1BC2-3986-463A-9ED9-FFF4DECA3AB3&amp;DistrictCode=BC36&amp;DataStatus=1&amp;token=6E99A5CF2DF0F43262F17E857D0D7C1472011FBEF62E4E7104EB8F96AB55F6FD" TargetMode="External"/><Relationship Id="rId13" Type="http://schemas.openxmlformats.org/officeDocument/2006/relationships/hyperlink" Target="http://mybaragar.com/index.cfm?event=action.PublicSchoolLocatorAllSchools&amp;school_guid=15AF86A6-EE78-44FF-91C2-E73E5E28E4F0&amp;DistrictGUID=E6EC1BC2-3986-463A-9ED9-FFF4DECA3AB3&amp;DistrictCode=BC36&amp;DataStatus=1&amp;token=6E99A5CF2DF0F43262F17E857D0D7C1472011FBEF62E4E7104EB8F96AB55F6FD" TargetMode="External"/><Relationship Id="rId18" Type="http://schemas.openxmlformats.org/officeDocument/2006/relationships/hyperlink" Target="http://mybaragar.com/index.cfm?event=action.PublicSchoolLocatorAllSchools&amp;school_guid=B600D735-F17C-4E68-81E0-D9CE8A3E3C71&amp;DistrictGUID=E6EC1BC2-3986-463A-9ED9-FFF4DECA3AB3&amp;DistrictCode=BC36&amp;DataStatus=1&amp;token=6E99A5CF2DF0F43262F17E857D0D7C1472011FBEF62E4E7104EB8F96AB55F6FD" TargetMode="External"/><Relationship Id="rId39" Type="http://schemas.openxmlformats.org/officeDocument/2006/relationships/hyperlink" Target="http://mybaragar.com/index.cfm?event=action.PublicSchoolLocatorAllSchools&amp;school_guid=3EC6081C-F470-46AE-90F1-01F1CBEC2887&amp;DistrictGUID=E6EC1BC2-3986-463A-9ED9-FFF4DECA3AB3&amp;DistrictCode=BC36&amp;DataStatus=1&amp;token=6E99A5CF2DF0F43262F17E857D0D7C1472011FBEF62E4E7104EB8F96AB55F6FD" TargetMode="External"/><Relationship Id="rId34" Type="http://schemas.openxmlformats.org/officeDocument/2006/relationships/hyperlink" Target="http://mybaragar.com/index.cfm?event=action.PublicSchoolLocatorAllSchools&amp;school_guid=687DD677-76E3-4FAB-B93B-780C3C19FFEC&amp;DistrictGUID=E6EC1BC2-3986-463A-9ED9-FFF4DECA3AB3&amp;DistrictCode=BC36&amp;DataStatus=1&amp;token=6E99A5CF2DF0F43262F17E857D0D7C1472011FBEF62E4E7104EB8F96AB55F6FD" TargetMode="External"/><Relationship Id="rId50" Type="http://schemas.openxmlformats.org/officeDocument/2006/relationships/hyperlink" Target="http://mybaragar.com/index.cfm?event=action.PublicSchoolLocatorAllSchools&amp;school_guid=99B631A1-6CEA-4A19-8E53-E3DAE004CAAA&amp;DistrictGUID=E6EC1BC2-3986-463A-9ED9-FFF4DECA3AB3&amp;DistrictCode=BC36&amp;DataStatus=1&amp;token=6E99A5CF2DF0F43262F17E857D0D7C1472011FBEF62E4E7104EB8F96AB55F6FD" TargetMode="External"/><Relationship Id="rId55" Type="http://schemas.openxmlformats.org/officeDocument/2006/relationships/hyperlink" Target="http://mybaragar.com/index.cfm?event=action.PublicSchoolLocatorAllSchools&amp;school_guid=B1CE5153-1930-4C75-BEC6-7042A53D2699&amp;DistrictGUID=E6EC1BC2-3986-463A-9ED9-FFF4DECA3AB3&amp;DistrictCode=BC36&amp;DataStatus=1&amp;token=6E99A5CF2DF0F43262F17E857D0D7C1472011FBEF62E4E7104EB8F96AB55F6FD" TargetMode="External"/><Relationship Id="rId76" Type="http://schemas.openxmlformats.org/officeDocument/2006/relationships/hyperlink" Target="http://mybaragar.com/index.cfm?event=action.PublicSchoolLocatorAllSchools&amp;school_guid=EB887E0E-F2C0-40C3-A0B4-D22D6DF1034C&amp;DistrictGUID=E6EC1BC2-3986-463A-9ED9-FFF4DECA3AB3&amp;DistrictCode=BC36&amp;DataStatus=1&amp;token=6E99A5CF2DF0F43262F17E857D0D7C1472011FBEF62E4E7104EB8F96AB55F6FD" TargetMode="External"/><Relationship Id="rId7" Type="http://schemas.openxmlformats.org/officeDocument/2006/relationships/hyperlink" Target="http://mybaragar.com/index.cfm?event=action.PublicSchoolLocatorAllSchools&amp;school_guid=B721B701-0974-4BB1-B704-9AF541ACE922&amp;DistrictGUID=E6EC1BC2-3986-463A-9ED9-FFF4DECA3AB3&amp;DistrictCode=BC36&amp;DataStatus=1&amp;token=6E99A5CF2DF0F43262F17E857D0D7C1472011FBEF62E4E7104EB8F96AB55F6FD" TargetMode="External"/><Relationship Id="rId71" Type="http://schemas.openxmlformats.org/officeDocument/2006/relationships/hyperlink" Target="http://mybaragar.com/index.cfm?event=action.PublicSchoolLocatorAllSchools&amp;school_guid=1818A73B-CEF3-4F14-A019-4261E12F5248&amp;DistrictGUID=E6EC1BC2-3986-463A-9ED9-FFF4DECA3AB3&amp;DistrictCode=BC36&amp;DataStatus=1&amp;token=6E99A5CF2DF0F43262F17E857D0D7C1472011FBEF62E4E7104EB8F96AB55F6FD" TargetMode="External"/><Relationship Id="rId92" Type="http://schemas.openxmlformats.org/officeDocument/2006/relationships/hyperlink" Target="http://mybaragar.com/index.cfm?event=action.PublicSchoolLocatorAllSchools&amp;school_guid=E7256503-D68B-4A28-985F-C653BB188752&amp;DistrictGUID=E6EC1BC2-3986-463A-9ED9-FFF4DECA3AB3&amp;DistrictCode=BC36&amp;DataStatus=1&amp;token=6E99A5CF2DF0F43262F17E857D0D7C1472011FBEF62E4E7104EB8F96AB55F6FD" TargetMode="External"/><Relationship Id="rId2" Type="http://schemas.openxmlformats.org/officeDocument/2006/relationships/hyperlink" Target="http://mybaragar.com/index.cfm?event=action.PublicSchoolLocatorAllSchools&amp;school_guid=332058CE-7FF1-4CA3-A5D0-C4B5C9C8B779&amp;DistrictGUID=E6EC1BC2-3986-463A-9ED9-FFF4DECA3AB3&amp;DistrictCode=BC36&amp;DataStatus=1&amp;token=6E99A5CF2DF0F43262F17E857D0D7C1472011FBEF62E4E7104EB8F96AB55F6FD" TargetMode="External"/><Relationship Id="rId29" Type="http://schemas.openxmlformats.org/officeDocument/2006/relationships/hyperlink" Target="http://mybaragar.com/index.cfm?event=action.PublicSchoolLocatorAllSchools&amp;school_guid=3E3FFC61-7C0A-478B-AC37-6F01C8DECEB4&amp;DistrictGUID=E6EC1BC2-3986-463A-9ED9-FFF4DECA3AB3&amp;DistrictCode=BC36&amp;DataStatus=1&amp;token=6E99A5CF2DF0F43262F17E857D0D7C1472011FBEF62E4E7104EB8F96AB55F6FD" TargetMode="External"/><Relationship Id="rId24" Type="http://schemas.openxmlformats.org/officeDocument/2006/relationships/hyperlink" Target="http://mybaragar.com/index.cfm?event=action.PublicSchoolLocatorAllSchools&amp;school_guid=3766F622-DFCE-4879-A922-34CAA4F7441A&amp;DistrictGUID=E6EC1BC2-3986-463A-9ED9-FFF4DECA3AB3&amp;DistrictCode=BC36&amp;DataStatus=1&amp;token=6E99A5CF2DF0F43262F17E857D0D7C1472011FBEF62E4E7104EB8F96AB55F6FD" TargetMode="External"/><Relationship Id="rId40" Type="http://schemas.openxmlformats.org/officeDocument/2006/relationships/hyperlink" Target="http://mybaragar.com/index.cfm?event=action.PublicSchoolLocatorAllSchools&amp;school_guid=3DAF5C80-810D-4354-ADAD-771284EF851B&amp;DistrictGUID=E6EC1BC2-3986-463A-9ED9-FFF4DECA3AB3&amp;DistrictCode=BC36&amp;DataStatus=1&amp;token=6E99A5CF2DF0F43262F17E857D0D7C1472011FBEF62E4E7104EB8F96AB55F6FD" TargetMode="External"/><Relationship Id="rId45" Type="http://schemas.openxmlformats.org/officeDocument/2006/relationships/hyperlink" Target="http://mybaragar.com/index.cfm?event=action.PublicSchoolLocatorAllSchools&amp;school_guid=55BA0414-80CD-4476-9764-61D615CE19A3&amp;DistrictGUID=E6EC1BC2-3986-463A-9ED9-FFF4DECA3AB3&amp;DistrictCode=BC36&amp;DataStatus=1&amp;token=6E99A5CF2DF0F43262F17E857D0D7C1472011FBEF62E4E7104EB8F96AB55F6FD" TargetMode="External"/><Relationship Id="rId66" Type="http://schemas.openxmlformats.org/officeDocument/2006/relationships/hyperlink" Target="http://mybaragar.com/index.cfm?event=action.PublicSchoolLocatorAllSchools&amp;school_guid=5F3E503D-4C8E-4178-9746-584CEE905687&amp;DistrictGUID=E6EC1BC2-3986-463A-9ED9-FFF4DECA3AB3&amp;DistrictCode=BC36&amp;DataStatus=1&amp;token=6E99A5CF2DF0F43262F17E857D0D7C1472011FBEF62E4E7104EB8F96AB55F6FD" TargetMode="External"/><Relationship Id="rId87" Type="http://schemas.openxmlformats.org/officeDocument/2006/relationships/hyperlink" Target="http://mybaragar.com/index.cfm?event=action.PublicSchoolLocatorAllSchools&amp;school_guid=C209AE55-9F05-4BE9-B7B0-753FF9322D38&amp;DistrictGUID=E6EC1BC2-3986-463A-9ED9-FFF4DECA3AB3&amp;DistrictCode=BC36&amp;DataStatus=1&amp;token=6E99A5CF2DF0F43262F17E857D0D7C1472011FBEF62E4E7104EB8F96AB55F6FD" TargetMode="External"/><Relationship Id="rId61" Type="http://schemas.openxmlformats.org/officeDocument/2006/relationships/hyperlink" Target="http://mybaragar.com/index.cfm?event=action.PublicSchoolLocatorAllSchools&amp;school_guid=1A43D925-75F6-4D07-B315-AF50B81CE7C3&amp;DistrictGUID=E6EC1BC2-3986-463A-9ED9-FFF4DECA3AB3&amp;DistrictCode=BC36&amp;DataStatus=1&amp;token=6E99A5CF2DF0F43262F17E857D0D7C1472011FBEF62E4E7104EB8F96AB55F6FD" TargetMode="External"/><Relationship Id="rId82" Type="http://schemas.openxmlformats.org/officeDocument/2006/relationships/hyperlink" Target="http://mybaragar.com/index.cfm?event=action.PublicSchoolLocatorAllSchools&amp;school_guid=9B7317E0-E26C-476F-81E5-262D143F9585&amp;DistrictGUID=E6EC1BC2-3986-463A-9ED9-FFF4DECA3AB3&amp;DistrictCode=BC36&amp;DataStatus=1&amp;token=6E99A5CF2DF0F43262F17E857D0D7C1472011FBEF62E4E7104EB8F96AB55F6FD" TargetMode="External"/><Relationship Id="rId19" Type="http://schemas.openxmlformats.org/officeDocument/2006/relationships/hyperlink" Target="http://mybaragar.com/index.cfm?event=action.PublicSchoolLocatorAllSchools&amp;school_guid=FFA31073-ACB8-465E-95C5-37F41A77AEC4&amp;DistrictGUID=E6EC1BC2-3986-463A-9ED9-FFF4DECA3AB3&amp;DistrictCode=BC36&amp;DataStatus=1&amp;token=6E99A5CF2DF0F43262F17E857D0D7C1472011FBEF62E4E7104EB8F96AB55F6FD" TargetMode="External"/><Relationship Id="rId14" Type="http://schemas.openxmlformats.org/officeDocument/2006/relationships/hyperlink" Target="http://mybaragar.com/index.cfm?event=action.PublicSchoolLocatorAllSchools&amp;school_guid=184B0433-8B6E-4100-BD96-66CB813AAFA8&amp;DistrictGUID=E6EC1BC2-3986-463A-9ED9-FFF4DECA3AB3&amp;DistrictCode=BC36&amp;DataStatus=1&amp;token=6E99A5CF2DF0F43262F17E857D0D7C1472011FBEF62E4E7104EB8F96AB55F6FD" TargetMode="External"/><Relationship Id="rId30" Type="http://schemas.openxmlformats.org/officeDocument/2006/relationships/hyperlink" Target="http://mybaragar.com/index.cfm?event=action.PublicSchoolLocatorAllSchools&amp;school_guid=C55E9B75-A11A-4B52-B120-B704FA7BCE07&amp;DistrictGUID=E6EC1BC2-3986-463A-9ED9-FFF4DECA3AB3&amp;DistrictCode=BC36&amp;DataStatus=1&amp;token=6E99A5CF2DF0F43262F17E857D0D7C1472011FBEF62E4E7104EB8F96AB55F6FD" TargetMode="External"/><Relationship Id="rId35" Type="http://schemas.openxmlformats.org/officeDocument/2006/relationships/hyperlink" Target="http://mybaragar.com/index.cfm?event=action.PublicSchoolLocatorAllSchools&amp;school_guid=3AF979BC-15DD-4DCE-8B1B-63A4F2C7E77A&amp;DistrictGUID=E6EC1BC2-3986-463A-9ED9-FFF4DECA3AB3&amp;DistrictCode=BC36&amp;DataStatus=1&amp;token=6E99A5CF2DF0F43262F17E857D0D7C1472011FBEF62E4E7104EB8F96AB55F6FD" TargetMode="External"/><Relationship Id="rId56" Type="http://schemas.openxmlformats.org/officeDocument/2006/relationships/hyperlink" Target="http://mybaragar.com/index.cfm?event=action.PublicSchoolLocatorAllSchools&amp;school_guid=68B48942-D184-427A-887E-7793C16BDCCA&amp;DistrictGUID=E6EC1BC2-3986-463A-9ED9-FFF4DECA3AB3&amp;DistrictCode=BC36&amp;DataStatus=1&amp;token=6E99A5CF2DF0F43262F17E857D0D7C1472011FBEF62E4E7104EB8F96AB55F6FD" TargetMode="External"/><Relationship Id="rId77" Type="http://schemas.openxmlformats.org/officeDocument/2006/relationships/hyperlink" Target="http://mybaragar.com/index.cfm?event=action.PublicSchoolLocatorAllSchools&amp;school_guid=3A9F67BA-BBC5-4AC2-9FFE-DD35EEBF6BE6&amp;DistrictGUID=E6EC1BC2-3986-463A-9ED9-FFF4DECA3AB3&amp;DistrictCode=BC36&amp;DataStatus=1&amp;token=6E99A5CF2DF0F43262F17E857D0D7C1472011FBEF62E4E7104EB8F96AB55F6FD" TargetMode="External"/></Relationships>
</file>

<file path=xl/worksheets/_rels/sheet14.xml.rels><?xml version="1.0" encoding="UTF-8" standalone="yes"?>
<Relationships xmlns="http://schemas.openxmlformats.org/package/2006/relationships"><Relationship Id="rId26" Type="http://schemas.openxmlformats.org/officeDocument/2006/relationships/hyperlink" Target="http://mybaragar.com/index.cfm?event=action.PublicSchoolLocatorAllSchools&amp;school_guid=C3DBAC2F-B5D8-4887-9567-8D64EFF4C7CB&amp;DistrictGUID=E6EC1BC2-3986-463A-9ED9-FFF4DECA3AB3&amp;DistrictCode=BC36&amp;DataStatus=1&amp;token=6E99A5CF2DF0F43262F17E857D0D7C1472011FBEF62E4E7104EB8F96AB55F6FD" TargetMode="External"/><Relationship Id="rId21" Type="http://schemas.openxmlformats.org/officeDocument/2006/relationships/hyperlink" Target="http://mybaragar.com/index.cfm?event=action.PublicSchoolLocatorAllSchools&amp;school_guid=6C5FB3FC-1C50-4350-AAC7-767471039A5A&amp;DistrictGUID=E6EC1BC2-3986-463A-9ED9-FFF4DECA3AB3&amp;DistrictCode=BC36&amp;DataStatus=1&amp;token=6E99A5CF2DF0F43262F17E857D0D7C1472011FBEF62E4E7104EB8F96AB55F6FD" TargetMode="External"/><Relationship Id="rId42" Type="http://schemas.openxmlformats.org/officeDocument/2006/relationships/hyperlink" Target="http://mybaragar.com/index.cfm?event=action.PublicSchoolLocatorAllSchools&amp;school_guid=26B60423-E72E-463D-BDA7-ABAC413DDA86&amp;DistrictGUID=E6EC1BC2-3986-463A-9ED9-FFF4DECA3AB3&amp;DistrictCode=BC36&amp;DataStatus=1&amp;token=6E99A5CF2DF0F43262F17E857D0D7C1472011FBEF62E4E7104EB8F96AB55F6FD" TargetMode="External"/><Relationship Id="rId47" Type="http://schemas.openxmlformats.org/officeDocument/2006/relationships/hyperlink" Target="http://mybaragar.com/index.cfm?event=action.PublicSchoolLocatorAllSchools&amp;school_guid=3D9E981F-3730-47C9-B648-3C5F6C12EAEB&amp;DistrictGUID=E6EC1BC2-3986-463A-9ED9-FFF4DECA3AB3&amp;DistrictCode=BC36&amp;DataStatus=1&amp;token=6E99A5CF2DF0F43262F17E857D0D7C1472011FBEF62E4E7104EB8F96AB55F6FD" TargetMode="External"/><Relationship Id="rId63" Type="http://schemas.openxmlformats.org/officeDocument/2006/relationships/hyperlink" Target="http://mybaragar.com/index.cfm?event=action.PublicSchoolLocatorAllSchools&amp;school_guid=FA0086F3-28E7-49D6-968C-C1DFC6576DAC&amp;DistrictGUID=E6EC1BC2-3986-463A-9ED9-FFF4DECA3AB3&amp;DistrictCode=BC36&amp;DataStatus=1&amp;token=6E99A5CF2DF0F43262F17E857D0D7C1472011FBEF62E4E7104EB8F96AB55F6FD" TargetMode="External"/><Relationship Id="rId68" Type="http://schemas.openxmlformats.org/officeDocument/2006/relationships/hyperlink" Target="http://mybaragar.com/index.cfm?event=action.PublicSchoolLocatorAllSchools&amp;school_guid=3A9F67BA-BBC5-4AC2-9FFE-DD35EEBF6BE6&amp;DistrictGUID=E6EC1BC2-3986-463A-9ED9-FFF4DECA3AB3&amp;DistrictCode=BC36&amp;DataStatus=1&amp;token=6E99A5CF2DF0F43262F17E857D0D7C1472011FBEF62E4E7104EB8F96AB55F6FD" TargetMode="External"/><Relationship Id="rId84" Type="http://schemas.openxmlformats.org/officeDocument/2006/relationships/hyperlink" Target="http://mybaragar.com/index.cfm?event=action.PublicSchoolLocatorAllSchools&amp;school_guid=0A6717AC-30CE-4E89-A42A-5F0933D33EFC&amp;DistrictGUID=E6EC1BC2-3986-463A-9ED9-FFF4DECA3AB3&amp;DistrictCode=BC36&amp;DataStatus=1&amp;token=6E99A5CF2DF0F43262F17E857D0D7C1472011FBEF62E4E7104EB8F96AB55F6FD" TargetMode="External"/><Relationship Id="rId89" Type="http://schemas.openxmlformats.org/officeDocument/2006/relationships/hyperlink" Target="http://mybaragar.com/index.cfm?event=action.PublicSchoolLocatorAllSchools&amp;school_guid=CB7CF14B-42ED-44EE-8651-6ADB1944CFCD&amp;DistrictGUID=E6EC1BC2-3986-463A-9ED9-FFF4DECA3AB3&amp;DistrictCode=BC36&amp;DataStatus=1&amp;token=6E99A5CF2DF0F43262F17E857D0D7C1472011FBEF62E4E7104EB8F96AB55F6FD" TargetMode="External"/><Relationship Id="rId16" Type="http://schemas.openxmlformats.org/officeDocument/2006/relationships/hyperlink" Target="http://mybaragar.com/index.cfm?event=action.PublicSchoolLocatorAllSchools&amp;school_guid=826EA976-70CF-4154-A167-39B2E07DC377&amp;DistrictGUID=E6EC1BC2-3986-463A-9ED9-FFF4DECA3AB3&amp;DistrictCode=BC36&amp;DataStatus=1&amp;token=6E99A5CF2DF0F43262F17E857D0D7C1472011FBEF62E4E7104EB8F96AB55F6FD" TargetMode="External"/><Relationship Id="rId11" Type="http://schemas.openxmlformats.org/officeDocument/2006/relationships/hyperlink" Target="http://mybaragar.com/index.cfm?event=action.PublicSchoolLocatorAllSchools&amp;school_guid=57A895A2-4C22-4B73-A4D7-A34E5488EB89&amp;DistrictGUID=E6EC1BC2-3986-463A-9ED9-FFF4DECA3AB3&amp;DistrictCode=BC36&amp;DataStatus=1&amp;token=6E99A5CF2DF0F43262F17E857D0D7C1472011FBEF62E4E7104EB8F96AB55F6FD" TargetMode="External"/><Relationship Id="rId32" Type="http://schemas.openxmlformats.org/officeDocument/2006/relationships/hyperlink" Target="http://mybaragar.com/index.cfm?event=action.PublicSchoolLocatorAllSchools&amp;school_guid=3EC6081C-F470-46AE-90F1-01F1CBEC2887&amp;DistrictGUID=E6EC1BC2-3986-463A-9ED9-FFF4DECA3AB3&amp;DistrictCode=BC36&amp;DataStatus=1&amp;token=6E99A5CF2DF0F43262F17E857D0D7C1472011FBEF62E4E7104EB8F96AB55F6FD" TargetMode="External"/><Relationship Id="rId37" Type="http://schemas.openxmlformats.org/officeDocument/2006/relationships/hyperlink" Target="http://mybaragar.com/index.cfm?event=action.PublicSchoolLocatorAllSchools&amp;school_guid=B835A471-81DC-4A2A-A820-AB730E129362&amp;DistrictGUID=E6EC1BC2-3986-463A-9ED9-FFF4DECA3AB3&amp;DistrictCode=BC36&amp;DataStatus=1&amp;token=6E99A5CF2DF0F43262F17E857D0D7C1472011FBEF62E4E7104EB8F96AB55F6FD" TargetMode="External"/><Relationship Id="rId53" Type="http://schemas.openxmlformats.org/officeDocument/2006/relationships/hyperlink" Target="http://mybaragar.com/index.cfm?event=action.PublicSchoolLocatorAllSchools&amp;school_guid=DD927328-9BFB-445B-B26D-A1DB33437C6A&amp;DistrictGUID=E6EC1BC2-3986-463A-9ED9-FFF4DECA3AB3&amp;DistrictCode=BC36&amp;DataStatus=1&amp;token=6E99A5CF2DF0F43262F17E857D0D7C1472011FBEF62E4E7104EB8F96AB55F6FD" TargetMode="External"/><Relationship Id="rId58" Type="http://schemas.openxmlformats.org/officeDocument/2006/relationships/hyperlink" Target="http://mybaragar.com/index.cfm?event=action.PublicSchoolLocatorAllSchools&amp;school_guid=3766F622-DFCE-4879-A922-34CAA4F7441A&amp;DistrictGUID=E6EC1BC2-3986-463A-9ED9-FFF4DECA3AB3&amp;DistrictCode=BC36&amp;DataStatus=1&amp;token=6E99A5CF2DF0F43262F17E857D0D7C1472011FBEF62E4E7104EB8F96AB55F6FD" TargetMode="External"/><Relationship Id="rId74" Type="http://schemas.openxmlformats.org/officeDocument/2006/relationships/hyperlink" Target="http://mybaragar.com/index.cfm?event=action.PublicSchoolLocatorAllSchools&amp;school_guid=D19A802C-2279-46AD-B1CD-A7373FBACD3C&amp;DistrictGUID=E6EC1BC2-3986-463A-9ED9-FFF4DECA3AB3&amp;DistrictCode=BC36&amp;DataStatus=1&amp;token=6E99A5CF2DF0F43262F17E857D0D7C1472011FBEF62E4E7104EB8F96AB55F6FD" TargetMode="External"/><Relationship Id="rId79" Type="http://schemas.openxmlformats.org/officeDocument/2006/relationships/hyperlink" Target="http://mybaragar.com/index.cfm?event=action.PublicSchoolLocatorAllSchools&amp;school_guid=158B0241-B083-4176-8A7F-6D7A18D0E62B&amp;DistrictGUID=E6EC1BC2-3986-463A-9ED9-FFF4DECA3AB3&amp;DistrictCode=BC36&amp;DataStatus=1&amp;token=6E99A5CF2DF0F43262F17E857D0D7C1472011FBEF62E4E7104EB8F96AB55F6FD" TargetMode="External"/><Relationship Id="rId102" Type="http://schemas.openxmlformats.org/officeDocument/2006/relationships/hyperlink" Target="https://www.surreyschools.ca/departments/BMGS/Documents/Community%20Forum%20Feb%202014%20-%20Capital%20Slides.pdf" TargetMode="External"/><Relationship Id="rId5" Type="http://schemas.openxmlformats.org/officeDocument/2006/relationships/hyperlink" Target="http://mybaragar.com/index.cfm?event=action.PublicSchoolLocatorAllSchools&amp;school_guid=F3C956BC-7A9A-4BCA-9F46-DD5AC915BD55&amp;DistrictGUID=E6EC1BC2-3986-463A-9ED9-FFF4DECA3AB3&amp;DistrictCode=BC36&amp;DataStatus=1&amp;token=6E99A5CF2DF0F43262F17E857D0D7C1472011FBEF62E4E7104EB8F96AB55F6FD" TargetMode="External"/><Relationship Id="rId90" Type="http://schemas.openxmlformats.org/officeDocument/2006/relationships/hyperlink" Target="http://mybaragar.com/index.cfm?event=action.PublicSchoolLocatorAllSchools&amp;school_guid=887F3038-6D86-44CF-B4E8-57BDDD1FDEEE&amp;DistrictGUID=E6EC1BC2-3986-463A-9ED9-FFF4DECA3AB3&amp;DistrictCode=BC36&amp;DataStatus=1&amp;token=6E99A5CF2DF0F43262F17E857D0D7C1472011FBEF62E4E7104EB8F96AB55F6FD" TargetMode="External"/><Relationship Id="rId95" Type="http://schemas.openxmlformats.org/officeDocument/2006/relationships/hyperlink" Target="http://mybaragar.com/index.cfm?event=action.PublicSchoolLocatorAllSchools&amp;school_guid=B247E9D6-AF70-44E4-8723-13365BAFE9D0&amp;DistrictGUID=E6EC1BC2-3986-463A-9ED9-FFF4DECA3AB3&amp;DistrictCode=BC36&amp;DataStatus=1&amp;token=6E99A5CF2DF0F43262F17E857D0D7C1472011FBEF62E4E7104EB8F96AB55F6FD" TargetMode="External"/><Relationship Id="rId22" Type="http://schemas.openxmlformats.org/officeDocument/2006/relationships/hyperlink" Target="http://mybaragar.com/index.cfm?event=action.PublicSchoolLocatorAllSchools&amp;school_guid=55383491-2304-43CD-BABE-5A65FEF3B166&amp;DistrictGUID=E6EC1BC2-3986-463A-9ED9-FFF4DECA3AB3&amp;DistrictCode=BC36&amp;DataStatus=1&amp;token=6E99A5CF2DF0F43262F17E857D0D7C1472011FBEF62E4E7104EB8F96AB55F6FD" TargetMode="External"/><Relationship Id="rId27" Type="http://schemas.openxmlformats.org/officeDocument/2006/relationships/hyperlink" Target="http://mybaragar.com/index.cfm?event=action.PublicSchoolLocatorAllSchools&amp;school_guid=E7256503-D68B-4A28-985F-C653BB188752&amp;DistrictGUID=E6EC1BC2-3986-463A-9ED9-FFF4DECA3AB3&amp;DistrictCode=BC36&amp;DataStatus=1&amp;token=6E99A5CF2DF0F43262F17E857D0D7C1472011FBEF62E4E7104EB8F96AB55F6FD" TargetMode="External"/><Relationship Id="rId43" Type="http://schemas.openxmlformats.org/officeDocument/2006/relationships/hyperlink" Target="http://mybaragar.com/index.cfm?event=action.PublicSchoolLocatorAllSchools&amp;school_guid=F15A34C7-C104-4F3F-A1C7-88BE1A635087&amp;DistrictGUID=E6EC1BC2-3986-463A-9ED9-FFF4DECA3AB3&amp;DistrictCode=BC36&amp;DataStatus=1&amp;token=6E99A5CF2DF0F43262F17E857D0D7C1472011FBEF62E4E7104EB8F96AB55F6FD" TargetMode="External"/><Relationship Id="rId48" Type="http://schemas.openxmlformats.org/officeDocument/2006/relationships/hyperlink" Target="http://mybaragar.com/index.cfm?event=action.PublicSchoolLocatorAllSchools&amp;school_guid=68B48942-D184-427A-887E-7793C16BDCCA&amp;DistrictGUID=E6EC1BC2-3986-463A-9ED9-FFF4DECA3AB3&amp;DistrictCode=BC36&amp;DataStatus=1&amp;token=6E99A5CF2DF0F43262F17E857D0D7C1472011FBEF62E4E7104EB8F96AB55F6FD" TargetMode="External"/><Relationship Id="rId64" Type="http://schemas.openxmlformats.org/officeDocument/2006/relationships/hyperlink" Target="http://mybaragar.com/index.cfm?event=action.PublicSchoolLocatorAllSchools&amp;school_guid=7776CF6F-90C5-48C0-AB6C-EEAA0F3F71A8&amp;DistrictGUID=E6EC1BC2-3986-463A-9ED9-FFF4DECA3AB3&amp;DistrictCode=BC36&amp;DataStatus=1&amp;token=6E99A5CF2DF0F43262F17E857D0D7C1472011FBEF62E4E7104EB8F96AB55F6FD" TargetMode="External"/><Relationship Id="rId69" Type="http://schemas.openxmlformats.org/officeDocument/2006/relationships/hyperlink" Target="http://mybaragar.com/index.cfm?event=action.PublicSchoolLocatorAllSchools&amp;school_guid=280B83B4-BC40-4460-B191-7EA748FC58C6&amp;DistrictGUID=E6EC1BC2-3986-463A-9ED9-FFF4DECA3AB3&amp;DistrictCode=BC36&amp;DataStatus=1&amp;token=6E99A5CF2DF0F43262F17E857D0D7C1472011FBEF62E4E7104EB8F96AB55F6FD" TargetMode="External"/><Relationship Id="rId80" Type="http://schemas.openxmlformats.org/officeDocument/2006/relationships/hyperlink" Target="http://mybaragar.com/index.cfm?event=action.PublicSchoolLocatorAllSchools&amp;school_guid=9B7317E0-E26C-476F-81E5-262D143F9585&amp;DistrictGUID=E6EC1BC2-3986-463A-9ED9-FFF4DECA3AB3&amp;DistrictCode=BC36&amp;DataStatus=1&amp;token=6E99A5CF2DF0F43262F17E857D0D7C1472011FBEF62E4E7104EB8F96AB55F6FD" TargetMode="External"/><Relationship Id="rId85" Type="http://schemas.openxmlformats.org/officeDocument/2006/relationships/hyperlink" Target="http://mybaragar.com/index.cfm?event=action.PublicSchoolLocatorAllSchools&amp;school_guid=7FEDD7E1-4DD7-4086-9AD3-A1B124610F8F&amp;DistrictGUID=E6EC1BC2-3986-463A-9ED9-FFF4DECA3AB3&amp;DistrictCode=BC36&amp;DataStatus=1&amp;token=6E99A5CF2DF0F43262F17E857D0D7C1472011FBEF62E4E7104EB8F96AB55F6FD" TargetMode="External"/><Relationship Id="rId12" Type="http://schemas.openxmlformats.org/officeDocument/2006/relationships/hyperlink" Target="http://mybaragar.com/index.cfm?event=action.PublicSchoolLocatorAllSchools&amp;school_guid=3AF979BC-15DD-4DCE-8B1B-63A4F2C7E77A&amp;DistrictGUID=E6EC1BC2-3986-463A-9ED9-FFF4DECA3AB3&amp;DistrictCode=BC36&amp;DataStatus=1&amp;token=6E99A5CF2DF0F43262F17E857D0D7C1472011FBEF62E4E7104EB8F96AB55F6FD" TargetMode="External"/><Relationship Id="rId17" Type="http://schemas.openxmlformats.org/officeDocument/2006/relationships/hyperlink" Target="http://mybaragar.com/index.cfm?event=action.PublicSchoolLocatorAllSchools&amp;school_guid=C209AE55-9F05-4BE9-B7B0-753FF9322D38&amp;DistrictGUID=E6EC1BC2-3986-463A-9ED9-FFF4DECA3AB3&amp;DistrictCode=BC36&amp;DataStatus=1&amp;token=6E99A5CF2DF0F43262F17E857D0D7C1472011FBEF62E4E7104EB8F96AB55F6FD" TargetMode="External"/><Relationship Id="rId33" Type="http://schemas.openxmlformats.org/officeDocument/2006/relationships/hyperlink" Target="http://mybaragar.com/index.cfm?event=action.PublicSchoolLocatorAllSchools&amp;school_guid=4B9F928D-48C3-4054-935F-D154DC44DBBD&amp;DistrictGUID=E6EC1BC2-3986-463A-9ED9-FFF4DECA3AB3&amp;DistrictCode=BC36&amp;DataStatus=1&amp;token=6E99A5CF2DF0F43262F17E857D0D7C1472011FBEF62E4E7104EB8F96AB55F6FD" TargetMode="External"/><Relationship Id="rId38" Type="http://schemas.openxmlformats.org/officeDocument/2006/relationships/hyperlink" Target="http://mybaragar.com/index.cfm?event=action.PublicSchoolLocatorAllSchools&amp;school_guid=E174BACD-D766-4AD1-9B14-9316112F8168&amp;DistrictGUID=E6EC1BC2-3986-463A-9ED9-FFF4DECA3AB3&amp;DistrictCode=BC36&amp;DataStatus=1&amp;token=6E99A5CF2DF0F43262F17E857D0D7C1472011FBEF62E4E7104EB8F96AB55F6FD" TargetMode="External"/><Relationship Id="rId59" Type="http://schemas.openxmlformats.org/officeDocument/2006/relationships/hyperlink" Target="http://mybaragar.com/index.cfm?event=action.PublicSchoolLocatorAllSchools&amp;school_guid=C2EF6B83-6136-4F12-A5EA-B6807F8B1E7B&amp;DistrictGUID=E6EC1BC2-3986-463A-9ED9-FFF4DECA3AB3&amp;DistrictCode=BC36&amp;DataStatus=1&amp;token=6E99A5CF2DF0F43262F17E857D0D7C1472011FBEF62E4E7104EB8F96AB55F6FD" TargetMode="External"/><Relationship Id="rId103" Type="http://schemas.openxmlformats.org/officeDocument/2006/relationships/hyperlink" Target="https://www.surreyschools.ca/departments/BMGS/Documents/Community%20Forum%20Feb%202014%20-%20Capital%20Slides.pdf" TargetMode="External"/><Relationship Id="rId20" Type="http://schemas.openxmlformats.org/officeDocument/2006/relationships/hyperlink" Target="http://mybaragar.com/index.cfm?event=action.PublicSchoolLocatorAllSchools&amp;school_guid=F02077AA-4E3A-446C-A6D3-99B17E8E3F75&amp;DistrictGUID=E6EC1BC2-3986-463A-9ED9-FFF4DECA3AB3&amp;DistrictCode=BC36&amp;DataStatus=1&amp;token=6E99A5CF2DF0F43262F17E857D0D7C1472011FBEF62E4E7104EB8F96AB55F6FD" TargetMode="External"/><Relationship Id="rId41" Type="http://schemas.openxmlformats.org/officeDocument/2006/relationships/hyperlink" Target="http://mybaragar.com/index.cfm?event=action.PublicSchoolLocatorAllSchools&amp;school_guid=380066E9-C561-4C9F-B0D2-933DBF788801&amp;DistrictGUID=E6EC1BC2-3986-463A-9ED9-FFF4DECA3AB3&amp;DistrictCode=BC36&amp;DataStatus=1&amp;token=6E99A5CF2DF0F43262F17E857D0D7C1472011FBEF62E4E7104EB8F96AB55F6FD" TargetMode="External"/><Relationship Id="rId54" Type="http://schemas.openxmlformats.org/officeDocument/2006/relationships/hyperlink" Target="http://mybaragar.com/index.cfm?event=action.PublicSchoolLocatorAllSchools&amp;school_guid=545EC4E1-847D-418A-848C-13C65886CDAD&amp;DistrictGUID=E6EC1BC2-3986-463A-9ED9-FFF4DECA3AB3&amp;DistrictCode=BC36&amp;DataStatus=1&amp;token=6E99A5CF2DF0F43262F17E857D0D7C1472011FBEF62E4E7104EB8F96AB55F6FD" TargetMode="External"/><Relationship Id="rId62" Type="http://schemas.openxmlformats.org/officeDocument/2006/relationships/hyperlink" Target="http://mybaragar.com/index.cfm?event=action.PublicSchoolLocatorAllSchools&amp;school_guid=DE340F67-4E73-467E-A508-CD339295AC72&amp;DistrictGUID=E6EC1BC2-3986-463A-9ED9-FFF4DECA3AB3&amp;DistrictCode=BC36&amp;DataStatus=1&amp;token=6E99A5CF2DF0F43262F17E857D0D7C1472011FBEF62E4E7104EB8F96AB55F6FD" TargetMode="External"/><Relationship Id="rId70" Type="http://schemas.openxmlformats.org/officeDocument/2006/relationships/hyperlink" Target="http://mybaragar.com/index.cfm?event=action.PublicSchoolLocatorAllSchools&amp;school_guid=A42794A5-6D1B-4F96-A005-44FEABC607DB&amp;DistrictGUID=E6EC1BC2-3986-463A-9ED9-FFF4DECA3AB3&amp;DistrictCode=BC36&amp;DataStatus=1&amp;token=6E99A5CF2DF0F43262F17E857D0D7C1472011FBEF62E4E7104EB8F96AB55F6FD" TargetMode="External"/><Relationship Id="rId75" Type="http://schemas.openxmlformats.org/officeDocument/2006/relationships/hyperlink" Target="http://mybaragar.com/index.cfm?event=action.PublicSchoolLocatorAllSchools&amp;school_guid=C7F656A6-5374-4C04-A38F-2C925ACC1D89&amp;DistrictGUID=E6EC1BC2-3986-463A-9ED9-FFF4DECA3AB3&amp;DistrictCode=BC36&amp;DataStatus=1&amp;token=6E99A5CF2DF0F43262F17E857D0D7C1472011FBEF62E4E7104EB8F96AB55F6FD" TargetMode="External"/><Relationship Id="rId83" Type="http://schemas.openxmlformats.org/officeDocument/2006/relationships/hyperlink" Target="http://mybaragar.com/index.cfm?event=action.PublicSchoolLocatorAllSchools&amp;school_guid=10A3695D-1EFB-49EB-890E-1A9606478524&amp;DistrictGUID=E6EC1BC2-3986-463A-9ED9-FFF4DECA3AB3&amp;DistrictCode=BC36&amp;DataStatus=1&amp;token=6E99A5CF2DF0F43262F17E857D0D7C1472011FBEF62E4E7104EB8F96AB55F6FD" TargetMode="External"/><Relationship Id="rId88" Type="http://schemas.openxmlformats.org/officeDocument/2006/relationships/hyperlink" Target="http://mybaragar.com/index.cfm?event=action.PublicSchoolLocatorAllSchools&amp;school_guid=CE92A74A-FCC5-4B97-9CD9-D81CC0491E32&amp;DistrictGUID=E6EC1BC2-3986-463A-9ED9-FFF4DECA3AB3&amp;DistrictCode=BC36&amp;DataStatus=1&amp;token=6E99A5CF2DF0F43262F17E857D0D7C1472011FBEF62E4E7104EB8F96AB55F6FD" TargetMode="External"/><Relationship Id="rId91" Type="http://schemas.openxmlformats.org/officeDocument/2006/relationships/hyperlink" Target="http://mybaragar.com/index.cfm?event=action.PublicSchoolLocatorAllSchools&amp;school_guid=76509702-BA64-4400-91D1-8930FE2CB8A9&amp;DistrictGUID=E6EC1BC2-3986-463A-9ED9-FFF4DECA3AB3&amp;DistrictCode=BC36&amp;DataStatus=1&amp;token=6E99A5CF2DF0F43262F17E857D0D7C1472011FBEF62E4E7104EB8F96AB55F6FD" TargetMode="External"/><Relationship Id="rId96" Type="http://schemas.openxmlformats.org/officeDocument/2006/relationships/hyperlink" Target="https://www.surreyschools.ca/departments/BMGS/Announcements/DispForm.aspx?ID=17&amp;ContentTypeId=0x010400E3077DC437C8FF4CBD86FC235CD8E173" TargetMode="External"/><Relationship Id="rId1" Type="http://schemas.openxmlformats.org/officeDocument/2006/relationships/hyperlink" Target="http://mybaragar.com/index.cfm?event=action.PublicSchoolLocatorAllSchools&amp;school_guid=6F4A091B-79A4-4D8B-AAC0-39C78489965F&amp;DistrictGUID=E6EC1BC2-3986-463A-9ED9-FFF4DECA3AB3&amp;DistrictCode=BC36&amp;DataStatus=1&amp;token=6E99A5CF2DF0F43262F17E857D0D7C1472011FBEF62E4E7104EB8F96AB55F6FD" TargetMode="External"/><Relationship Id="rId6" Type="http://schemas.openxmlformats.org/officeDocument/2006/relationships/hyperlink" Target="http://mybaragar.com/index.cfm?event=action.PublicSchoolLocatorAllSchools&amp;school_guid=753EDF7A-7512-4F2A-87E9-D400F5DFABCB&amp;DistrictGUID=E6EC1BC2-3986-463A-9ED9-FFF4DECA3AB3&amp;DistrictCode=BC36&amp;DataStatus=1&amp;token=6E99A5CF2DF0F43262F17E857D0D7C1472011FBEF62E4E7104EB8F96AB55F6FD" TargetMode="External"/><Relationship Id="rId15" Type="http://schemas.openxmlformats.org/officeDocument/2006/relationships/hyperlink" Target="http://mybaragar.com/index.cfm?event=action.PublicSchoolLocatorAllSchools&amp;school_guid=82E8060D-427E-4D7F-A226-86CB8FDD5B16&amp;DistrictGUID=E6EC1BC2-3986-463A-9ED9-FFF4DECA3AB3&amp;DistrictCode=BC36&amp;DataStatus=1&amp;token=6E99A5CF2DF0F43262F17E857D0D7C1472011FBEF62E4E7104EB8F96AB55F6FD" TargetMode="External"/><Relationship Id="rId23" Type="http://schemas.openxmlformats.org/officeDocument/2006/relationships/hyperlink" Target="http://mybaragar.com/index.cfm?event=action.PublicSchoolLocatorAllSchools&amp;school_guid=4A37A534-E616-4A72-922C-5408291421EF&amp;DistrictGUID=E6EC1BC2-3986-463A-9ED9-FFF4DECA3AB3&amp;DistrictCode=BC36&amp;DataStatus=1&amp;token=6E99A5CF2DF0F43262F17E857D0D7C1472011FBEF62E4E7104EB8F96AB55F6FD" TargetMode="External"/><Relationship Id="rId28" Type="http://schemas.openxmlformats.org/officeDocument/2006/relationships/hyperlink" Target="http://mybaragar.com/index.cfm?event=action.PublicSchoolLocatorAllSchools&amp;school_guid=55BA0414-80CD-4476-9764-61D615CE19A3&amp;DistrictGUID=E6EC1BC2-3986-463A-9ED9-FFF4DECA3AB3&amp;DistrictCode=BC36&amp;DataStatus=1&amp;token=6E99A5CF2DF0F43262F17E857D0D7C1472011FBEF62E4E7104EB8F96AB55F6FD" TargetMode="External"/><Relationship Id="rId36" Type="http://schemas.openxmlformats.org/officeDocument/2006/relationships/hyperlink" Target="http://mybaragar.com/index.cfm?event=action.PublicSchoolLocatorAllSchools&amp;school_guid=299063D6-8763-4A9F-885B-67709C3073E6&amp;DistrictGUID=E6EC1BC2-3986-463A-9ED9-FFF4DECA3AB3&amp;DistrictCode=BC36&amp;DataStatus=1&amp;token=6E99A5CF2DF0F43262F17E857D0D7C1472011FBEF62E4E7104EB8F96AB55F6FD" TargetMode="External"/><Relationship Id="rId49" Type="http://schemas.openxmlformats.org/officeDocument/2006/relationships/hyperlink" Target="http://mybaragar.com/index.cfm?event=action.PublicSchoolLocatorAllSchools&amp;school_guid=9B4632BD-6218-443B-A0EF-B078B3F23C12&amp;DistrictGUID=E6EC1BC2-3986-463A-9ED9-FFF4DECA3AB3&amp;DistrictCode=BC36&amp;DataStatus=1&amp;token=6E99A5CF2DF0F43262F17E857D0D7C1472011FBEF62E4E7104EB8F96AB55F6FD" TargetMode="External"/><Relationship Id="rId57" Type="http://schemas.openxmlformats.org/officeDocument/2006/relationships/hyperlink" Target="http://mybaragar.com/index.cfm?event=action.PublicSchoolLocatorAllSchools&amp;school_guid=1818A73B-CEF3-4F14-A019-4261E12F5248&amp;DistrictGUID=E6EC1BC2-3986-463A-9ED9-FFF4DECA3AB3&amp;DistrictCode=BC36&amp;DataStatus=1&amp;token=6E99A5CF2DF0F43262F17E857D0D7C1472011FBEF62E4E7104EB8F96AB55F6FD" TargetMode="External"/><Relationship Id="rId10" Type="http://schemas.openxmlformats.org/officeDocument/2006/relationships/hyperlink" Target="http://mybaragar.com/index.cfm?event=action.PublicSchoolLocatorAllSchools&amp;school_guid=50714DBB-6800-4930-9C26-A0F270C92E88&amp;DistrictGUID=E6EC1BC2-3986-463A-9ED9-FFF4DECA3AB3&amp;DistrictCode=BC36&amp;DataStatus=1&amp;token=6E99A5CF2DF0F43262F17E857D0D7C1472011FBEF62E4E7104EB8F96AB55F6FD" TargetMode="External"/><Relationship Id="rId31" Type="http://schemas.openxmlformats.org/officeDocument/2006/relationships/hyperlink" Target="http://mybaragar.com/index.cfm?event=action.PublicSchoolLocatorAllSchools&amp;school_guid=B1CE5153-1930-4C75-BEC6-7042A53D2699&amp;DistrictGUID=E6EC1BC2-3986-463A-9ED9-FFF4DECA3AB3&amp;DistrictCode=BC36&amp;DataStatus=1&amp;token=6E99A5CF2DF0F43262F17E857D0D7C1472011FBEF62E4E7104EB8F96AB55F6FD" TargetMode="External"/><Relationship Id="rId44" Type="http://schemas.openxmlformats.org/officeDocument/2006/relationships/hyperlink" Target="http://mybaragar.com/index.cfm?event=action.PublicSchoolLocatorAllSchools&amp;school_guid=08ED557D-B8D5-4627-8304-2B46E68B84D5&amp;DistrictGUID=E6EC1BC2-3986-463A-9ED9-FFF4DECA3AB3&amp;DistrictCode=BC36&amp;DataStatus=1&amp;token=6E99A5CF2DF0F43262F17E857D0D7C1472011FBEF62E4E7104EB8F96AB55F6FD" TargetMode="External"/><Relationship Id="rId52" Type="http://schemas.openxmlformats.org/officeDocument/2006/relationships/hyperlink" Target="http://mybaragar.com/index.cfm?event=action.PublicSchoolLocatorAllSchools&amp;school_guid=88AAF28A-CDAF-4FCA-99F2-049BDB200C82&amp;DistrictGUID=E6EC1BC2-3986-463A-9ED9-FFF4DECA3AB3&amp;DistrictCode=BC36&amp;DataStatus=1&amp;token=6E99A5CF2DF0F43262F17E857D0D7C1472011FBEF62E4E7104EB8F96AB55F6FD" TargetMode="External"/><Relationship Id="rId60" Type="http://schemas.openxmlformats.org/officeDocument/2006/relationships/hyperlink" Target="http://mybaragar.com/index.cfm?event=action.PublicSchoolLocatorAllSchools&amp;school_guid=B318B2AC-6031-4CA3-B490-CDBF8DF00236&amp;DistrictGUID=E6EC1BC2-3986-463A-9ED9-FFF4DECA3AB3&amp;DistrictCode=BC36&amp;DataStatus=1&amp;token=6E99A5CF2DF0F43262F17E857D0D7C1472011FBEF62E4E7104EB8F96AB55F6FD" TargetMode="External"/><Relationship Id="rId65" Type="http://schemas.openxmlformats.org/officeDocument/2006/relationships/hyperlink" Target="http://mybaragar.com/index.cfm?event=action.PublicSchoolLocatorAllSchools&amp;school_guid=5F3E503D-4C8E-4178-9746-584CEE905687&amp;DistrictGUID=E6EC1BC2-3986-463A-9ED9-FFF4DECA3AB3&amp;DistrictCode=BC36&amp;DataStatus=1&amp;token=6E99A5CF2DF0F43262F17E857D0D7C1472011FBEF62E4E7104EB8F96AB55F6FD" TargetMode="External"/><Relationship Id="rId73" Type="http://schemas.openxmlformats.org/officeDocument/2006/relationships/hyperlink" Target="http://mybaragar.com/index.cfm?event=action.PublicSchoolLocatorAllSchools&amp;school_guid=399B58A8-9AD6-4D23-9B7F-9D8FF081D035&amp;DistrictGUID=E6EC1BC2-3986-463A-9ED9-FFF4DECA3AB3&amp;DistrictCode=BC36&amp;DataStatus=1&amp;token=6E99A5CF2DF0F43262F17E857D0D7C1472011FBEF62E4E7104EB8F96AB55F6FD" TargetMode="External"/><Relationship Id="rId78" Type="http://schemas.openxmlformats.org/officeDocument/2006/relationships/hyperlink" Target="http://mybaragar.com/index.cfm?event=action.PublicSchoolLocatorAllSchools&amp;school_guid=10EF9EF1-70D1-4284-A504-B30A82CFC464&amp;DistrictGUID=E6EC1BC2-3986-463A-9ED9-FFF4DECA3AB3&amp;DistrictCode=BC36&amp;DataStatus=1&amp;token=6E99A5CF2DF0F43262F17E857D0D7C1472011FBEF62E4E7104EB8F96AB55F6FD" TargetMode="External"/><Relationship Id="rId81" Type="http://schemas.openxmlformats.org/officeDocument/2006/relationships/hyperlink" Target="http://mybaragar.com/index.cfm?event=action.PublicSchoolLocatorAllSchools&amp;school_guid=6F00D459-F624-4162-AC34-1556F9FA165A&amp;DistrictGUID=E6EC1BC2-3986-463A-9ED9-FFF4DECA3AB3&amp;DistrictCode=BC36&amp;DataStatus=1&amp;token=6E99A5CF2DF0F43262F17E857D0D7C1472011FBEF62E4E7104EB8F96AB55F6FD" TargetMode="External"/><Relationship Id="rId86" Type="http://schemas.openxmlformats.org/officeDocument/2006/relationships/hyperlink" Target="http://mybaragar.com/index.cfm?event=action.PublicSchoolLocatorAllSchools&amp;school_guid=D797ED26-1B3A-4391-842A-1A6AE4300889&amp;DistrictGUID=E6EC1BC2-3986-463A-9ED9-FFF4DECA3AB3&amp;DistrictCode=BC36&amp;DataStatus=1&amp;token=6E99A5CF2DF0F43262F17E857D0D7C1472011FBEF62E4E7104EB8F96AB55F6FD" TargetMode="External"/><Relationship Id="rId94" Type="http://schemas.openxmlformats.org/officeDocument/2006/relationships/hyperlink" Target="http://mybaragar.com/index.cfm?event=action.PublicSchoolLocatorAllSchools&amp;school_guid=80A37ADF-3391-4291-9C5E-4DA311039E65&amp;DistrictGUID=E6EC1BC2-3986-463A-9ED9-FFF4DECA3AB3&amp;DistrictCode=BC36&amp;DataStatus=1&amp;token=6E99A5CF2DF0F43262F17E857D0D7C1472011FBEF62E4E7104EB8F96AB55F6FD" TargetMode="External"/><Relationship Id="rId99" Type="http://schemas.openxmlformats.org/officeDocument/2006/relationships/hyperlink" Target="http://surrey.ca/files/Douglas_Industrial_Brochure_LOWRES.pdf" TargetMode="External"/><Relationship Id="rId101" Type="http://schemas.openxmlformats.org/officeDocument/2006/relationships/hyperlink" Target="https://www.surreyschools.ca/departments/BMGS/Documents/Community%20Forum%20Feb%202014%20-%20Capital%20Slides.pdf" TargetMode="External"/><Relationship Id="rId4" Type="http://schemas.openxmlformats.org/officeDocument/2006/relationships/hyperlink" Target="http://mybaragar.com/index.cfm?event=action.PublicSchoolLocatorAllSchools&amp;school_guid=65CD118A-DFD4-44B5-B106-EC766443EF79&amp;DistrictGUID=E6EC1BC2-3986-463A-9ED9-FFF4DECA3AB3&amp;DistrictCode=BC36&amp;DataStatus=1&amp;token=6E99A5CF2DF0F43262F17E857D0D7C1472011FBEF62E4E7104EB8F96AB55F6FD" TargetMode="External"/><Relationship Id="rId9" Type="http://schemas.openxmlformats.org/officeDocument/2006/relationships/hyperlink" Target="http://mybaragar.com/index.cfm?event=action.PublicSchoolLocatorAllSchools&amp;school_guid=1276CE11-16EA-438A-AD4C-FF1AB429F887&amp;DistrictGUID=E6EC1BC2-3986-463A-9ED9-FFF4DECA3AB3&amp;DistrictCode=BC36&amp;DataStatus=1&amp;token=6E99A5CF2DF0F43262F17E857D0D7C1472011FBEF62E4E7104EB8F96AB55F6FD" TargetMode="External"/><Relationship Id="rId13" Type="http://schemas.openxmlformats.org/officeDocument/2006/relationships/hyperlink" Target="http://mybaragar.com/index.cfm?event=action.PublicSchoolLocatorAllSchools&amp;school_guid=79621CB5-9F0A-4798-A49C-45F895EBD854&amp;DistrictGUID=E6EC1BC2-3986-463A-9ED9-FFF4DECA3AB3&amp;DistrictCode=BC36&amp;DataStatus=1&amp;token=6E99A5CF2DF0F43262F17E857D0D7C1472011FBEF62E4E7104EB8F96AB55F6FD" TargetMode="External"/><Relationship Id="rId18" Type="http://schemas.openxmlformats.org/officeDocument/2006/relationships/hyperlink" Target="http://mybaragar.com/index.cfm?event=action.PublicSchoolLocatorAllSchools&amp;school_guid=F29512B0-ED2D-4F6D-A7D0-7A349D6028B4&amp;DistrictGUID=E6EC1BC2-3986-463A-9ED9-FFF4DECA3AB3&amp;DistrictCode=BC36&amp;DataStatus=1&amp;token=6E99A5CF2DF0F43262F17E857D0D7C1472011FBEF62E4E7104EB8F96AB55F6FD" TargetMode="External"/><Relationship Id="rId39" Type="http://schemas.openxmlformats.org/officeDocument/2006/relationships/hyperlink" Target="http://mybaragar.com/index.cfm?event=action.PublicSchoolLocatorAllSchools&amp;school_guid=9FE8F980-7C91-4F28-AF9F-12E8AE72672A&amp;DistrictGUID=E6EC1BC2-3986-463A-9ED9-FFF4DECA3AB3&amp;DistrictCode=BC36&amp;DataStatus=1&amp;token=6E99A5CF2DF0F43262F17E857D0D7C1472011FBEF62E4E7104EB8F96AB55F6FD" TargetMode="External"/><Relationship Id="rId34" Type="http://schemas.openxmlformats.org/officeDocument/2006/relationships/hyperlink" Target="http://mybaragar.com/index.cfm?event=action.PublicSchoolLocatorAllSchools&amp;school_guid=44C4B3C8-5C1B-4BD2-9B13-8885BCD9F283&amp;DistrictGUID=E6EC1BC2-3986-463A-9ED9-FFF4DECA3AB3&amp;DistrictCode=BC36&amp;DataStatus=1&amp;token=6E99A5CF2DF0F43262F17E857D0D7C1472011FBEF62E4E7104EB8F96AB55F6FD" TargetMode="External"/><Relationship Id="rId50" Type="http://schemas.openxmlformats.org/officeDocument/2006/relationships/hyperlink" Target="http://mybaragar.com/index.cfm?event=action.PublicSchoolLocatorAllSchools&amp;school_guid=7CF53B5B-B463-4BDB-B876-FA379F453AB1&amp;DistrictGUID=E6EC1BC2-3986-463A-9ED9-FFF4DECA3AB3&amp;DistrictCode=BC36&amp;DataStatus=1&amp;token=6E99A5CF2DF0F43262F17E857D0D7C1472011FBEF62E4E7104EB8F96AB55F6FD" TargetMode="External"/><Relationship Id="rId55" Type="http://schemas.openxmlformats.org/officeDocument/2006/relationships/hyperlink" Target="http://mybaragar.com/index.cfm?event=action.PublicSchoolLocatorAllSchools&amp;school_guid=3DAF5C80-810D-4354-ADAD-771284EF851B&amp;DistrictGUID=E6EC1BC2-3986-463A-9ED9-FFF4DECA3AB3&amp;DistrictCode=BC36&amp;DataStatus=1&amp;token=6E99A5CF2DF0F43262F17E857D0D7C1472011FBEF62E4E7104EB8F96AB55F6FD" TargetMode="External"/><Relationship Id="rId76" Type="http://schemas.openxmlformats.org/officeDocument/2006/relationships/hyperlink" Target="http://mybaragar.com/index.cfm?event=action.PublicSchoolLocatorAllSchools&amp;school_guid=EB887E0E-F2C0-40C3-A0B4-D22D6DF1034C&amp;DistrictGUID=E6EC1BC2-3986-463A-9ED9-FFF4DECA3AB3&amp;DistrictCode=BC36&amp;DataStatus=1&amp;token=6E99A5CF2DF0F43262F17E857D0D7C1472011FBEF62E4E7104EB8F96AB55F6FD" TargetMode="External"/><Relationship Id="rId97" Type="http://schemas.openxmlformats.org/officeDocument/2006/relationships/hyperlink" Target="https://www.surreyschools.ca/departments/BMGS/Documents/Community%20Forum%20Feb%202014%20-%20Capital%20Slides.pdf" TargetMode="External"/><Relationship Id="rId104" Type="http://schemas.openxmlformats.org/officeDocument/2006/relationships/hyperlink" Target="https://www.surreyschools.ca/departments/BMGS/Documents/Community%20Forum%20Feb%202014%20-%20Capital%20Slides.pdf" TargetMode="External"/><Relationship Id="rId7" Type="http://schemas.openxmlformats.org/officeDocument/2006/relationships/hyperlink" Target="http://mybaragar.com/index.cfm?event=action.PublicSchoolLocatorAllSchools&amp;school_guid=C55E9B75-A11A-4B52-B120-B704FA7BCE07&amp;DistrictGUID=E6EC1BC2-3986-463A-9ED9-FFF4DECA3AB3&amp;DistrictCode=BC36&amp;DataStatus=1&amp;token=6E99A5CF2DF0F43262F17E857D0D7C1472011FBEF62E4E7104EB8F96AB55F6FD" TargetMode="External"/><Relationship Id="rId71" Type="http://schemas.openxmlformats.org/officeDocument/2006/relationships/hyperlink" Target="http://mybaragar.com/index.cfm?event=action.PublicSchoolLocatorAllSchools&amp;school_guid=7088753D-4671-49F3-A165-42DAD15C70A5&amp;DistrictGUID=E6EC1BC2-3986-463A-9ED9-FFF4DECA3AB3&amp;DistrictCode=BC36&amp;DataStatus=1&amp;token=6E99A5CF2DF0F43262F17E857D0D7C1472011FBEF62E4E7104EB8F96AB55F6FD" TargetMode="External"/><Relationship Id="rId92" Type="http://schemas.openxmlformats.org/officeDocument/2006/relationships/hyperlink" Target="http://mybaragar.com/index.cfm?event=action.PublicSchoolLocatorAllSchools&amp;school_guid=B721B701-0974-4BB1-B704-9AF541ACE922&amp;DistrictGUID=E6EC1BC2-3986-463A-9ED9-FFF4DECA3AB3&amp;DistrictCode=BC36&amp;DataStatus=1&amp;token=6E99A5CF2DF0F43262F17E857D0D7C1472011FBEF62E4E7104EB8F96AB55F6FD" TargetMode="External"/><Relationship Id="rId2" Type="http://schemas.openxmlformats.org/officeDocument/2006/relationships/hyperlink" Target="http://mybaragar.com/index.cfm?event=action.PublicSchoolLocatorAllSchools&amp;school_guid=60C9198F-5DF3-4977-8D47-A450108EF12D&amp;DistrictGUID=E6EC1BC2-3986-463A-9ED9-FFF4DECA3AB3&amp;DistrictCode=BC36&amp;DataStatus=1&amp;token=6E99A5CF2DF0F43262F17E857D0D7C1472011FBEF62E4E7104EB8F96AB55F6FD" TargetMode="External"/><Relationship Id="rId29" Type="http://schemas.openxmlformats.org/officeDocument/2006/relationships/hyperlink" Target="http://mybaragar.com/index.cfm?event=action.PublicSchoolLocatorAllSchools&amp;school_guid=C9678910-524B-4CDA-8AF2-11D69D673CD7&amp;DistrictGUID=E6EC1BC2-3986-463A-9ED9-FFF4DECA3AB3&amp;DistrictCode=BC36&amp;DataStatus=1&amp;token=6E99A5CF2DF0F43262F17E857D0D7C1472011FBEF62E4E7104EB8F96AB55F6FD" TargetMode="External"/><Relationship Id="rId24" Type="http://schemas.openxmlformats.org/officeDocument/2006/relationships/hyperlink" Target="http://mybaragar.com/index.cfm?event=action.PublicSchoolLocatorAllSchools&amp;school_guid=332058CE-7FF1-4CA3-A5D0-C4B5C9C8B779&amp;DistrictGUID=E6EC1BC2-3986-463A-9ED9-FFF4DECA3AB3&amp;DistrictCode=BC36&amp;DataStatus=1&amp;token=6E99A5CF2DF0F43262F17E857D0D7C1472011FBEF62E4E7104EB8F96AB55F6FD" TargetMode="External"/><Relationship Id="rId40" Type="http://schemas.openxmlformats.org/officeDocument/2006/relationships/hyperlink" Target="http://mybaragar.com/index.cfm?event=action.PublicSchoolLocatorAllSchools&amp;school_guid=1A43D925-75F6-4D07-B315-AF50B81CE7C3&amp;DistrictGUID=E6EC1BC2-3986-463A-9ED9-FFF4DECA3AB3&amp;DistrictCode=BC36&amp;DataStatus=1&amp;token=6E99A5CF2DF0F43262F17E857D0D7C1472011FBEF62E4E7104EB8F96AB55F6FD" TargetMode="External"/><Relationship Id="rId45" Type="http://schemas.openxmlformats.org/officeDocument/2006/relationships/hyperlink" Target="http://mybaragar.com/index.cfm?event=action.PublicSchoolLocatorAllSchools&amp;school_guid=DCC95976-DA90-4ED5-A9B7-D6CAA89E5973&amp;DistrictGUID=E6EC1BC2-3986-463A-9ED9-FFF4DECA3AB3&amp;DistrictCode=BC36&amp;DataStatus=1&amp;token=6E99A5CF2DF0F43262F17E857D0D7C1472011FBEF62E4E7104EB8F96AB55F6FD" TargetMode="External"/><Relationship Id="rId66" Type="http://schemas.openxmlformats.org/officeDocument/2006/relationships/hyperlink" Target="http://mybaragar.com/index.cfm?event=action.PublicSchoolLocatorAllSchools&amp;school_guid=DB5DBF71-508A-4B20-B525-19E718D3A80A&amp;DistrictGUID=E6EC1BC2-3986-463A-9ED9-FFF4DECA3AB3&amp;DistrictCode=BC36&amp;DataStatus=1&amp;token=6E99A5CF2DF0F43262F17E857D0D7C1472011FBEF62E4E7104EB8F96AB55F6FD" TargetMode="External"/><Relationship Id="rId87" Type="http://schemas.openxmlformats.org/officeDocument/2006/relationships/hyperlink" Target="http://mybaragar.com/index.cfm?event=action.PublicSchoolLocatorAllSchools&amp;school_guid=781AB989-FA8B-4202-AD6E-6A2E386720C3&amp;DistrictGUID=E6EC1BC2-3986-463A-9ED9-FFF4DECA3AB3&amp;DistrictCode=BC36&amp;DataStatus=1&amp;token=6E99A5CF2DF0F43262F17E857D0D7C1472011FBEF62E4E7104EB8F96AB55F6FD" TargetMode="External"/><Relationship Id="rId61" Type="http://schemas.openxmlformats.org/officeDocument/2006/relationships/hyperlink" Target="http://mybaragar.com/index.cfm?event=action.PublicSchoolLocatorAllSchools&amp;school_guid=0C159246-6B6B-4837-8813-034B7760B3D5&amp;DistrictGUID=E6EC1BC2-3986-463A-9ED9-FFF4DECA3AB3&amp;DistrictCode=BC36&amp;DataStatus=1&amp;token=6E99A5CF2DF0F43262F17E857D0D7C1472011FBEF62E4E7104EB8F96AB55F6FD" TargetMode="External"/><Relationship Id="rId82" Type="http://schemas.openxmlformats.org/officeDocument/2006/relationships/hyperlink" Target="http://mybaragar.com/index.cfm?event=action.PublicSchoolLocatorAllSchools&amp;school_guid=687DD677-76E3-4FAB-B93B-780C3C19FFEC&amp;DistrictGUID=E6EC1BC2-3986-463A-9ED9-FFF4DECA3AB3&amp;DistrictCode=BC36&amp;DataStatus=1&amp;token=6E99A5CF2DF0F43262F17E857D0D7C1472011FBEF62E4E7104EB8F96AB55F6FD" TargetMode="External"/><Relationship Id="rId19" Type="http://schemas.openxmlformats.org/officeDocument/2006/relationships/hyperlink" Target="http://mybaragar.com/index.cfm?event=action.PublicSchoolLocatorAllSchools&amp;school_guid=A0A25042-6B59-464B-B0CC-A9821758FD01&amp;DistrictGUID=E6EC1BC2-3986-463A-9ED9-FFF4DECA3AB3&amp;DistrictCode=BC36&amp;DataStatus=1&amp;token=6E99A5CF2DF0F43262F17E857D0D7C1472011FBEF62E4E7104EB8F96AB55F6FD" TargetMode="External"/><Relationship Id="rId14" Type="http://schemas.openxmlformats.org/officeDocument/2006/relationships/hyperlink" Target="http://mybaragar.com/index.cfm?event=action.PublicSchoolLocatorAllSchools&amp;school_guid=B600D735-F17C-4E68-81E0-D9CE8A3E3C71&amp;DistrictGUID=E6EC1BC2-3986-463A-9ED9-FFF4DECA3AB3&amp;DistrictCode=BC36&amp;DataStatus=1&amp;token=6E99A5CF2DF0F43262F17E857D0D7C1472011FBEF62E4E7104EB8F96AB55F6FD" TargetMode="External"/><Relationship Id="rId30" Type="http://schemas.openxmlformats.org/officeDocument/2006/relationships/hyperlink" Target="http://mybaragar.com/index.cfm?event=action.PublicSchoolLocatorAllSchools&amp;school_guid=98C3B833-6C43-4EA1-92C4-938401E4304F&amp;DistrictGUID=E6EC1BC2-3986-463A-9ED9-FFF4DECA3AB3&amp;DistrictCode=BC36&amp;DataStatus=1&amp;token=6E99A5CF2DF0F43262F17E857D0D7C1472011FBEF62E4E7104EB8F96AB55F6FD" TargetMode="External"/><Relationship Id="rId35" Type="http://schemas.openxmlformats.org/officeDocument/2006/relationships/hyperlink" Target="http://mybaragar.com/index.cfm?event=action.PublicSchoolLocatorAllSchools&amp;school_guid=1EF1DAFB-DE6B-4E0B-8954-BC59AABC2484&amp;DistrictGUID=E6EC1BC2-3986-463A-9ED9-FFF4DECA3AB3&amp;DistrictCode=BC36&amp;DataStatus=1&amp;token=6E99A5CF2DF0F43262F17E857D0D7C1472011FBEF62E4E7104EB8F96AB55F6FD" TargetMode="External"/><Relationship Id="rId56" Type="http://schemas.openxmlformats.org/officeDocument/2006/relationships/hyperlink" Target="http://mybaragar.com/index.cfm?event=action.PublicSchoolLocatorAllSchools&amp;school_guid=3E3FFC61-7C0A-478B-AC37-6F01C8DECEB4&amp;DistrictGUID=E6EC1BC2-3986-463A-9ED9-FFF4DECA3AB3&amp;DistrictCode=BC36&amp;DataStatus=1&amp;token=6E99A5CF2DF0F43262F17E857D0D7C1472011FBEF62E4E7104EB8F96AB55F6FD" TargetMode="External"/><Relationship Id="rId77" Type="http://schemas.openxmlformats.org/officeDocument/2006/relationships/hyperlink" Target="http://mybaragar.com/index.cfm?event=action.PublicSchoolLocatorAllSchools&amp;school_guid=AAC1CD1E-FC3C-4707-9194-8A81E8502BFF&amp;DistrictGUID=E6EC1BC2-3986-463A-9ED9-FFF4DECA3AB3&amp;DistrictCode=BC36&amp;DataStatus=1&amp;token=6E99A5CF2DF0F43262F17E857D0D7C1472011FBEF62E4E7104EB8F96AB55F6FD" TargetMode="External"/><Relationship Id="rId100" Type="http://schemas.openxmlformats.org/officeDocument/2006/relationships/hyperlink" Target="https://www.surreyschools.ca/departments/BMGS/Documents/Community%20Forum%20Feb%202014%20-%20Capital%20Slides.pdf" TargetMode="External"/><Relationship Id="rId105" Type="http://schemas.openxmlformats.org/officeDocument/2006/relationships/hyperlink" Target="https://drive.google.com/file/d/0BzR8mZZxWsQ1RFItN1BKYTY4SzA/view?usp=sharing" TargetMode="External"/><Relationship Id="rId8" Type="http://schemas.openxmlformats.org/officeDocument/2006/relationships/hyperlink" Target="http://mybaragar.com/index.cfm?event=action.PublicSchoolLocatorAllSchools&amp;school_guid=2CA32233-6EA1-4CE2-96F3-BF5FE18FB14F&amp;DistrictGUID=E6EC1BC2-3986-463A-9ED9-FFF4DECA3AB3&amp;DistrictCode=BC36&amp;DataStatus=1&amp;token=6E99A5CF2DF0F43262F17E857D0D7C1472011FBEF62E4E7104EB8F96AB55F6FD" TargetMode="External"/><Relationship Id="rId51" Type="http://schemas.openxmlformats.org/officeDocument/2006/relationships/hyperlink" Target="http://mybaragar.com/index.cfm?event=action.PublicSchoolLocatorAllSchools&amp;school_guid=9BA9807C-2E69-406A-809A-656BED4D202F&amp;DistrictGUID=E6EC1BC2-3986-463A-9ED9-FFF4DECA3AB3&amp;DistrictCode=BC36&amp;DataStatus=1&amp;token=6E99A5CF2DF0F43262F17E857D0D7C1472011FBEF62E4E7104EB8F96AB55F6FD" TargetMode="External"/><Relationship Id="rId72" Type="http://schemas.openxmlformats.org/officeDocument/2006/relationships/hyperlink" Target="http://mybaragar.com/index.cfm?event=action.PublicSchoolLocatorAllSchools&amp;school_guid=184B0433-8B6E-4100-BD96-66CB813AAFA8&amp;DistrictGUID=E6EC1BC2-3986-463A-9ED9-FFF4DECA3AB3&amp;DistrictCode=BC36&amp;DataStatus=1&amp;token=6E99A5CF2DF0F43262F17E857D0D7C1472011FBEF62E4E7104EB8F96AB55F6FD" TargetMode="External"/><Relationship Id="rId93" Type="http://schemas.openxmlformats.org/officeDocument/2006/relationships/hyperlink" Target="http://mybaragar.com/index.cfm?event=action.PublicSchoolLocatorAllSchools&amp;school_guid=E67735F5-0AF8-4A38-B660-88DE91D1A612&amp;DistrictGUID=E6EC1BC2-3986-463A-9ED9-FFF4DECA3AB3&amp;DistrictCode=BC36&amp;DataStatus=1&amp;token=6E99A5CF2DF0F43262F17E857D0D7C1472011FBEF62E4E7104EB8F96AB55F6FD" TargetMode="External"/><Relationship Id="rId98" Type="http://schemas.openxmlformats.org/officeDocument/2006/relationships/hyperlink" Target="http://www.surrey.ca/images/pageImages/MapofStudyArea.jpg" TargetMode="External"/><Relationship Id="rId3" Type="http://schemas.openxmlformats.org/officeDocument/2006/relationships/hyperlink" Target="http://mybaragar.com/index.cfm?event=action.PublicSchoolLocatorAllSchools&amp;school_guid=15AF86A6-EE78-44FF-91C2-E73E5E28E4F0&amp;DistrictGUID=E6EC1BC2-3986-463A-9ED9-FFF4DECA3AB3&amp;DistrictCode=BC36&amp;DataStatus=1&amp;token=6E99A5CF2DF0F43262F17E857D0D7C1472011FBEF62E4E7104EB8F96AB55F6FD" TargetMode="External"/><Relationship Id="rId25" Type="http://schemas.openxmlformats.org/officeDocument/2006/relationships/hyperlink" Target="http://mybaragar.com/index.cfm?event=action.PublicSchoolLocatorAllSchools&amp;school_guid=99B631A1-6CEA-4A19-8E53-E3DAE004CAAA&amp;DistrictGUID=E6EC1BC2-3986-463A-9ED9-FFF4DECA3AB3&amp;DistrictCode=BC36&amp;DataStatus=1&amp;token=6E99A5CF2DF0F43262F17E857D0D7C1472011FBEF62E4E7104EB8F96AB55F6FD" TargetMode="External"/><Relationship Id="rId46" Type="http://schemas.openxmlformats.org/officeDocument/2006/relationships/hyperlink" Target="http://mybaragar.com/index.cfm?event=action.PublicSchoolLocatorAllSchools&amp;school_guid=FFA31073-ACB8-465E-95C5-37F41A77AEC4&amp;DistrictGUID=E6EC1BC2-3986-463A-9ED9-FFF4DECA3AB3&amp;DistrictCode=BC36&amp;DataStatus=1&amp;token=6E99A5CF2DF0F43262F17E857D0D7C1472011FBEF62E4E7104EB8F96AB55F6FD" TargetMode="External"/><Relationship Id="rId67" Type="http://schemas.openxmlformats.org/officeDocument/2006/relationships/hyperlink" Target="http://mybaragar.com/index.cfm?event=action.PublicSchoolLocatorAllSchools&amp;school_guid=FD5F0093-CDA4-4611-8C93-54FBFBB3A202&amp;DistrictGUID=E6EC1BC2-3986-463A-9ED9-FFF4DECA3AB3&amp;DistrictCode=BC36&amp;DataStatus=1&amp;token=6E99A5CF2DF0F43262F17E857D0D7C1472011FBEF62E4E7104EB8F96AB55F6FD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6"/>
  <sheetViews>
    <sheetView workbookViewId="0"/>
  </sheetViews>
  <sheetFormatPr defaultColWidth="14.42578125" defaultRowHeight="15.75" customHeight="1"/>
  <sheetData>
    <row r="1" spans="1:11" ht="15.75" customHeight="1">
      <c r="A1" s="1" t="s">
        <v>0</v>
      </c>
      <c r="C1" s="2" t="s">
        <v>0</v>
      </c>
      <c r="E1" s="1" t="s">
        <v>3</v>
      </c>
      <c r="G1" s="2" t="s">
        <v>3</v>
      </c>
      <c r="I1" s="1" t="s">
        <v>4</v>
      </c>
      <c r="K1" s="2" t="s">
        <v>4</v>
      </c>
    </row>
    <row r="2" spans="1:11" ht="15.75" customHeight="1">
      <c r="C2" s="2"/>
      <c r="G2" s="2"/>
      <c r="K2" s="2"/>
    </row>
    <row r="3" spans="1:11" ht="15.75" customHeight="1">
      <c r="A3" s="1" t="s">
        <v>5</v>
      </c>
      <c r="C3" s="2" t="s">
        <v>6</v>
      </c>
      <c r="E3" s="1" t="s">
        <v>7</v>
      </c>
      <c r="G3" s="2" t="s">
        <v>6</v>
      </c>
      <c r="I3" s="1" t="s">
        <v>6</v>
      </c>
      <c r="K3" s="2" t="s">
        <v>8</v>
      </c>
    </row>
    <row r="4" spans="1:11" ht="15.75" customHeight="1">
      <c r="A4" s="1" t="s">
        <v>9</v>
      </c>
      <c r="C4" s="2" t="s">
        <v>10</v>
      </c>
      <c r="E4" s="1" t="s">
        <v>10</v>
      </c>
      <c r="G4" s="2" t="s">
        <v>12</v>
      </c>
      <c r="I4" s="1" t="s">
        <v>14</v>
      </c>
      <c r="K4" s="2" t="s">
        <v>15</v>
      </c>
    </row>
    <row r="6" spans="1:11" ht="15.75" customHeight="1">
      <c r="A6" s="1" t="s">
        <v>16</v>
      </c>
      <c r="C6" s="1" t="s">
        <v>17</v>
      </c>
      <c r="E6" s="1" t="s">
        <v>18</v>
      </c>
      <c r="G6" s="1" t="s">
        <v>17</v>
      </c>
      <c r="I6" s="1" t="s">
        <v>17</v>
      </c>
      <c r="K6" s="1" t="s">
        <v>21</v>
      </c>
    </row>
    <row r="8" spans="1:11" ht="15.75" customHeight="1">
      <c r="A8" s="1" t="s">
        <v>22</v>
      </c>
      <c r="C8" s="1" t="s">
        <v>23</v>
      </c>
      <c r="E8" s="1" t="s">
        <v>25</v>
      </c>
      <c r="G8" s="1" t="s">
        <v>26</v>
      </c>
      <c r="I8" s="1" t="s">
        <v>27</v>
      </c>
      <c r="K8" s="1" t="s">
        <v>29</v>
      </c>
    </row>
    <row r="10" spans="1:11" ht="15.75" customHeight="1">
      <c r="A10" s="1" t="s">
        <v>31</v>
      </c>
      <c r="C10" s="1" t="s">
        <v>33</v>
      </c>
      <c r="E10" s="1" t="s">
        <v>34</v>
      </c>
      <c r="G10" s="1" t="s">
        <v>33</v>
      </c>
      <c r="I10" s="1" t="s">
        <v>33</v>
      </c>
      <c r="K10" s="1" t="s">
        <v>36</v>
      </c>
    </row>
    <row r="12" spans="1:11" ht="15.75" customHeight="1">
      <c r="A12" s="1" t="s">
        <v>37</v>
      </c>
      <c r="C12" s="1" t="s">
        <v>38</v>
      </c>
      <c r="E12" s="1" t="s">
        <v>40</v>
      </c>
      <c r="G12" s="1" t="s">
        <v>41</v>
      </c>
      <c r="I12" s="1" t="s">
        <v>42</v>
      </c>
      <c r="K12" s="1" t="s">
        <v>43</v>
      </c>
    </row>
    <row r="14" spans="1:11" ht="15.75" customHeight="1">
      <c r="A14" s="1" t="s">
        <v>44</v>
      </c>
      <c r="C14" s="1" t="s">
        <v>46</v>
      </c>
      <c r="E14" s="1" t="s">
        <v>47</v>
      </c>
      <c r="G14" s="1" t="s">
        <v>46</v>
      </c>
      <c r="I14" s="1" t="s">
        <v>46</v>
      </c>
      <c r="K14" s="1" t="s">
        <v>49</v>
      </c>
    </row>
    <row r="16" spans="1:11" ht="15.75" customHeight="1">
      <c r="A16" s="1" t="s">
        <v>50</v>
      </c>
      <c r="C16" s="1" t="s">
        <v>51</v>
      </c>
      <c r="E16" s="1" t="s">
        <v>52</v>
      </c>
      <c r="G16" s="1" t="s">
        <v>53</v>
      </c>
      <c r="I16" s="1" t="s">
        <v>55</v>
      </c>
      <c r="K16" s="1" t="s">
        <v>56</v>
      </c>
    </row>
    <row r="18" spans="1:11" ht="15.75" customHeight="1">
      <c r="A18" s="1" t="s">
        <v>57</v>
      </c>
      <c r="C18" s="1" t="s">
        <v>19</v>
      </c>
      <c r="E18" s="1" t="s">
        <v>58</v>
      </c>
      <c r="G18" s="1" t="s">
        <v>60</v>
      </c>
      <c r="I18" s="1" t="s">
        <v>61</v>
      </c>
      <c r="K18" s="1" t="s">
        <v>62</v>
      </c>
    </row>
    <row r="19" spans="1:11" ht="15.75" customHeight="1">
      <c r="A19" s="1" t="s">
        <v>63</v>
      </c>
      <c r="C19" s="1" t="s">
        <v>20</v>
      </c>
      <c r="E19" s="1" t="s">
        <v>64</v>
      </c>
      <c r="G19" s="1" t="s">
        <v>65</v>
      </c>
      <c r="I19" s="1" t="s">
        <v>66</v>
      </c>
      <c r="K19" s="1" t="s">
        <v>67</v>
      </c>
    </row>
    <row r="20" spans="1:11" ht="15.75" customHeight="1">
      <c r="A20" s="1" t="s">
        <v>68</v>
      </c>
      <c r="C20" s="1" t="s">
        <v>24</v>
      </c>
      <c r="E20" s="1" t="s">
        <v>69</v>
      </c>
      <c r="G20" s="1" t="s">
        <v>70</v>
      </c>
      <c r="I20" s="1" t="s">
        <v>71</v>
      </c>
      <c r="K20" s="1" t="s">
        <v>72</v>
      </c>
    </row>
    <row r="21" spans="1:11" ht="15.75" customHeight="1">
      <c r="A21" s="1" t="s">
        <v>30</v>
      </c>
      <c r="C21" s="1" t="s">
        <v>30</v>
      </c>
      <c r="E21" s="1" t="s">
        <v>30</v>
      </c>
      <c r="G21" s="1" t="s">
        <v>30</v>
      </c>
      <c r="I21" s="1" t="s">
        <v>30</v>
      </c>
      <c r="K21" s="1" t="s">
        <v>30</v>
      </c>
    </row>
    <row r="22" spans="1:11" ht="15.75" customHeight="1">
      <c r="A22" s="1" t="s">
        <v>73</v>
      </c>
      <c r="C22" s="1" t="s">
        <v>73</v>
      </c>
      <c r="E22" s="1" t="s">
        <v>73</v>
      </c>
      <c r="G22" s="1" t="s">
        <v>73</v>
      </c>
      <c r="I22" s="1" t="s">
        <v>73</v>
      </c>
      <c r="K22" s="1" t="s">
        <v>73</v>
      </c>
    </row>
    <row r="23" spans="1:11" ht="15.75" customHeight="1">
      <c r="A23" s="1" t="s">
        <v>75</v>
      </c>
      <c r="C23" s="1" t="s">
        <v>75</v>
      </c>
      <c r="E23" s="1" t="s">
        <v>75</v>
      </c>
      <c r="G23" s="1" t="s">
        <v>75</v>
      </c>
      <c r="I23" s="1" t="s">
        <v>75</v>
      </c>
      <c r="K23" s="1" t="s">
        <v>75</v>
      </c>
    </row>
    <row r="24" spans="1:11" ht="15.75" customHeight="1">
      <c r="A24" s="1" t="s">
        <v>77</v>
      </c>
      <c r="C24" s="1" t="s">
        <v>77</v>
      </c>
      <c r="E24" s="1" t="s">
        <v>77</v>
      </c>
      <c r="G24" s="1" t="s">
        <v>77</v>
      </c>
      <c r="I24" s="1" t="s">
        <v>77</v>
      </c>
      <c r="K24" s="1" t="s">
        <v>77</v>
      </c>
    </row>
    <row r="25" spans="1:11" ht="15.75" customHeight="1">
      <c r="A25" s="1" t="s">
        <v>80</v>
      </c>
      <c r="C25" s="1" t="s">
        <v>80</v>
      </c>
      <c r="E25" s="1" t="s">
        <v>80</v>
      </c>
      <c r="G25" s="1" t="s">
        <v>80</v>
      </c>
      <c r="I25" s="1" t="s">
        <v>80</v>
      </c>
      <c r="K25" s="1" t="s">
        <v>80</v>
      </c>
    </row>
    <row r="26" spans="1:11" ht="15.75" customHeight="1">
      <c r="A26" s="3">
        <v>42887</v>
      </c>
      <c r="C26" s="1" t="s">
        <v>84</v>
      </c>
      <c r="E26" s="1" t="s">
        <v>84</v>
      </c>
      <c r="G26" s="1" t="s">
        <v>84</v>
      </c>
      <c r="I26" s="1" t="s">
        <v>84</v>
      </c>
      <c r="K26" s="1" t="s">
        <v>84</v>
      </c>
    </row>
    <row r="27" spans="1:11" ht="15.75" customHeight="1">
      <c r="A27" s="1" t="s">
        <v>85</v>
      </c>
      <c r="C27" s="1" t="s">
        <v>85</v>
      </c>
      <c r="E27" s="1" t="s">
        <v>85</v>
      </c>
      <c r="G27" s="1" t="s">
        <v>85</v>
      </c>
      <c r="I27" s="1" t="s">
        <v>85</v>
      </c>
      <c r="K27" s="1" t="s">
        <v>85</v>
      </c>
    </row>
    <row r="28" spans="1:11" ht="15.75" customHeight="1">
      <c r="A28" s="1" t="s">
        <v>86</v>
      </c>
      <c r="C28" s="1" t="s">
        <v>86</v>
      </c>
      <c r="E28" s="1" t="s">
        <v>86</v>
      </c>
      <c r="G28" s="1" t="s">
        <v>86</v>
      </c>
      <c r="I28" s="1" t="s">
        <v>86</v>
      </c>
      <c r="K28" s="1" t="s">
        <v>86</v>
      </c>
    </row>
    <row r="29" spans="1:11" ht="15.75" customHeight="1">
      <c r="A29" s="1" t="s">
        <v>87</v>
      </c>
      <c r="C29" s="1" t="s">
        <v>87</v>
      </c>
      <c r="E29" s="1" t="s">
        <v>87</v>
      </c>
      <c r="G29" s="1" t="s">
        <v>87</v>
      </c>
      <c r="I29" s="1" t="s">
        <v>87</v>
      </c>
      <c r="K29" s="1" t="s">
        <v>87</v>
      </c>
    </row>
    <row r="30" spans="1:11" ht="15.75" customHeight="1">
      <c r="A30" s="3">
        <v>43010</v>
      </c>
      <c r="C30" s="3">
        <v>43009</v>
      </c>
      <c r="E30" s="3">
        <v>43009</v>
      </c>
      <c r="G30" s="3">
        <v>43009</v>
      </c>
      <c r="I30" s="3">
        <v>43009</v>
      </c>
      <c r="K30" s="3">
        <v>43010</v>
      </c>
    </row>
    <row r="31" spans="1:11" ht="15.75" customHeight="1">
      <c r="A31" s="3">
        <v>43040</v>
      </c>
      <c r="C31" s="3">
        <v>43042</v>
      </c>
      <c r="E31" s="1" t="s">
        <v>88</v>
      </c>
      <c r="G31" s="3">
        <v>43042</v>
      </c>
      <c r="I31" s="3">
        <v>43042</v>
      </c>
      <c r="K31" s="3">
        <v>43040</v>
      </c>
    </row>
    <row r="32" spans="1:11" ht="15.75" customHeight="1">
      <c r="A32" s="1" t="s">
        <v>89</v>
      </c>
      <c r="C32" s="1" t="s">
        <v>89</v>
      </c>
      <c r="E32" s="1" t="s">
        <v>89</v>
      </c>
      <c r="G32" s="1" t="s">
        <v>89</v>
      </c>
      <c r="I32" s="1" t="s">
        <v>89</v>
      </c>
      <c r="K32" s="1" t="s">
        <v>89</v>
      </c>
    </row>
    <row r="33" spans="1:11" ht="15.75" customHeight="1">
      <c r="A33" s="1" t="s">
        <v>90</v>
      </c>
      <c r="C33" s="1" t="s">
        <v>90</v>
      </c>
      <c r="E33" s="1" t="s">
        <v>90</v>
      </c>
      <c r="G33" s="1" t="s">
        <v>90</v>
      </c>
      <c r="I33" s="1" t="s">
        <v>90</v>
      </c>
      <c r="K33" s="1" t="s">
        <v>90</v>
      </c>
    </row>
    <row r="34" spans="1:11" ht="15.75" customHeight="1">
      <c r="A34" s="1" t="s">
        <v>91</v>
      </c>
      <c r="C34" s="1" t="s">
        <v>91</v>
      </c>
      <c r="E34" s="1" t="s">
        <v>91</v>
      </c>
      <c r="G34" s="1" t="s">
        <v>91</v>
      </c>
      <c r="I34" s="1" t="s">
        <v>91</v>
      </c>
      <c r="K34" s="1" t="s">
        <v>91</v>
      </c>
    </row>
    <row r="35" spans="1:11" ht="15.75" customHeight="1">
      <c r="A35" s="1" t="s">
        <v>92</v>
      </c>
      <c r="C35" s="1" t="s">
        <v>92</v>
      </c>
      <c r="E35" s="1" t="s">
        <v>92</v>
      </c>
      <c r="G35" s="1" t="s">
        <v>92</v>
      </c>
      <c r="I35" s="1" t="s">
        <v>92</v>
      </c>
      <c r="K35" s="1" t="s">
        <v>92</v>
      </c>
    </row>
    <row r="36" spans="1:11" ht="12.75">
      <c r="A36" s="1" t="s">
        <v>93</v>
      </c>
      <c r="C36" s="1" t="s">
        <v>93</v>
      </c>
      <c r="E36" s="1" t="s">
        <v>93</v>
      </c>
      <c r="G36" s="1" t="s">
        <v>93</v>
      </c>
      <c r="I36" s="1" t="s">
        <v>93</v>
      </c>
      <c r="K36" s="1" t="s">
        <v>93</v>
      </c>
    </row>
    <row r="37" spans="1:11" ht="12.75">
      <c r="A37" s="1" t="s">
        <v>94</v>
      </c>
      <c r="C37" s="1" t="s">
        <v>94</v>
      </c>
      <c r="E37" s="1" t="s">
        <v>94</v>
      </c>
      <c r="G37" s="1" t="s">
        <v>94</v>
      </c>
      <c r="I37" s="1" t="s">
        <v>94</v>
      </c>
      <c r="K37" s="1" t="s">
        <v>94</v>
      </c>
    </row>
    <row r="38" spans="1:11" ht="12.75">
      <c r="A38" s="1" t="s">
        <v>95</v>
      </c>
      <c r="C38" s="1" t="s">
        <v>95</v>
      </c>
      <c r="E38" s="1" t="s">
        <v>95</v>
      </c>
      <c r="G38" s="1" t="s">
        <v>95</v>
      </c>
      <c r="I38" s="1" t="s">
        <v>95</v>
      </c>
      <c r="K38" s="1" t="s">
        <v>95</v>
      </c>
    </row>
    <row r="39" spans="1:11" ht="12.75">
      <c r="A39" s="1" t="s">
        <v>96</v>
      </c>
      <c r="C39" s="1" t="s">
        <v>96</v>
      </c>
      <c r="E39" s="1" t="s">
        <v>96</v>
      </c>
      <c r="G39" s="1" t="s">
        <v>96</v>
      </c>
      <c r="I39" s="1" t="s">
        <v>96</v>
      </c>
      <c r="K39" s="1" t="s">
        <v>96</v>
      </c>
    </row>
    <row r="40" spans="1:11" ht="12.75">
      <c r="A40" s="1" t="s">
        <v>97</v>
      </c>
      <c r="C40" s="1" t="s">
        <v>97</v>
      </c>
      <c r="E40" s="1" t="s">
        <v>97</v>
      </c>
      <c r="G40" s="1" t="s">
        <v>97</v>
      </c>
      <c r="I40" s="1" t="s">
        <v>97</v>
      </c>
      <c r="K40" s="1" t="s">
        <v>97</v>
      </c>
    </row>
    <row r="42" spans="1:11" ht="12.75">
      <c r="A42" s="1" t="s">
        <v>98</v>
      </c>
      <c r="C42" s="1" t="s">
        <v>98</v>
      </c>
      <c r="E42" s="1" t="s">
        <v>98</v>
      </c>
      <c r="G42" s="1" t="s">
        <v>98</v>
      </c>
      <c r="I42" s="1" t="s">
        <v>98</v>
      </c>
      <c r="K42" s="1" t="s">
        <v>98</v>
      </c>
    </row>
    <row r="43" spans="1:11" ht="12.75">
      <c r="A43" s="1" t="s">
        <v>99</v>
      </c>
      <c r="C43" s="1" t="s">
        <v>99</v>
      </c>
      <c r="E43" s="1" t="s">
        <v>99</v>
      </c>
      <c r="G43" s="1" t="s">
        <v>100</v>
      </c>
      <c r="I43" s="1" t="s">
        <v>100</v>
      </c>
      <c r="K43" s="1" t="s">
        <v>100</v>
      </c>
    </row>
    <row r="44" spans="1:11" ht="12.75">
      <c r="A44" s="1" t="s">
        <v>101</v>
      </c>
      <c r="C44" s="1" t="s">
        <v>102</v>
      </c>
      <c r="E44" s="1" t="s">
        <v>103</v>
      </c>
      <c r="G44" s="1" t="s">
        <v>102</v>
      </c>
      <c r="I44" s="1" t="s">
        <v>104</v>
      </c>
      <c r="K44" s="1" t="s">
        <v>102</v>
      </c>
    </row>
    <row r="45" spans="1:11" ht="12.75">
      <c r="A45" s="1" t="s">
        <v>105</v>
      </c>
      <c r="C45" s="1" t="s">
        <v>105</v>
      </c>
      <c r="E45" s="1" t="s">
        <v>106</v>
      </c>
      <c r="G45" s="1" t="s">
        <v>107</v>
      </c>
      <c r="I45" s="1" t="s">
        <v>108</v>
      </c>
      <c r="K45" s="1" t="s">
        <v>107</v>
      </c>
    </row>
    <row r="46" spans="1:11" ht="12.75">
      <c r="A46" s="1" t="s">
        <v>109</v>
      </c>
      <c r="C46" s="1" t="s">
        <v>110</v>
      </c>
      <c r="E46" s="1" t="s">
        <v>111</v>
      </c>
      <c r="G46" s="1" t="s">
        <v>111</v>
      </c>
      <c r="I46" s="1" t="s">
        <v>111</v>
      </c>
      <c r="K46" s="1" t="s">
        <v>111</v>
      </c>
    </row>
    <row r="47" spans="1:11" ht="12.75">
      <c r="A47" s="1" t="s">
        <v>112</v>
      </c>
      <c r="C47" s="1" t="s">
        <v>112</v>
      </c>
      <c r="E47" s="1" t="s">
        <v>112</v>
      </c>
      <c r="G47" s="1" t="s">
        <v>112</v>
      </c>
      <c r="I47" s="1" t="s">
        <v>112</v>
      </c>
      <c r="K47" s="1" t="s">
        <v>112</v>
      </c>
    </row>
    <row r="48" spans="1:11" ht="12.75">
      <c r="A48" s="1" t="s">
        <v>113</v>
      </c>
      <c r="C48" s="1" t="s">
        <v>113</v>
      </c>
      <c r="E48" s="1" t="s">
        <v>114</v>
      </c>
      <c r="G48" s="1" t="s">
        <v>115</v>
      </c>
      <c r="I48" s="1" t="s">
        <v>116</v>
      </c>
      <c r="K48" s="1" t="s">
        <v>117</v>
      </c>
    </row>
    <row r="49" spans="1:11" ht="12.75">
      <c r="A49" s="1" t="s">
        <v>118</v>
      </c>
      <c r="C49" s="1" t="s">
        <v>118</v>
      </c>
      <c r="E49" s="1" t="s">
        <v>118</v>
      </c>
      <c r="G49" s="1" t="s">
        <v>118</v>
      </c>
      <c r="I49" s="1" t="s">
        <v>118</v>
      </c>
      <c r="K49" s="1" t="s">
        <v>118</v>
      </c>
    </row>
    <row r="50" spans="1:11" ht="12.75">
      <c r="A50" s="1" t="s">
        <v>97</v>
      </c>
      <c r="C50" s="1" t="s">
        <v>97</v>
      </c>
      <c r="E50" s="1" t="s">
        <v>97</v>
      </c>
      <c r="G50" s="1" t="s">
        <v>97</v>
      </c>
      <c r="I50" s="1" t="s">
        <v>97</v>
      </c>
      <c r="K50" s="1" t="s">
        <v>97</v>
      </c>
    </row>
    <row r="52" spans="1:11" ht="12.75">
      <c r="A52" s="1" t="s">
        <v>119</v>
      </c>
      <c r="C52" s="1" t="s">
        <v>119</v>
      </c>
      <c r="E52" s="1" t="s">
        <v>120</v>
      </c>
      <c r="G52" s="1" t="s">
        <v>119</v>
      </c>
      <c r="I52" s="1" t="s">
        <v>119</v>
      </c>
      <c r="K52" s="1" t="s">
        <v>120</v>
      </c>
    </row>
    <row r="53" spans="1:11" ht="12.75">
      <c r="A53" s="1" t="s">
        <v>121</v>
      </c>
      <c r="C53" s="1" t="s">
        <v>121</v>
      </c>
      <c r="E53" s="1" t="s">
        <v>121</v>
      </c>
      <c r="G53" s="1" t="s">
        <v>121</v>
      </c>
      <c r="I53" s="1" t="s">
        <v>121</v>
      </c>
      <c r="K53" s="1" t="s">
        <v>121</v>
      </c>
    </row>
    <row r="55" spans="1:11" ht="12.75">
      <c r="A55" s="1" t="s">
        <v>122</v>
      </c>
      <c r="C55" s="1" t="s">
        <v>122</v>
      </c>
      <c r="E55" s="1" t="s">
        <v>123</v>
      </c>
      <c r="G55" s="1" t="s">
        <v>122</v>
      </c>
      <c r="I55" s="1" t="s">
        <v>122</v>
      </c>
      <c r="K55" s="1" t="s">
        <v>123</v>
      </c>
    </row>
    <row r="56" spans="1:11" ht="12.75">
      <c r="A56" s="1" t="s">
        <v>124</v>
      </c>
      <c r="C56" s="1" t="s">
        <v>124</v>
      </c>
      <c r="E56" s="1" t="s">
        <v>125</v>
      </c>
      <c r="G56" s="1" t="s">
        <v>124</v>
      </c>
      <c r="I56" s="1" t="s">
        <v>124</v>
      </c>
      <c r="K56" s="1" t="s">
        <v>126</v>
      </c>
    </row>
    <row r="58" spans="1:11" ht="12.75">
      <c r="A58" s="1" t="s">
        <v>127</v>
      </c>
      <c r="C58" s="1" t="s">
        <v>128</v>
      </c>
      <c r="E58" s="1" t="s">
        <v>129</v>
      </c>
      <c r="G58" s="1" t="s">
        <v>128</v>
      </c>
      <c r="I58" s="1" t="s">
        <v>130</v>
      </c>
      <c r="K58" s="1" t="s">
        <v>129</v>
      </c>
    </row>
    <row r="59" spans="1:11" ht="12.75">
      <c r="A59" s="1" t="s">
        <v>121</v>
      </c>
      <c r="C59" s="1" t="s">
        <v>131</v>
      </c>
      <c r="E59" s="1" t="s">
        <v>132</v>
      </c>
      <c r="G59" s="1" t="s">
        <v>133</v>
      </c>
      <c r="I59" s="1" t="s">
        <v>134</v>
      </c>
      <c r="K59" s="1" t="s">
        <v>135</v>
      </c>
    </row>
    <row r="61" spans="1:11" ht="12.75">
      <c r="A61" s="1" t="s">
        <v>129</v>
      </c>
      <c r="C61" s="1" t="s">
        <v>128</v>
      </c>
      <c r="E61" s="1" t="s">
        <v>136</v>
      </c>
      <c r="G61" s="1" t="s">
        <v>128</v>
      </c>
      <c r="I61" s="1" t="s">
        <v>137</v>
      </c>
      <c r="K61" s="1" t="s">
        <v>136</v>
      </c>
    </row>
    <row r="62" spans="1:11" ht="12.75">
      <c r="A62" s="1" t="s">
        <v>138</v>
      </c>
      <c r="C62" s="1" t="s">
        <v>139</v>
      </c>
      <c r="E62" s="1" t="s">
        <v>140</v>
      </c>
      <c r="G62" s="1" t="s">
        <v>141</v>
      </c>
      <c r="I62" s="1" t="s">
        <v>143</v>
      </c>
      <c r="K62" s="1" t="s">
        <v>144</v>
      </c>
    </row>
    <row r="64" spans="1:11" ht="12.75">
      <c r="A64" s="1" t="s">
        <v>145</v>
      </c>
      <c r="C64" s="1" t="s">
        <v>146</v>
      </c>
      <c r="E64" s="1" t="s">
        <v>119</v>
      </c>
      <c r="G64" s="1" t="s">
        <v>146</v>
      </c>
      <c r="I64" s="1" t="s">
        <v>147</v>
      </c>
      <c r="K64" s="1" t="s">
        <v>119</v>
      </c>
    </row>
    <row r="65" spans="1:11" ht="12.75">
      <c r="A65" s="1" t="s">
        <v>149</v>
      </c>
      <c r="C65" s="1" t="s">
        <v>150</v>
      </c>
      <c r="E65" s="1" t="s">
        <v>121</v>
      </c>
      <c r="G65" s="1" t="s">
        <v>152</v>
      </c>
      <c r="I65" s="1" t="s">
        <v>153</v>
      </c>
      <c r="K65" s="1" t="s">
        <v>121</v>
      </c>
    </row>
    <row r="67" spans="1:11" ht="12.75">
      <c r="A67" s="1" t="s">
        <v>136</v>
      </c>
      <c r="C67" s="1" t="s">
        <v>154</v>
      </c>
      <c r="E67" s="1" t="s">
        <v>122</v>
      </c>
      <c r="G67" s="1" t="s">
        <v>154</v>
      </c>
      <c r="I67" s="1" t="s">
        <v>155</v>
      </c>
      <c r="K67" s="1" t="s">
        <v>156</v>
      </c>
    </row>
    <row r="68" spans="1:11" ht="12.75">
      <c r="A68" s="1" t="s">
        <v>157</v>
      </c>
      <c r="C68" s="1" t="s">
        <v>134</v>
      </c>
      <c r="E68" s="1" t="s">
        <v>124</v>
      </c>
      <c r="G68" s="1" t="s">
        <v>131</v>
      </c>
      <c r="I68" s="1" t="s">
        <v>158</v>
      </c>
      <c r="K68" s="1" t="s">
        <v>159</v>
      </c>
    </row>
    <row r="70" spans="1:11" ht="12.75">
      <c r="A70" s="1" t="s">
        <v>128</v>
      </c>
      <c r="B70" s="1"/>
      <c r="C70" s="1" t="s">
        <v>160</v>
      </c>
      <c r="E70" s="1" t="s">
        <v>128</v>
      </c>
      <c r="G70" s="1" t="s">
        <v>160</v>
      </c>
      <c r="I70" s="1" t="s">
        <v>128</v>
      </c>
      <c r="K70" s="1" t="s">
        <v>122</v>
      </c>
    </row>
    <row r="71" spans="1:11" ht="12.75">
      <c r="A71" s="1" t="s">
        <v>131</v>
      </c>
      <c r="B71" s="1" t="s">
        <v>161</v>
      </c>
      <c r="C71" s="1" t="s">
        <v>162</v>
      </c>
      <c r="E71" s="1" t="s">
        <v>131</v>
      </c>
      <c r="G71" s="1" t="s">
        <v>163</v>
      </c>
      <c r="I71" s="1" t="s">
        <v>131</v>
      </c>
      <c r="J71" s="1"/>
      <c r="K71" s="1" t="s">
        <v>164</v>
      </c>
    </row>
    <row r="73" spans="1:11" ht="12.75">
      <c r="A73" s="1" t="s">
        <v>146</v>
      </c>
      <c r="C73" s="1" t="s">
        <v>165</v>
      </c>
      <c r="E73" s="1" t="s">
        <v>128</v>
      </c>
      <c r="G73" s="1" t="s">
        <v>166</v>
      </c>
      <c r="I73" s="1" t="s">
        <v>128</v>
      </c>
      <c r="K73" s="1" t="s">
        <v>167</v>
      </c>
    </row>
    <row r="74" spans="1:11" ht="12.75">
      <c r="A74" s="1" t="s">
        <v>168</v>
      </c>
      <c r="C74" s="1" t="s">
        <v>169</v>
      </c>
      <c r="E74" s="1" t="s">
        <v>139</v>
      </c>
      <c r="G74" s="1" t="s">
        <v>170</v>
      </c>
      <c r="I74" s="1" t="s">
        <v>141</v>
      </c>
      <c r="J74" s="1"/>
      <c r="K74" s="1" t="s">
        <v>170</v>
      </c>
    </row>
    <row r="76" spans="1:11" ht="12.75">
      <c r="A76" s="1" t="s">
        <v>154</v>
      </c>
      <c r="C76" s="1" t="s">
        <v>171</v>
      </c>
      <c r="E76" s="1" t="s">
        <v>146</v>
      </c>
      <c r="G76" s="1" t="s">
        <v>172</v>
      </c>
      <c r="I76" s="1" t="s">
        <v>146</v>
      </c>
      <c r="K76" s="1" t="s">
        <v>172</v>
      </c>
    </row>
    <row r="77" spans="1:11" ht="12.75">
      <c r="A77" s="1" t="s">
        <v>131</v>
      </c>
      <c r="C77" s="1" t="s">
        <v>170</v>
      </c>
      <c r="E77" s="1" t="s">
        <v>150</v>
      </c>
      <c r="G77" s="1" t="s">
        <v>173</v>
      </c>
      <c r="I77" s="1" t="s">
        <v>174</v>
      </c>
      <c r="K77" s="1" t="s">
        <v>175</v>
      </c>
    </row>
    <row r="79" spans="1:11" ht="12.75">
      <c r="A79" s="1" t="s">
        <v>160</v>
      </c>
      <c r="C79" s="1" t="s">
        <v>176</v>
      </c>
      <c r="E79" s="1" t="s">
        <v>154</v>
      </c>
      <c r="G79" s="1" t="s">
        <v>176</v>
      </c>
      <c r="I79" s="1" t="s">
        <v>177</v>
      </c>
      <c r="K79" s="1" t="s">
        <v>176</v>
      </c>
    </row>
    <row r="80" spans="1:11" ht="12.75">
      <c r="A80" s="1" t="s">
        <v>178</v>
      </c>
      <c r="C80" s="1" t="s">
        <v>179</v>
      </c>
      <c r="E80" s="1" t="s">
        <v>141</v>
      </c>
      <c r="G80" s="1" t="s">
        <v>180</v>
      </c>
      <c r="I80" s="1" t="s">
        <v>181</v>
      </c>
      <c r="K80" s="1" t="s">
        <v>182</v>
      </c>
    </row>
    <row r="82" spans="1:11" ht="12.75">
      <c r="A82" s="1" t="s">
        <v>165</v>
      </c>
      <c r="C82" s="1" t="s">
        <v>183</v>
      </c>
      <c r="E82" s="1" t="s">
        <v>160</v>
      </c>
      <c r="G82" s="1" t="s">
        <v>184</v>
      </c>
      <c r="I82" s="1" t="s">
        <v>154</v>
      </c>
      <c r="K82" s="1" t="s">
        <v>185</v>
      </c>
    </row>
    <row r="83" spans="1:11" ht="12.75">
      <c r="A83" s="1" t="s">
        <v>186</v>
      </c>
      <c r="C83" s="1" t="s">
        <v>187</v>
      </c>
      <c r="E83" s="1" t="s">
        <v>188</v>
      </c>
      <c r="G83" s="1" t="s">
        <v>131</v>
      </c>
      <c r="I83" s="1" t="s">
        <v>189</v>
      </c>
      <c r="K83" s="1" t="s">
        <v>190</v>
      </c>
    </row>
    <row r="85" spans="1:11" ht="12.75">
      <c r="A85" s="1" t="s">
        <v>191</v>
      </c>
      <c r="C85" s="1" t="s">
        <v>192</v>
      </c>
      <c r="E85" s="1" t="s">
        <v>165</v>
      </c>
      <c r="G85" s="1" t="s">
        <v>193</v>
      </c>
      <c r="I85" s="1" t="s">
        <v>160</v>
      </c>
      <c r="K85" s="1" t="s">
        <v>194</v>
      </c>
    </row>
    <row r="86" spans="1:11" ht="12.75">
      <c r="A86" s="1" t="s">
        <v>195</v>
      </c>
      <c r="C86" s="1" t="s">
        <v>196</v>
      </c>
      <c r="E86" s="1" t="s">
        <v>197</v>
      </c>
      <c r="G86" s="1" t="s">
        <v>198</v>
      </c>
      <c r="I86" s="1" t="s">
        <v>199</v>
      </c>
      <c r="K86" s="1" t="s">
        <v>200</v>
      </c>
    </row>
    <row r="88" spans="1:11" ht="12.75">
      <c r="A88" s="1" t="s">
        <v>201</v>
      </c>
      <c r="C88" s="1" t="s">
        <v>191</v>
      </c>
      <c r="E88" s="1" t="s">
        <v>171</v>
      </c>
      <c r="G88" s="1" t="s">
        <v>160</v>
      </c>
      <c r="I88" s="1" t="s">
        <v>165</v>
      </c>
      <c r="K88" s="1" t="s">
        <v>128</v>
      </c>
    </row>
    <row r="89" spans="1:11" ht="12.75">
      <c r="A89" s="1" t="s">
        <v>202</v>
      </c>
      <c r="C89" s="1" t="s">
        <v>170</v>
      </c>
      <c r="E89" s="1" t="s">
        <v>195</v>
      </c>
      <c r="G89" s="1" t="s">
        <v>203</v>
      </c>
      <c r="I89" s="1" t="s">
        <v>204</v>
      </c>
      <c r="K89" s="1" t="s">
        <v>131</v>
      </c>
    </row>
    <row r="91" spans="1:11" ht="12.75">
      <c r="A91" s="1" t="s">
        <v>206</v>
      </c>
      <c r="C91" s="1" t="s">
        <v>201</v>
      </c>
      <c r="E91" s="1" t="s">
        <v>176</v>
      </c>
      <c r="G91" s="1" t="s">
        <v>165</v>
      </c>
      <c r="I91" s="1" t="s">
        <v>207</v>
      </c>
      <c r="K91" s="1" t="s">
        <v>128</v>
      </c>
    </row>
    <row r="92" spans="1:11" ht="12.75">
      <c r="A92" s="1" t="s">
        <v>141</v>
      </c>
      <c r="C92" s="1" t="s">
        <v>209</v>
      </c>
      <c r="E92" s="1" t="s">
        <v>179</v>
      </c>
      <c r="G92" s="1" t="s">
        <v>210</v>
      </c>
      <c r="I92" s="1" t="s">
        <v>211</v>
      </c>
      <c r="K92" s="1" t="s">
        <v>141</v>
      </c>
    </row>
    <row r="94" spans="1:11" ht="12.75">
      <c r="A94" s="1" t="s">
        <v>165</v>
      </c>
      <c r="C94" s="1" t="s">
        <v>213</v>
      </c>
      <c r="E94" s="1" t="s">
        <v>183</v>
      </c>
      <c r="G94" s="1" t="s">
        <v>191</v>
      </c>
      <c r="I94" s="1" t="s">
        <v>166</v>
      </c>
      <c r="K94" s="1" t="s">
        <v>146</v>
      </c>
    </row>
    <row r="95" spans="1:11" ht="12.75">
      <c r="A95" s="1" t="s">
        <v>214</v>
      </c>
      <c r="C95" s="1" t="s">
        <v>170</v>
      </c>
      <c r="E95" s="1" t="s">
        <v>215</v>
      </c>
      <c r="G95" s="1" t="s">
        <v>133</v>
      </c>
      <c r="I95" s="1" t="s">
        <v>131</v>
      </c>
      <c r="K95" s="1" t="s">
        <v>217</v>
      </c>
    </row>
    <row r="97" spans="1:11" ht="12.75">
      <c r="A97" s="1" t="s">
        <v>218</v>
      </c>
      <c r="C97" s="1" t="s">
        <v>219</v>
      </c>
      <c r="E97" s="1" t="s">
        <v>192</v>
      </c>
      <c r="G97" s="1" t="s">
        <v>201</v>
      </c>
      <c r="I97" s="1" t="s">
        <v>172</v>
      </c>
      <c r="K97" s="1" t="s">
        <v>154</v>
      </c>
    </row>
    <row r="98" spans="1:11" ht="12.75">
      <c r="A98" s="1" t="s">
        <v>221</v>
      </c>
      <c r="C98" s="1" t="s">
        <v>186</v>
      </c>
      <c r="E98" s="1" t="s">
        <v>196</v>
      </c>
      <c r="G98" s="1" t="s">
        <v>223</v>
      </c>
      <c r="I98" s="1" t="s">
        <v>224</v>
      </c>
      <c r="K98" s="1" t="s">
        <v>131</v>
      </c>
    </row>
    <row r="100" spans="1:11" ht="12.75">
      <c r="A100" s="1" t="s">
        <v>207</v>
      </c>
      <c r="C100" s="1" t="s">
        <v>226</v>
      </c>
      <c r="E100" s="1" t="s">
        <v>191</v>
      </c>
      <c r="G100" s="1" t="s">
        <v>227</v>
      </c>
      <c r="I100" s="1" t="s">
        <v>176</v>
      </c>
      <c r="K100" s="1" t="s">
        <v>160</v>
      </c>
    </row>
    <row r="101" spans="1:11" ht="12.75">
      <c r="A101" s="1" t="s">
        <v>229</v>
      </c>
      <c r="C101" s="1" t="s">
        <v>230</v>
      </c>
      <c r="E101" s="1" t="s">
        <v>170</v>
      </c>
      <c r="G101" s="1" t="s">
        <v>231</v>
      </c>
      <c r="I101" s="1" t="s">
        <v>233</v>
      </c>
      <c r="K101" s="1" t="s">
        <v>163</v>
      </c>
    </row>
    <row r="103" spans="1:11" ht="12.75">
      <c r="C103" s="1" t="s">
        <v>155</v>
      </c>
      <c r="E103" s="1" t="s">
        <v>201</v>
      </c>
      <c r="G103" s="1" t="s">
        <v>213</v>
      </c>
      <c r="I103" s="1" t="s">
        <v>183</v>
      </c>
      <c r="K103" s="1" t="s">
        <v>171</v>
      </c>
    </row>
    <row r="104" spans="1:11" ht="12.75">
      <c r="C104" s="1" t="s">
        <v>236</v>
      </c>
      <c r="E104" s="1" t="s">
        <v>209</v>
      </c>
      <c r="G104" s="1" t="s">
        <v>139</v>
      </c>
      <c r="I104" s="1" t="s">
        <v>237</v>
      </c>
      <c r="K104" s="1" t="s">
        <v>170</v>
      </c>
    </row>
    <row r="106" spans="1:11" ht="12.75">
      <c r="C106" s="1" t="s">
        <v>239</v>
      </c>
      <c r="E106" s="1" t="s">
        <v>213</v>
      </c>
      <c r="G106" s="1" t="s">
        <v>219</v>
      </c>
      <c r="I106" s="1" t="s">
        <v>184</v>
      </c>
      <c r="K106" s="1" t="s">
        <v>176</v>
      </c>
    </row>
    <row r="107" spans="1:11" ht="12.75">
      <c r="C107" s="1" t="s">
        <v>170</v>
      </c>
      <c r="E107" s="1" t="s">
        <v>195</v>
      </c>
      <c r="G107" s="1" t="s">
        <v>240</v>
      </c>
      <c r="I107" s="1" t="s">
        <v>139</v>
      </c>
      <c r="K107" s="1" t="s">
        <v>190</v>
      </c>
    </row>
    <row r="109" spans="1:11" ht="12.75">
      <c r="C109" s="1" t="s">
        <v>241</v>
      </c>
      <c r="E109" s="1" t="s">
        <v>219</v>
      </c>
      <c r="G109" s="1" t="s">
        <v>226</v>
      </c>
      <c r="I109" s="1" t="s">
        <v>193</v>
      </c>
      <c r="K109" s="1" t="s">
        <v>183</v>
      </c>
    </row>
    <row r="110" spans="1:11" ht="12.75">
      <c r="C110" s="1" t="s">
        <v>242</v>
      </c>
      <c r="E110" s="1" t="s">
        <v>186</v>
      </c>
      <c r="G110" s="1" t="s">
        <v>230</v>
      </c>
      <c r="I110" s="1" t="s">
        <v>243</v>
      </c>
      <c r="K110" s="1" t="s">
        <v>215</v>
      </c>
    </row>
    <row r="112" spans="1:11" ht="12.75">
      <c r="C112" s="1" t="s">
        <v>244</v>
      </c>
      <c r="E112" s="1" t="s">
        <v>226</v>
      </c>
      <c r="G112" s="1" t="s">
        <v>155</v>
      </c>
      <c r="I112" s="1" t="s">
        <v>165</v>
      </c>
      <c r="K112" s="1" t="s">
        <v>192</v>
      </c>
    </row>
    <row r="113" spans="3:11" ht="12.75">
      <c r="C113" s="1" t="s">
        <v>245</v>
      </c>
      <c r="E113" s="1" t="s">
        <v>246</v>
      </c>
      <c r="G113" s="1" t="s">
        <v>247</v>
      </c>
      <c r="I113" s="1" t="s">
        <v>248</v>
      </c>
      <c r="K113" s="1" t="s">
        <v>249</v>
      </c>
    </row>
    <row r="115" spans="3:11" ht="12.75">
      <c r="C115" s="1" t="s">
        <v>250</v>
      </c>
      <c r="E115" s="1" t="s">
        <v>155</v>
      </c>
      <c r="G115" s="1" t="s">
        <v>251</v>
      </c>
      <c r="I115" s="1" t="s">
        <v>252</v>
      </c>
      <c r="K115" s="1" t="s">
        <v>184</v>
      </c>
    </row>
    <row r="116" spans="3:11" ht="12.75">
      <c r="C116" s="1" t="s">
        <v>245</v>
      </c>
      <c r="E116" s="1" t="s">
        <v>253</v>
      </c>
      <c r="G116" s="1" t="s">
        <v>195</v>
      </c>
      <c r="I116" s="1" t="s">
        <v>195</v>
      </c>
      <c r="K116" s="1" t="s">
        <v>131</v>
      </c>
    </row>
    <row r="118" spans="3:11" ht="12.75">
      <c r="C118" s="1" t="s">
        <v>254</v>
      </c>
      <c r="E118" s="1" t="s">
        <v>255</v>
      </c>
      <c r="G118" s="1" t="s">
        <v>250</v>
      </c>
      <c r="I118" s="1" t="s">
        <v>219</v>
      </c>
      <c r="K118" s="1" t="s">
        <v>193</v>
      </c>
    </row>
    <row r="119" spans="3:11" ht="12.75">
      <c r="C119" s="1" t="s">
        <v>245</v>
      </c>
      <c r="E119" s="1" t="s">
        <v>170</v>
      </c>
      <c r="G119" s="1" t="s">
        <v>256</v>
      </c>
      <c r="I119" s="1" t="s">
        <v>257</v>
      </c>
      <c r="K119" s="1" t="s">
        <v>181</v>
      </c>
    </row>
    <row r="121" spans="3:11" ht="12.75">
      <c r="C121" s="1" t="s">
        <v>207</v>
      </c>
      <c r="E121" s="1" t="s">
        <v>258</v>
      </c>
      <c r="G121" s="1" t="s">
        <v>259</v>
      </c>
      <c r="I121" s="1" t="s">
        <v>226</v>
      </c>
      <c r="K121" s="1" t="s">
        <v>160</v>
      </c>
    </row>
    <row r="122" spans="3:11" ht="12.75">
      <c r="C122" s="1" t="s">
        <v>245</v>
      </c>
      <c r="E122" s="1" t="s">
        <v>260</v>
      </c>
      <c r="G122" s="1" t="s">
        <v>261</v>
      </c>
      <c r="I122" s="1" t="s">
        <v>262</v>
      </c>
      <c r="K122" s="1" t="s">
        <v>263</v>
      </c>
    </row>
    <row r="124" spans="3:11" ht="12.75">
      <c r="C124" s="1" t="s">
        <v>206</v>
      </c>
      <c r="E124" s="1" t="s">
        <v>250</v>
      </c>
      <c r="G124" s="1" t="s">
        <v>206</v>
      </c>
      <c r="I124" s="1" t="s">
        <v>191</v>
      </c>
      <c r="K124" s="1" t="s">
        <v>165</v>
      </c>
    </row>
    <row r="125" spans="3:11" ht="12.75">
      <c r="C125" s="1" t="s">
        <v>141</v>
      </c>
      <c r="E125" s="1" t="s">
        <v>264</v>
      </c>
      <c r="G125" s="1" t="s">
        <v>189</v>
      </c>
      <c r="I125" s="1" t="s">
        <v>265</v>
      </c>
      <c r="K125" s="1" t="s">
        <v>266</v>
      </c>
    </row>
    <row r="127" spans="3:11" ht="12.75">
      <c r="C127" s="1" t="s">
        <v>165</v>
      </c>
      <c r="E127" s="1" t="s">
        <v>259</v>
      </c>
      <c r="G127" s="1" t="s">
        <v>160</v>
      </c>
      <c r="I127" s="1" t="s">
        <v>201</v>
      </c>
      <c r="K127" s="1" t="s">
        <v>191</v>
      </c>
    </row>
    <row r="128" spans="3:11" ht="12.75">
      <c r="C128" s="1" t="s">
        <v>267</v>
      </c>
      <c r="E128" s="1" t="s">
        <v>268</v>
      </c>
      <c r="G128" s="1" t="s">
        <v>269</v>
      </c>
      <c r="I128" s="1" t="s">
        <v>270</v>
      </c>
      <c r="K128" s="1" t="s">
        <v>131</v>
      </c>
    </row>
    <row r="130" spans="3:11" ht="12.75">
      <c r="C130" s="1" t="s">
        <v>207</v>
      </c>
      <c r="E130" s="1" t="s">
        <v>206</v>
      </c>
      <c r="G130" s="1" t="s">
        <v>207</v>
      </c>
      <c r="I130" s="1" t="s">
        <v>194</v>
      </c>
      <c r="K130" s="1" t="s">
        <v>201</v>
      </c>
    </row>
    <row r="131" spans="3:11" ht="12.75">
      <c r="C131" s="1" t="s">
        <v>272</v>
      </c>
      <c r="E131" s="1" t="s">
        <v>141</v>
      </c>
      <c r="G131" s="1" t="s">
        <v>273</v>
      </c>
      <c r="I131" s="1" t="s">
        <v>274</v>
      </c>
      <c r="K131" s="1" t="s">
        <v>275</v>
      </c>
    </row>
    <row r="133" spans="3:11" ht="12.75">
      <c r="C133" s="1" t="s">
        <v>206</v>
      </c>
      <c r="E133" s="1" t="s">
        <v>165</v>
      </c>
      <c r="G133" s="1" t="s">
        <v>276</v>
      </c>
      <c r="I133" s="1" t="s">
        <v>227</v>
      </c>
      <c r="K133" s="1" t="s">
        <v>194</v>
      </c>
    </row>
    <row r="134" spans="3:11" ht="12.75">
      <c r="C134" s="1" t="s">
        <v>131</v>
      </c>
      <c r="E134" s="1" t="s">
        <v>203</v>
      </c>
      <c r="G134" s="1" t="s">
        <v>195</v>
      </c>
      <c r="I134" s="1" t="s">
        <v>277</v>
      </c>
      <c r="K134" s="1" t="s">
        <v>278</v>
      </c>
    </row>
    <row r="136" spans="3:11" ht="12.75">
      <c r="C136" s="1" t="s">
        <v>165</v>
      </c>
      <c r="E136" s="1" t="s">
        <v>218</v>
      </c>
      <c r="G136" s="1" t="s">
        <v>183</v>
      </c>
      <c r="I136" s="1" t="s">
        <v>251</v>
      </c>
      <c r="K136" s="1" t="s">
        <v>213</v>
      </c>
    </row>
    <row r="137" spans="3:11" ht="12.75">
      <c r="C137" s="1" t="s">
        <v>279</v>
      </c>
      <c r="E137" s="1" t="s">
        <v>280</v>
      </c>
      <c r="G137" s="1" t="s">
        <v>211</v>
      </c>
      <c r="I137" s="1" t="s">
        <v>170</v>
      </c>
      <c r="K137" s="1" t="s">
        <v>131</v>
      </c>
    </row>
    <row r="139" spans="3:11" ht="12.75">
      <c r="C139" s="1" t="s">
        <v>207</v>
      </c>
      <c r="E139" s="1" t="s">
        <v>207</v>
      </c>
      <c r="G139" s="1" t="s">
        <v>192</v>
      </c>
      <c r="I139" s="1" t="s">
        <v>281</v>
      </c>
      <c r="K139" s="1" t="s">
        <v>219</v>
      </c>
    </row>
    <row r="140" spans="3:11" ht="12.75">
      <c r="C140" s="1" t="s">
        <v>282</v>
      </c>
      <c r="E140" s="1" t="s">
        <v>283</v>
      </c>
      <c r="G140" s="1" t="s">
        <v>284</v>
      </c>
      <c r="I140" s="1" t="s">
        <v>181</v>
      </c>
      <c r="K140" s="1" t="s">
        <v>285</v>
      </c>
    </row>
    <row r="142" spans="3:11" ht="12.75">
      <c r="C142" s="1"/>
      <c r="G142" s="1" t="s">
        <v>193</v>
      </c>
      <c r="I142" s="1" t="s">
        <v>250</v>
      </c>
      <c r="K142" s="1" t="s">
        <v>226</v>
      </c>
    </row>
    <row r="143" spans="3:11" ht="12.75">
      <c r="C143" s="1"/>
      <c r="G143" s="1" t="s">
        <v>279</v>
      </c>
      <c r="I143" s="1" t="s">
        <v>233</v>
      </c>
      <c r="K143" s="1" t="s">
        <v>224</v>
      </c>
    </row>
    <row r="145" spans="3:11" ht="12.75">
      <c r="C145" s="1"/>
      <c r="G145" s="1" t="s">
        <v>160</v>
      </c>
      <c r="I145" s="1" t="s">
        <v>259</v>
      </c>
      <c r="K145" s="1" t="s">
        <v>155</v>
      </c>
    </row>
    <row r="146" spans="3:11" ht="12.75">
      <c r="C146" s="1"/>
      <c r="G146" s="1" t="s">
        <v>289</v>
      </c>
      <c r="I146" s="1" t="s">
        <v>245</v>
      </c>
      <c r="K146" s="1" t="s">
        <v>290</v>
      </c>
    </row>
    <row r="148" spans="3:11" ht="12.75">
      <c r="C148" s="1"/>
      <c r="G148" s="1" t="s">
        <v>165</v>
      </c>
      <c r="I148" s="1" t="s">
        <v>292</v>
      </c>
      <c r="K148" s="1" t="s">
        <v>251</v>
      </c>
    </row>
    <row r="149" spans="3:11" ht="12.75">
      <c r="C149" s="1"/>
      <c r="G149" s="1" t="s">
        <v>293</v>
      </c>
      <c r="I149" s="1" t="s">
        <v>295</v>
      </c>
      <c r="K149" s="1" t="s">
        <v>170</v>
      </c>
    </row>
    <row r="151" spans="3:11" ht="12.75">
      <c r="C151" s="1"/>
      <c r="G151" s="1"/>
      <c r="I151" s="1" t="s">
        <v>206</v>
      </c>
      <c r="K151" s="1" t="s">
        <v>250</v>
      </c>
    </row>
    <row r="152" spans="3:11" ht="12.75">
      <c r="C152" s="1"/>
      <c r="G152" s="1"/>
      <c r="I152" s="1" t="s">
        <v>189</v>
      </c>
      <c r="K152" s="1" t="s">
        <v>267</v>
      </c>
    </row>
    <row r="154" spans="3:11" ht="12.75">
      <c r="C154" s="1"/>
      <c r="G154" s="1"/>
      <c r="I154" s="1" t="s">
        <v>241</v>
      </c>
      <c r="K154" s="1" t="s">
        <v>259</v>
      </c>
    </row>
    <row r="155" spans="3:11" ht="12.75">
      <c r="C155" s="1"/>
      <c r="G155" s="1"/>
      <c r="I155" s="1" t="s">
        <v>295</v>
      </c>
      <c r="K155" s="1" t="s">
        <v>190</v>
      </c>
    </row>
    <row r="157" spans="3:11" ht="12.75">
      <c r="G157" s="1"/>
      <c r="I157" s="1" t="s">
        <v>299</v>
      </c>
      <c r="K157" s="1" t="s">
        <v>292</v>
      </c>
    </row>
    <row r="158" spans="3:11" ht="12.75">
      <c r="G158" s="1"/>
      <c r="I158" s="1" t="s">
        <v>300</v>
      </c>
      <c r="K158" s="1" t="s">
        <v>302</v>
      </c>
    </row>
    <row r="160" spans="3:11" ht="12.75">
      <c r="G160" s="1"/>
      <c r="I160" s="1" t="s">
        <v>218</v>
      </c>
      <c r="K160" s="1" t="s">
        <v>206</v>
      </c>
    </row>
    <row r="161" spans="7:11" ht="12.75">
      <c r="G161" s="1"/>
      <c r="I161" s="1" t="s">
        <v>295</v>
      </c>
      <c r="K161" s="1" t="s">
        <v>141</v>
      </c>
    </row>
    <row r="163" spans="7:11" ht="12.75">
      <c r="G163" s="1"/>
      <c r="I163" s="1" t="s">
        <v>207</v>
      </c>
      <c r="K163" s="1" t="s">
        <v>160</v>
      </c>
    </row>
    <row r="164" spans="7:11" ht="12.75">
      <c r="G164" s="1"/>
      <c r="I164" s="1" t="s">
        <v>305</v>
      </c>
      <c r="K164" s="1" t="s">
        <v>306</v>
      </c>
    </row>
    <row r="166" spans="7:11" ht="12.75">
      <c r="G166" s="1"/>
      <c r="I166" s="1" t="s">
        <v>276</v>
      </c>
      <c r="K166" s="1" t="s">
        <v>207</v>
      </c>
    </row>
    <row r="167" spans="7:11" ht="12.75">
      <c r="G167" s="1"/>
      <c r="I167" s="1" t="s">
        <v>170</v>
      </c>
      <c r="K167" s="1" t="s">
        <v>307</v>
      </c>
    </row>
    <row r="169" spans="7:11" ht="12.75">
      <c r="G169" s="1"/>
      <c r="I169" s="1" t="s">
        <v>183</v>
      </c>
      <c r="K169" s="1"/>
    </row>
    <row r="170" spans="7:11" ht="12.75">
      <c r="G170" s="1"/>
      <c r="I170" s="1" t="s">
        <v>308</v>
      </c>
      <c r="K170" s="1"/>
    </row>
    <row r="172" spans="7:11" ht="12.75">
      <c r="I172" s="1" t="s">
        <v>192</v>
      </c>
    </row>
    <row r="173" spans="7:11" ht="12.75">
      <c r="I173" s="1" t="s">
        <v>309</v>
      </c>
    </row>
    <row r="175" spans="7:11" ht="12.75">
      <c r="I175" s="1" t="s">
        <v>310</v>
      </c>
    </row>
    <row r="176" spans="7:11" ht="12.75">
      <c r="I176" s="1" t="s">
        <v>312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34"/>
  <sheetViews>
    <sheetView workbookViewId="0"/>
  </sheetViews>
  <sheetFormatPr defaultColWidth="14.42578125" defaultRowHeight="15.75" customHeight="1"/>
  <sheetData>
    <row r="1" spans="1:10" ht="15.75" customHeight="1">
      <c r="A1" s="1" t="s">
        <v>1</v>
      </c>
      <c r="B1" s="1" t="s">
        <v>11</v>
      </c>
      <c r="C1" s="1" t="s">
        <v>13</v>
      </c>
      <c r="D1" s="1"/>
      <c r="J1" s="1"/>
    </row>
    <row r="2" spans="1:10" ht="15.75" customHeight="1">
      <c r="A2" s="1" t="s">
        <v>19</v>
      </c>
    </row>
    <row r="3" spans="1:10" ht="15.75" customHeight="1">
      <c r="A3" s="1" t="s">
        <v>20</v>
      </c>
      <c r="D3" s="1"/>
      <c r="J3" s="1"/>
    </row>
    <row r="4" spans="1:10" ht="15.75" customHeight="1">
      <c r="A4" s="1" t="s">
        <v>24</v>
      </c>
      <c r="D4" s="1"/>
      <c r="J4" s="1"/>
    </row>
    <row r="5" spans="1:10" ht="15.75" customHeight="1">
      <c r="A5" s="1" t="s">
        <v>28</v>
      </c>
      <c r="B5" s="1" t="s">
        <v>30</v>
      </c>
      <c r="C5" s="1" t="s">
        <v>32</v>
      </c>
      <c r="G5" s="1" t="s">
        <v>35</v>
      </c>
      <c r="H5" s="1">
        <v>71.7</v>
      </c>
      <c r="I5" s="1" t="s">
        <v>39</v>
      </c>
      <c r="J5" s="1"/>
    </row>
    <row r="6" spans="1:10" ht="15.75" customHeight="1">
      <c r="A6" s="1">
        <v>1</v>
      </c>
      <c r="B6" s="1"/>
      <c r="C6" s="1"/>
      <c r="D6" t="s">
        <v>45</v>
      </c>
      <c r="G6" s="1" t="s">
        <v>48</v>
      </c>
      <c r="H6" s="1">
        <v>178.1</v>
      </c>
      <c r="I6" s="1" t="s">
        <v>39</v>
      </c>
    </row>
    <row r="7" spans="1:10" ht="15.75" customHeight="1">
      <c r="A7" s="1">
        <v>2</v>
      </c>
      <c r="B7" s="1"/>
      <c r="D7" t="s">
        <v>54</v>
      </c>
      <c r="H7" s="1"/>
      <c r="J7" s="1"/>
    </row>
    <row r="8" spans="1:10" ht="15.75" customHeight="1">
      <c r="A8" s="1">
        <v>3</v>
      </c>
      <c r="B8" s="1"/>
      <c r="C8" s="1"/>
      <c r="D8" s="1" t="s">
        <v>59</v>
      </c>
      <c r="G8" s="1" t="s">
        <v>74</v>
      </c>
      <c r="H8" s="1">
        <v>1400</v>
      </c>
      <c r="I8" s="1" t="s">
        <v>76</v>
      </c>
    </row>
    <row r="9" spans="1:10" ht="15.75" customHeight="1">
      <c r="A9" s="1">
        <v>4</v>
      </c>
      <c r="B9" s="1"/>
      <c r="D9" t="s">
        <v>78</v>
      </c>
      <c r="G9" s="1" t="s">
        <v>79</v>
      </c>
      <c r="H9" s="1">
        <v>4150</v>
      </c>
      <c r="I9" s="1" t="s">
        <v>76</v>
      </c>
      <c r="J9" s="1"/>
    </row>
    <row r="10" spans="1:10" ht="15.75" customHeight="1">
      <c r="A10" s="1">
        <v>5</v>
      </c>
      <c r="B10" s="1"/>
      <c r="C10" s="1"/>
      <c r="D10" t="s">
        <v>81</v>
      </c>
      <c r="H10" s="1"/>
    </row>
    <row r="11" spans="1:10" ht="15.75" customHeight="1">
      <c r="A11" s="1">
        <v>6</v>
      </c>
      <c r="B11" s="1"/>
      <c r="C11" s="1"/>
      <c r="D11" t="s">
        <v>82</v>
      </c>
      <c r="G11" s="1" t="s">
        <v>83</v>
      </c>
      <c r="H11" s="4">
        <f>0.457379*100</f>
        <v>45.737899999999996</v>
      </c>
      <c r="I11" s="1" t="s">
        <v>142</v>
      </c>
      <c r="J11" s="1"/>
    </row>
    <row r="12" spans="1:10" ht="15.75" customHeight="1">
      <c r="A12" s="1">
        <v>7</v>
      </c>
      <c r="B12" s="1"/>
      <c r="D12" t="s">
        <v>148</v>
      </c>
      <c r="G12" s="1" t="s">
        <v>151</v>
      </c>
      <c r="H12" s="4">
        <f>0.455099*100</f>
        <v>45.509899999999995</v>
      </c>
      <c r="I12" s="1" t="s">
        <v>142</v>
      </c>
    </row>
    <row r="13" spans="1:10" ht="15.75" customHeight="1">
      <c r="A13" s="1">
        <v>8</v>
      </c>
      <c r="B13" s="1"/>
      <c r="C13" s="1"/>
      <c r="D13" t="s">
        <v>205</v>
      </c>
      <c r="H13" s="1"/>
      <c r="J13" s="1"/>
    </row>
    <row r="14" spans="1:10" ht="15.75" customHeight="1">
      <c r="A14" s="1">
        <v>9</v>
      </c>
      <c r="B14" s="1"/>
      <c r="C14" s="1"/>
      <c r="D14" t="s">
        <v>208</v>
      </c>
      <c r="H14" s="3"/>
    </row>
    <row r="15" spans="1:10" ht="15.75" customHeight="1">
      <c r="A15" s="1">
        <v>10</v>
      </c>
      <c r="B15" s="1">
        <v>1</v>
      </c>
      <c r="C15" s="1">
        <v>100</v>
      </c>
      <c r="D15" t="s">
        <v>212</v>
      </c>
      <c r="H15" s="3"/>
      <c r="J15" s="1"/>
    </row>
    <row r="16" spans="1:10" ht="15.75" customHeight="1">
      <c r="A16" s="1">
        <v>11</v>
      </c>
      <c r="B16" s="1">
        <v>3</v>
      </c>
      <c r="C16" s="1">
        <v>300</v>
      </c>
      <c r="D16" t="s">
        <v>216</v>
      </c>
      <c r="H16" s="1"/>
    </row>
    <row r="17" spans="1:10" ht="15.75" customHeight="1">
      <c r="A17" s="1">
        <v>12</v>
      </c>
      <c r="B17" s="1"/>
      <c r="D17" t="s">
        <v>220</v>
      </c>
      <c r="H17" s="1"/>
      <c r="J17" s="1"/>
    </row>
    <row r="18" spans="1:10" ht="15.75" customHeight="1">
      <c r="A18" s="1">
        <v>13</v>
      </c>
      <c r="B18" s="1"/>
      <c r="C18" s="1"/>
      <c r="D18" t="s">
        <v>222</v>
      </c>
      <c r="H18" s="1"/>
      <c r="J18" s="1"/>
    </row>
    <row r="19" spans="1:10" ht="15.75" customHeight="1">
      <c r="A19" s="1">
        <v>14</v>
      </c>
      <c r="B19" s="1"/>
      <c r="D19" t="s">
        <v>225</v>
      </c>
      <c r="H19" s="1"/>
      <c r="J19" s="1"/>
    </row>
    <row r="20" spans="1:10" ht="15.75" customHeight="1">
      <c r="A20" s="1">
        <v>15</v>
      </c>
      <c r="B20" s="1"/>
      <c r="D20" t="s">
        <v>228</v>
      </c>
      <c r="H20" s="1"/>
    </row>
    <row r="21" spans="1:10" ht="15.75" customHeight="1">
      <c r="A21" s="1">
        <v>16</v>
      </c>
      <c r="B21" s="1"/>
      <c r="C21" s="1"/>
      <c r="D21" t="s">
        <v>232</v>
      </c>
      <c r="H21" s="1"/>
    </row>
    <row r="22" spans="1:10" ht="15.75" customHeight="1">
      <c r="A22" s="1">
        <v>17</v>
      </c>
      <c r="B22" s="1"/>
      <c r="D22" t="s">
        <v>234</v>
      </c>
      <c r="H22" s="1"/>
    </row>
    <row r="23" spans="1:10" ht="15.75" customHeight="1">
      <c r="A23" s="1">
        <v>18</v>
      </c>
      <c r="B23" s="1"/>
      <c r="D23" t="s">
        <v>235</v>
      </c>
      <c r="H23" s="1"/>
    </row>
    <row r="24" spans="1:10" ht="15.75" customHeight="1">
      <c r="A24" s="1">
        <v>19</v>
      </c>
      <c r="B24" s="1"/>
      <c r="D24" t="s">
        <v>238</v>
      </c>
      <c r="H24" s="1"/>
    </row>
    <row r="25" spans="1:10" ht="15.75" customHeight="1">
      <c r="A25" s="1" t="s">
        <v>97</v>
      </c>
      <c r="C25">
        <f>SUM(C6:C24)</f>
        <v>400</v>
      </c>
      <c r="E25" s="1" t="s">
        <v>271</v>
      </c>
      <c r="F25">
        <f>C25*2.9/100</f>
        <v>11.6</v>
      </c>
    </row>
    <row r="26" spans="1:10" ht="15.75" customHeight="1">
      <c r="H26" s="1"/>
    </row>
    <row r="27" spans="1:10" ht="15.75" customHeight="1">
      <c r="A27" s="1" t="s">
        <v>286</v>
      </c>
      <c r="B27" s="1" t="s">
        <v>98</v>
      </c>
      <c r="C27" s="1" t="s">
        <v>287</v>
      </c>
      <c r="H27" s="1"/>
    </row>
    <row r="28" spans="1:10" ht="15.75" customHeight="1">
      <c r="A28" s="1">
        <v>1</v>
      </c>
      <c r="B28" s="1"/>
      <c r="C28" s="1"/>
      <c r="D28" t="s">
        <v>288</v>
      </c>
      <c r="G28" s="1"/>
      <c r="H28" s="1"/>
    </row>
    <row r="29" spans="1:10" ht="15.75" customHeight="1">
      <c r="A29" s="1">
        <v>2</v>
      </c>
      <c r="B29" s="1"/>
      <c r="C29" s="1"/>
      <c r="D29" t="s">
        <v>291</v>
      </c>
      <c r="G29" s="1"/>
      <c r="H29" s="1"/>
    </row>
    <row r="30" spans="1:10" ht="15.75" customHeight="1">
      <c r="A30" s="1">
        <v>3</v>
      </c>
      <c r="B30" s="1"/>
      <c r="C30" s="1"/>
      <c r="D30" t="s">
        <v>294</v>
      </c>
      <c r="G30" s="1"/>
      <c r="H30" s="1"/>
    </row>
    <row r="31" spans="1:10" ht="15.75" customHeight="1">
      <c r="A31" s="1">
        <v>4</v>
      </c>
      <c r="B31" s="1"/>
      <c r="C31" s="1"/>
      <c r="D31" t="s">
        <v>296</v>
      </c>
      <c r="G31" s="1"/>
      <c r="H31" s="1"/>
    </row>
    <row r="32" spans="1:10" ht="15.75" customHeight="1">
      <c r="A32" s="1">
        <v>5</v>
      </c>
      <c r="B32" s="1"/>
      <c r="C32" s="1"/>
      <c r="D32" t="s">
        <v>297</v>
      </c>
      <c r="G32" s="1"/>
      <c r="H32" s="1"/>
    </row>
    <row r="33" spans="1:8" ht="15.75" customHeight="1">
      <c r="A33" s="1">
        <v>6</v>
      </c>
      <c r="B33" s="1"/>
      <c r="C33" s="1"/>
      <c r="D33" t="s">
        <v>298</v>
      </c>
      <c r="G33" s="1"/>
      <c r="H33" s="1"/>
    </row>
    <row r="34" spans="1:8" ht="15.75" customHeight="1">
      <c r="A34" s="1">
        <v>7</v>
      </c>
      <c r="B34" s="1"/>
      <c r="C34" s="1"/>
      <c r="D34" t="s">
        <v>301</v>
      </c>
      <c r="G34" s="1"/>
      <c r="H34" s="1"/>
    </row>
    <row r="35" spans="1:8" ht="15.75" customHeight="1">
      <c r="A35" s="1">
        <v>8</v>
      </c>
      <c r="B35" s="1"/>
      <c r="C35" s="1"/>
      <c r="D35" t="s">
        <v>303</v>
      </c>
    </row>
    <row r="36" spans="1:8" ht="12.75">
      <c r="A36" s="1">
        <v>9</v>
      </c>
      <c r="B36" s="1"/>
      <c r="C36" s="1"/>
      <c r="D36" t="s">
        <v>304</v>
      </c>
    </row>
    <row r="37" spans="1:8" ht="12.75">
      <c r="A37" s="1">
        <v>10</v>
      </c>
      <c r="B37" s="1"/>
      <c r="C37" s="1"/>
      <c r="D37" t="s">
        <v>311</v>
      </c>
    </row>
    <row r="38" spans="1:8" ht="12.75">
      <c r="A38" s="1">
        <v>11</v>
      </c>
      <c r="B38" s="1"/>
      <c r="C38" s="1"/>
      <c r="D38" t="s">
        <v>313</v>
      </c>
      <c r="G38" s="1"/>
    </row>
    <row r="39" spans="1:8" ht="12.75">
      <c r="A39" s="1">
        <v>12</v>
      </c>
      <c r="B39" s="1"/>
      <c r="C39" s="1"/>
      <c r="D39" t="s">
        <v>314</v>
      </c>
      <c r="G39" s="1"/>
    </row>
    <row r="40" spans="1:8" ht="12.75">
      <c r="A40" s="1">
        <v>13</v>
      </c>
      <c r="B40" s="1"/>
      <c r="C40" s="1"/>
      <c r="D40" t="s">
        <v>315</v>
      </c>
      <c r="G40" s="1"/>
    </row>
    <row r="41" spans="1:8" ht="12.75">
      <c r="A41" s="1">
        <v>14</v>
      </c>
      <c r="B41" s="1"/>
      <c r="C41" s="1"/>
      <c r="D41" t="s">
        <v>316</v>
      </c>
      <c r="G41" s="1"/>
    </row>
    <row r="42" spans="1:8" ht="12.75">
      <c r="A42" s="1">
        <v>15</v>
      </c>
      <c r="B42" s="1"/>
      <c r="C42" s="1"/>
      <c r="D42" t="s">
        <v>317</v>
      </c>
      <c r="G42" s="1"/>
    </row>
    <row r="43" spans="1:8" ht="12.75">
      <c r="A43" s="1">
        <v>16</v>
      </c>
      <c r="B43" s="1"/>
      <c r="C43" s="1"/>
      <c r="D43" t="s">
        <v>318</v>
      </c>
      <c r="G43" s="1"/>
    </row>
    <row r="44" spans="1:8" ht="12.75">
      <c r="A44" s="1">
        <v>17</v>
      </c>
      <c r="B44" s="1"/>
      <c r="C44" s="1"/>
      <c r="D44" t="s">
        <v>319</v>
      </c>
      <c r="G44" s="1"/>
    </row>
    <row r="45" spans="1:8" ht="12.75">
      <c r="A45" s="1">
        <v>18</v>
      </c>
      <c r="B45" s="1"/>
      <c r="C45" s="1"/>
      <c r="D45" t="s">
        <v>320</v>
      </c>
    </row>
    <row r="46" spans="1:8" ht="12.75">
      <c r="A46" s="1">
        <v>19</v>
      </c>
      <c r="B46" s="1"/>
      <c r="C46" s="1"/>
      <c r="D46" t="s">
        <v>321</v>
      </c>
    </row>
    <row r="47" spans="1:8" ht="12.75">
      <c r="A47" s="1">
        <v>20</v>
      </c>
      <c r="B47" s="1">
        <v>2</v>
      </c>
      <c r="C47" s="1">
        <f t="shared" ref="C47:C48" si="0">B47*100</f>
        <v>200</v>
      </c>
      <c r="D47" t="s">
        <v>322</v>
      </c>
      <c r="G47" s="1"/>
    </row>
    <row r="48" spans="1:8" ht="12.75">
      <c r="A48" s="1">
        <v>21</v>
      </c>
      <c r="B48" s="1">
        <v>1</v>
      </c>
      <c r="C48" s="1">
        <f t="shared" si="0"/>
        <v>100</v>
      </c>
      <c r="D48" t="s">
        <v>323</v>
      </c>
      <c r="G48" s="1"/>
    </row>
    <row r="49" spans="1:9" ht="12.75">
      <c r="A49" s="1">
        <v>22</v>
      </c>
      <c r="B49" s="1"/>
      <c r="C49" s="1"/>
      <c r="D49" t="s">
        <v>324</v>
      </c>
      <c r="G49" s="1"/>
      <c r="H49" s="1"/>
    </row>
    <row r="50" spans="1:9" ht="12.75">
      <c r="A50" s="1">
        <v>23</v>
      </c>
      <c r="B50" s="1"/>
      <c r="C50" s="1"/>
      <c r="D50" t="s">
        <v>325</v>
      </c>
      <c r="G50" s="1"/>
      <c r="H50" s="1"/>
    </row>
    <row r="51" spans="1:9" ht="12.75">
      <c r="A51" s="1">
        <v>24</v>
      </c>
      <c r="B51" s="1"/>
      <c r="C51" s="1"/>
      <c r="D51" t="s">
        <v>326</v>
      </c>
      <c r="G51" s="1"/>
      <c r="H51" s="1"/>
      <c r="I51" s="1"/>
    </row>
    <row r="52" spans="1:9" ht="12.75">
      <c r="A52" s="1">
        <v>25</v>
      </c>
      <c r="B52" s="1"/>
      <c r="C52" s="1"/>
      <c r="D52" t="s">
        <v>327</v>
      </c>
      <c r="G52" s="1"/>
      <c r="H52" s="1"/>
      <c r="I52" s="1"/>
    </row>
    <row r="53" spans="1:9" ht="12.75">
      <c r="A53" s="1">
        <v>26</v>
      </c>
      <c r="B53" s="1"/>
      <c r="C53" s="1"/>
      <c r="D53" t="s">
        <v>328</v>
      </c>
      <c r="G53" s="1"/>
      <c r="H53" s="1"/>
      <c r="I53" s="1"/>
    </row>
    <row r="54" spans="1:9" ht="12.75">
      <c r="A54" s="1">
        <v>27</v>
      </c>
      <c r="B54" s="1"/>
      <c r="C54" s="1"/>
      <c r="D54" t="s">
        <v>329</v>
      </c>
    </row>
    <row r="55" spans="1:9" ht="12.75">
      <c r="A55" s="1">
        <v>28</v>
      </c>
      <c r="B55" s="1"/>
      <c r="C55" s="1"/>
      <c r="D55" t="s">
        <v>330</v>
      </c>
      <c r="H55" s="1"/>
    </row>
    <row r="56" spans="1:9" ht="12.75">
      <c r="A56" s="1">
        <v>29</v>
      </c>
      <c r="B56" s="1"/>
      <c r="C56" s="1"/>
      <c r="D56" t="s">
        <v>331</v>
      </c>
      <c r="H56" s="1"/>
    </row>
    <row r="57" spans="1:9" ht="12.75">
      <c r="A57" s="1">
        <v>30</v>
      </c>
      <c r="B57" s="1"/>
      <c r="C57" s="1"/>
      <c r="D57" t="s">
        <v>332</v>
      </c>
      <c r="H57" s="1"/>
      <c r="I57" s="1"/>
    </row>
    <row r="58" spans="1:9" ht="12.75">
      <c r="A58" s="1">
        <v>31</v>
      </c>
      <c r="B58" s="1"/>
      <c r="C58" s="1"/>
      <c r="D58" t="s">
        <v>333</v>
      </c>
      <c r="H58" s="1"/>
      <c r="I58" s="1"/>
    </row>
    <row r="59" spans="1:9" ht="12.75">
      <c r="A59" s="1">
        <v>32</v>
      </c>
      <c r="B59" s="1"/>
      <c r="C59" s="1"/>
      <c r="D59" t="s">
        <v>334</v>
      </c>
      <c r="H59" s="1"/>
      <c r="I59" s="1"/>
    </row>
    <row r="60" spans="1:9" ht="12.75">
      <c r="A60" s="1">
        <v>33</v>
      </c>
      <c r="B60" s="1"/>
      <c r="C60" s="1"/>
      <c r="D60" t="s">
        <v>335</v>
      </c>
    </row>
    <row r="61" spans="1:9" ht="12.75">
      <c r="A61" s="1">
        <v>34</v>
      </c>
      <c r="B61" s="1"/>
      <c r="C61" s="1"/>
      <c r="D61" t="s">
        <v>336</v>
      </c>
      <c r="H61" s="1"/>
    </row>
    <row r="62" spans="1:9" ht="12.75">
      <c r="A62" s="1">
        <v>35</v>
      </c>
      <c r="B62" s="1"/>
      <c r="C62" s="1"/>
      <c r="D62" t="s">
        <v>337</v>
      </c>
      <c r="H62" s="1"/>
    </row>
    <row r="63" spans="1:9" ht="12.75">
      <c r="A63" s="1">
        <v>36</v>
      </c>
      <c r="B63" s="1"/>
      <c r="C63" s="1"/>
      <c r="D63" t="s">
        <v>338</v>
      </c>
      <c r="H63" s="1"/>
      <c r="I63" s="1"/>
    </row>
    <row r="64" spans="1:9" ht="12.75">
      <c r="A64" s="1">
        <v>37</v>
      </c>
      <c r="B64" s="1"/>
      <c r="C64" s="1"/>
      <c r="D64" t="s">
        <v>339</v>
      </c>
      <c r="H64" s="1"/>
      <c r="I64" s="1"/>
    </row>
    <row r="65" spans="1:9" ht="12.75">
      <c r="A65" s="1">
        <v>38</v>
      </c>
      <c r="B65" s="1"/>
      <c r="C65" s="1"/>
      <c r="D65" t="s">
        <v>340</v>
      </c>
      <c r="H65" s="1"/>
      <c r="I65" s="1"/>
    </row>
    <row r="66" spans="1:9" ht="12.75">
      <c r="A66" s="1">
        <v>39</v>
      </c>
      <c r="B66" s="1"/>
      <c r="C66" s="1"/>
      <c r="D66" t="s">
        <v>341</v>
      </c>
      <c r="H66" s="1"/>
      <c r="I66" s="1"/>
    </row>
    <row r="67" spans="1:9" ht="12.75">
      <c r="A67" s="1">
        <v>40</v>
      </c>
      <c r="B67" s="1"/>
      <c r="C67" s="1"/>
      <c r="D67" t="s">
        <v>342</v>
      </c>
    </row>
    <row r="68" spans="1:9" ht="12.75">
      <c r="A68" s="1">
        <v>41</v>
      </c>
      <c r="B68" s="1"/>
      <c r="C68" s="1"/>
      <c r="D68" t="s">
        <v>343</v>
      </c>
      <c r="H68" s="1"/>
    </row>
    <row r="69" spans="1:9" ht="12.75">
      <c r="A69" s="1">
        <v>42</v>
      </c>
      <c r="B69" s="1"/>
      <c r="C69" s="1"/>
      <c r="D69" t="s">
        <v>344</v>
      </c>
      <c r="H69" s="1"/>
    </row>
    <row r="70" spans="1:9" ht="12.75">
      <c r="A70" s="1">
        <v>43</v>
      </c>
      <c r="B70" s="1"/>
      <c r="C70" s="1"/>
      <c r="D70" t="s">
        <v>345</v>
      </c>
      <c r="H70" s="1"/>
      <c r="I70" s="1"/>
    </row>
    <row r="71" spans="1:9" ht="12.75">
      <c r="A71" s="1">
        <v>44</v>
      </c>
      <c r="B71" s="1">
        <v>1</v>
      </c>
      <c r="C71" s="1">
        <f>B71*100</f>
        <v>100</v>
      </c>
      <c r="D71" t="s">
        <v>349</v>
      </c>
      <c r="H71" s="1"/>
      <c r="I71" s="1"/>
    </row>
    <row r="72" spans="1:9" ht="12.75">
      <c r="A72" s="1">
        <v>45</v>
      </c>
      <c r="B72" s="1"/>
      <c r="C72" s="1"/>
      <c r="D72" t="s">
        <v>350</v>
      </c>
      <c r="H72" s="1"/>
      <c r="I72" s="1"/>
    </row>
    <row r="73" spans="1:9" ht="12.75">
      <c r="A73" s="1">
        <v>46</v>
      </c>
      <c r="B73" s="1"/>
      <c r="C73" s="1"/>
      <c r="D73" t="s">
        <v>351</v>
      </c>
    </row>
    <row r="74" spans="1:9" ht="12.75">
      <c r="A74" s="1">
        <v>47</v>
      </c>
      <c r="B74" s="1"/>
      <c r="C74" s="1"/>
      <c r="D74" t="s">
        <v>352</v>
      </c>
      <c r="H74" s="1"/>
    </row>
    <row r="75" spans="1:9" ht="12.75">
      <c r="A75" s="1">
        <v>48</v>
      </c>
      <c r="B75" s="1"/>
      <c r="C75" s="1"/>
      <c r="D75" t="s">
        <v>353</v>
      </c>
      <c r="H75" s="1"/>
    </row>
    <row r="76" spans="1:9" ht="12.75">
      <c r="A76" s="1">
        <v>49</v>
      </c>
      <c r="B76" s="1"/>
      <c r="C76" s="1"/>
      <c r="D76" t="s">
        <v>354</v>
      </c>
      <c r="H76" s="1"/>
      <c r="I76" s="1"/>
    </row>
    <row r="77" spans="1:9" ht="12.75">
      <c r="A77" s="1">
        <v>50</v>
      </c>
      <c r="B77" s="1">
        <v>1</v>
      </c>
      <c r="C77" s="1">
        <f>B77*100</f>
        <v>100</v>
      </c>
      <c r="D77" t="s">
        <v>355</v>
      </c>
      <c r="H77" s="1"/>
      <c r="I77" s="1"/>
    </row>
    <row r="78" spans="1:9" ht="12.75">
      <c r="A78" s="1">
        <v>51</v>
      </c>
      <c r="B78" s="1"/>
      <c r="C78" s="1"/>
      <c r="D78" t="s">
        <v>356</v>
      </c>
      <c r="H78" s="1"/>
      <c r="I78" s="1"/>
    </row>
    <row r="79" spans="1:9" ht="12.75">
      <c r="A79" s="1">
        <v>52</v>
      </c>
      <c r="B79" s="1"/>
      <c r="C79" s="1"/>
      <c r="D79" t="s">
        <v>357</v>
      </c>
    </row>
    <row r="80" spans="1:9" ht="12.75">
      <c r="A80" s="1">
        <v>53</v>
      </c>
      <c r="B80" s="1"/>
      <c r="C80" s="1"/>
      <c r="D80" t="s">
        <v>358</v>
      </c>
      <c r="H80" s="1"/>
    </row>
    <row r="81" spans="1:9" ht="12.75">
      <c r="A81" s="1">
        <v>54</v>
      </c>
      <c r="B81" s="1">
        <v>1</v>
      </c>
      <c r="C81" s="1">
        <v>100</v>
      </c>
      <c r="D81" t="s">
        <v>359</v>
      </c>
      <c r="H81" s="1"/>
    </row>
    <row r="82" spans="1:9" ht="12.75">
      <c r="A82" s="1">
        <v>55</v>
      </c>
      <c r="B82" s="1"/>
      <c r="C82" s="1"/>
      <c r="D82" t="s">
        <v>360</v>
      </c>
      <c r="H82" s="1"/>
      <c r="I82" s="1"/>
    </row>
    <row r="83" spans="1:9" ht="12.75">
      <c r="A83" s="1">
        <v>56</v>
      </c>
      <c r="B83" s="1"/>
      <c r="C83" s="1"/>
      <c r="D83" t="s">
        <v>361</v>
      </c>
      <c r="H83" s="1"/>
      <c r="I83" s="1"/>
    </row>
    <row r="84" spans="1:9" ht="12.75">
      <c r="A84" s="1">
        <v>57</v>
      </c>
      <c r="B84" s="1">
        <v>1</v>
      </c>
      <c r="C84" s="1">
        <f>B84*100</f>
        <v>100</v>
      </c>
      <c r="D84" t="s">
        <v>362</v>
      </c>
      <c r="H84" s="1"/>
      <c r="I84" s="1"/>
    </row>
    <row r="85" spans="1:9" ht="12.75">
      <c r="A85" s="1">
        <v>58</v>
      </c>
      <c r="B85" s="1"/>
      <c r="C85" s="1"/>
      <c r="D85" t="s">
        <v>363</v>
      </c>
    </row>
    <row r="86" spans="1:9" ht="12.75">
      <c r="A86" s="1">
        <v>59</v>
      </c>
      <c r="B86" s="1"/>
      <c r="C86" s="1"/>
      <c r="D86" t="s">
        <v>364</v>
      </c>
      <c r="H86" s="1"/>
    </row>
    <row r="87" spans="1:9" ht="12.75">
      <c r="A87" s="1">
        <v>60</v>
      </c>
      <c r="B87" s="1"/>
      <c r="C87" s="1"/>
      <c r="D87" t="s">
        <v>365</v>
      </c>
      <c r="H87" s="1"/>
    </row>
    <row r="88" spans="1:9" ht="12.75">
      <c r="A88" s="1">
        <v>61</v>
      </c>
      <c r="B88" s="1"/>
      <c r="C88" s="1"/>
      <c r="D88" t="s">
        <v>366</v>
      </c>
      <c r="H88" s="1"/>
      <c r="I88" s="1"/>
    </row>
    <row r="89" spans="1:9" ht="12.75">
      <c r="A89" s="1">
        <v>62</v>
      </c>
      <c r="B89" s="1"/>
      <c r="C89" s="1"/>
      <c r="D89" t="s">
        <v>367</v>
      </c>
      <c r="H89" s="1"/>
      <c r="I89" s="1"/>
    </row>
    <row r="90" spans="1:9" ht="12.75">
      <c r="A90" s="1">
        <v>63</v>
      </c>
      <c r="B90" s="1"/>
      <c r="C90" s="1"/>
      <c r="D90" t="s">
        <v>368</v>
      </c>
      <c r="H90" s="1"/>
      <c r="I90" s="1"/>
    </row>
    <row r="91" spans="1:9" ht="12.75">
      <c r="A91" s="1">
        <v>64</v>
      </c>
      <c r="B91" s="1"/>
      <c r="C91" s="1"/>
      <c r="D91" t="s">
        <v>369</v>
      </c>
    </row>
    <row r="92" spans="1:9" ht="12.75">
      <c r="A92" s="1">
        <v>65</v>
      </c>
      <c r="B92" s="1"/>
      <c r="C92" s="1"/>
      <c r="D92" t="s">
        <v>370</v>
      </c>
    </row>
    <row r="93" spans="1:9" ht="12.75">
      <c r="A93" s="1">
        <v>66</v>
      </c>
      <c r="B93" s="1"/>
      <c r="C93" s="1"/>
      <c r="D93" t="s">
        <v>371</v>
      </c>
    </row>
    <row r="94" spans="1:9" ht="12.75">
      <c r="A94" s="1">
        <v>67</v>
      </c>
      <c r="B94" s="1"/>
      <c r="C94" s="1"/>
      <c r="D94" t="s">
        <v>372</v>
      </c>
    </row>
    <row r="95" spans="1:9" ht="12.75">
      <c r="A95" s="1">
        <v>68</v>
      </c>
      <c r="B95" s="1"/>
      <c r="C95" s="1"/>
      <c r="D95" t="s">
        <v>373</v>
      </c>
    </row>
    <row r="96" spans="1:9" ht="12.75">
      <c r="A96" s="1">
        <v>69</v>
      </c>
      <c r="B96" s="1"/>
      <c r="C96" s="1"/>
      <c r="D96" t="s">
        <v>374</v>
      </c>
    </row>
    <row r="97" spans="1:11" ht="12.75">
      <c r="A97" s="1">
        <v>70</v>
      </c>
      <c r="B97" s="1"/>
      <c r="C97" s="1"/>
      <c r="D97" t="s">
        <v>375</v>
      </c>
    </row>
    <row r="98" spans="1:11" ht="12.75">
      <c r="A98" s="1">
        <v>71</v>
      </c>
      <c r="B98" s="1"/>
      <c r="C98" s="1"/>
      <c r="D98" t="s">
        <v>376</v>
      </c>
    </row>
    <row r="99" spans="1:11" ht="12.75">
      <c r="A99" s="1">
        <v>72</v>
      </c>
      <c r="B99" s="1"/>
      <c r="C99" s="1"/>
      <c r="D99" t="s">
        <v>377</v>
      </c>
    </row>
    <row r="100" spans="1:11" ht="12.75">
      <c r="A100" s="1">
        <v>73</v>
      </c>
      <c r="B100" s="1"/>
      <c r="C100" s="1"/>
      <c r="D100" t="s">
        <v>378</v>
      </c>
      <c r="H100" s="1"/>
      <c r="K100" s="1"/>
    </row>
    <row r="101" spans="1:11" ht="12.75">
      <c r="A101" s="1">
        <v>74</v>
      </c>
      <c r="B101" s="1"/>
      <c r="C101" s="1"/>
      <c r="D101" t="s">
        <v>379</v>
      </c>
      <c r="H101" s="1"/>
      <c r="K101" s="1"/>
    </row>
    <row r="102" spans="1:11" ht="12.75">
      <c r="A102" s="1">
        <v>75</v>
      </c>
      <c r="B102" s="1"/>
      <c r="C102" s="1"/>
      <c r="D102" t="s">
        <v>380</v>
      </c>
      <c r="H102" s="1"/>
      <c r="K102" s="1"/>
    </row>
    <row r="103" spans="1:11" ht="12.75">
      <c r="A103" s="1">
        <v>76</v>
      </c>
      <c r="B103" s="1"/>
      <c r="C103" s="1"/>
      <c r="D103" t="s">
        <v>381</v>
      </c>
      <c r="H103" s="1"/>
      <c r="K103" s="1"/>
    </row>
    <row r="104" spans="1:11" ht="12.75">
      <c r="A104" s="1">
        <v>77</v>
      </c>
      <c r="B104" s="1">
        <v>1</v>
      </c>
      <c r="C104" s="1">
        <f>B104*100</f>
        <v>100</v>
      </c>
      <c r="D104" t="s">
        <v>382</v>
      </c>
      <c r="H104" s="1"/>
      <c r="K104" s="1"/>
    </row>
    <row r="105" spans="1:11" ht="12.75">
      <c r="A105" s="1">
        <v>78</v>
      </c>
      <c r="B105" s="1">
        <v>1</v>
      </c>
      <c r="C105" s="1">
        <v>100</v>
      </c>
      <c r="D105" t="s">
        <v>383</v>
      </c>
      <c r="H105" s="1"/>
      <c r="K105" s="1"/>
    </row>
    <row r="106" spans="1:11" ht="12.75">
      <c r="A106" s="1">
        <v>79</v>
      </c>
      <c r="B106" s="1"/>
      <c r="C106" s="1"/>
      <c r="D106" t="s">
        <v>384</v>
      </c>
      <c r="H106" s="1"/>
      <c r="K106" s="1"/>
    </row>
    <row r="107" spans="1:11" ht="12.75">
      <c r="A107" s="1">
        <v>80</v>
      </c>
      <c r="B107" s="1"/>
      <c r="C107" s="1"/>
      <c r="D107" t="s">
        <v>385</v>
      </c>
      <c r="H107" s="1"/>
      <c r="K107" s="1"/>
    </row>
    <row r="108" spans="1:11" ht="12.75">
      <c r="A108" s="1">
        <v>81</v>
      </c>
      <c r="B108" s="1">
        <v>1</v>
      </c>
      <c r="C108" s="1">
        <f>B108*100</f>
        <v>100</v>
      </c>
      <c r="D108" t="s">
        <v>386</v>
      </c>
      <c r="F108" s="1"/>
      <c r="H108" s="1"/>
      <c r="K108" s="1"/>
    </row>
    <row r="109" spans="1:11" ht="12.75">
      <c r="A109" s="1">
        <v>82</v>
      </c>
      <c r="B109" s="1"/>
      <c r="C109" s="1"/>
      <c r="D109" t="s">
        <v>387</v>
      </c>
      <c r="F109" s="1"/>
      <c r="H109" s="1"/>
      <c r="K109" s="1"/>
    </row>
    <row r="110" spans="1:11" ht="12.75">
      <c r="A110" s="1">
        <v>83</v>
      </c>
      <c r="B110" s="1"/>
      <c r="C110" s="1"/>
      <c r="D110" t="s">
        <v>388</v>
      </c>
      <c r="F110" s="1"/>
      <c r="H110" s="1"/>
      <c r="K110" s="1"/>
    </row>
    <row r="111" spans="1:11" ht="12.75">
      <c r="A111" s="1">
        <v>84</v>
      </c>
      <c r="B111" s="1">
        <v>2</v>
      </c>
      <c r="C111" s="1">
        <f>B111*100</f>
        <v>200</v>
      </c>
      <c r="D111" t="s">
        <v>389</v>
      </c>
      <c r="F111" s="1"/>
      <c r="H111" s="1"/>
      <c r="K111" s="1"/>
    </row>
    <row r="112" spans="1:11" ht="12.75">
      <c r="A112" s="1">
        <v>85</v>
      </c>
      <c r="B112" s="1"/>
      <c r="C112" s="1"/>
      <c r="D112" t="s">
        <v>390</v>
      </c>
      <c r="F112" s="1"/>
      <c r="H112" s="1"/>
      <c r="K112" s="1"/>
    </row>
    <row r="113" spans="1:16" ht="12.75">
      <c r="A113" s="1">
        <v>86</v>
      </c>
      <c r="B113" s="1"/>
      <c r="C113" s="1"/>
      <c r="D113" t="s">
        <v>391</v>
      </c>
      <c r="F113" s="1"/>
      <c r="H113" s="1"/>
      <c r="K113" s="1"/>
    </row>
    <row r="114" spans="1:16" ht="12.75">
      <c r="A114" s="1">
        <v>87</v>
      </c>
      <c r="B114" s="1"/>
      <c r="C114" s="1"/>
      <c r="D114" t="s">
        <v>392</v>
      </c>
      <c r="F114" s="1"/>
      <c r="H114" s="1"/>
      <c r="K114" s="1"/>
    </row>
    <row r="115" spans="1:16" ht="12.75">
      <c r="A115" s="1">
        <v>88</v>
      </c>
      <c r="B115" s="1">
        <v>1</v>
      </c>
      <c r="C115" s="1">
        <f t="shared" ref="C115:C116" si="1">B115*100</f>
        <v>100</v>
      </c>
      <c r="D115" t="s">
        <v>393</v>
      </c>
      <c r="H115" s="1"/>
      <c r="K115" s="1"/>
    </row>
    <row r="116" spans="1:16" ht="12.75">
      <c r="A116" s="1">
        <v>89</v>
      </c>
      <c r="B116" s="1">
        <v>1</v>
      </c>
      <c r="C116" s="1">
        <f t="shared" si="1"/>
        <v>100</v>
      </c>
      <c r="D116" t="s">
        <v>394</v>
      </c>
      <c r="H116" s="1"/>
      <c r="K116" s="1"/>
    </row>
    <row r="117" spans="1:16" ht="12.75">
      <c r="A117" s="1">
        <v>90</v>
      </c>
      <c r="B117" s="1"/>
      <c r="C117" s="1"/>
      <c r="D117" t="s">
        <v>395</v>
      </c>
      <c r="H117" s="1"/>
      <c r="K117" s="1"/>
    </row>
    <row r="118" spans="1:16" ht="12.75">
      <c r="A118" s="1">
        <v>91</v>
      </c>
      <c r="B118" s="1"/>
      <c r="C118" s="1"/>
      <c r="D118" t="s">
        <v>396</v>
      </c>
      <c r="H118" s="1"/>
      <c r="K118" s="1"/>
    </row>
    <row r="119" spans="1:16" ht="12.75">
      <c r="A119" s="1">
        <v>92</v>
      </c>
      <c r="B119" s="1"/>
      <c r="C119" s="1"/>
      <c r="D119" t="s">
        <v>397</v>
      </c>
      <c r="H119" s="1"/>
      <c r="K119" s="1"/>
    </row>
    <row r="120" spans="1:16" ht="12.75">
      <c r="A120" s="1">
        <v>93</v>
      </c>
      <c r="B120" s="1"/>
      <c r="C120" s="1"/>
      <c r="D120" t="s">
        <v>398</v>
      </c>
      <c r="H120" s="1"/>
      <c r="K120" s="1"/>
    </row>
    <row r="121" spans="1:16" ht="12.75">
      <c r="A121" s="1">
        <v>94</v>
      </c>
      <c r="B121" s="1"/>
      <c r="C121" s="1"/>
      <c r="D121" t="s">
        <v>399</v>
      </c>
      <c r="H121" s="1"/>
      <c r="K121" s="1"/>
    </row>
    <row r="122" spans="1:16" ht="12.75">
      <c r="A122" s="1">
        <v>95</v>
      </c>
      <c r="B122" s="1"/>
      <c r="C122" s="1"/>
      <c r="D122" t="s">
        <v>400</v>
      </c>
      <c r="H122" s="1"/>
      <c r="K122" s="1"/>
    </row>
    <row r="123" spans="1:16" ht="12.75">
      <c r="A123" s="1">
        <v>96</v>
      </c>
      <c r="B123" s="1"/>
      <c r="C123" s="1"/>
      <c r="D123" t="s">
        <v>401</v>
      </c>
      <c r="H123" s="1"/>
      <c r="K123" s="1"/>
      <c r="O123" s="1"/>
    </row>
    <row r="124" spans="1:16" ht="12.75">
      <c r="A124" s="1"/>
      <c r="B124" s="1" t="s">
        <v>402</v>
      </c>
      <c r="C124">
        <f>SUM(C28:C123)</f>
        <v>1400</v>
      </c>
      <c r="E124" s="1" t="s">
        <v>271</v>
      </c>
      <c r="F124">
        <f>C124*2.2/100</f>
        <v>30.800000000000004</v>
      </c>
    </row>
    <row r="125" spans="1:16" ht="12.75">
      <c r="A125" s="1" t="s">
        <v>403</v>
      </c>
      <c r="E125" s="1"/>
      <c r="F125" s="1" t="s">
        <v>404</v>
      </c>
    </row>
    <row r="126" spans="1:16" ht="12.75">
      <c r="A126" s="1" t="s">
        <v>119</v>
      </c>
      <c r="B126" t="s">
        <v>212</v>
      </c>
      <c r="E126" s="1"/>
      <c r="F126" s="1" t="s">
        <v>128</v>
      </c>
      <c r="G126" t="s">
        <v>298</v>
      </c>
      <c r="J126" s="1" t="s">
        <v>213</v>
      </c>
      <c r="K126" t="s">
        <v>360</v>
      </c>
      <c r="N126" s="1"/>
      <c r="O126" s="1"/>
      <c r="P126" s="1"/>
    </row>
    <row r="127" spans="1:16" ht="17.25">
      <c r="A127" s="1" t="s">
        <v>121</v>
      </c>
      <c r="B127" s="4" t="s">
        <v>405</v>
      </c>
      <c r="C127" s="1" t="s">
        <v>406</v>
      </c>
      <c r="F127" s="1" t="s">
        <v>407</v>
      </c>
      <c r="G127" s="4" t="s">
        <v>408</v>
      </c>
      <c r="H127" s="1" t="s">
        <v>406</v>
      </c>
      <c r="J127" s="1" t="s">
        <v>170</v>
      </c>
      <c r="K127" s="4" t="s">
        <v>408</v>
      </c>
      <c r="L127" s="1" t="s">
        <v>406</v>
      </c>
      <c r="N127" s="1"/>
      <c r="O127" s="1"/>
      <c r="P127" s="1"/>
    </row>
    <row r="128" spans="1:16" ht="12.75">
      <c r="A128" s="1" t="s">
        <v>122</v>
      </c>
      <c r="B128" s="1">
        <v>1000</v>
      </c>
      <c r="C128" t="s">
        <v>212</v>
      </c>
      <c r="E128" s="1"/>
      <c r="F128" s="1" t="s">
        <v>146</v>
      </c>
      <c r="G128" s="1">
        <v>750</v>
      </c>
      <c r="H128" t="s">
        <v>298</v>
      </c>
      <c r="J128" s="1" t="s">
        <v>219</v>
      </c>
      <c r="K128" s="1">
        <v>22</v>
      </c>
      <c r="L128" t="s">
        <v>357</v>
      </c>
    </row>
    <row r="129" spans="1:16" ht="12.75">
      <c r="B129" s="1">
        <f>B128</f>
        <v>1000</v>
      </c>
      <c r="E129" s="1"/>
      <c r="F129" s="1"/>
      <c r="G129" s="1">
        <f>G128</f>
        <v>750</v>
      </c>
      <c r="J129" s="1" t="s">
        <v>226</v>
      </c>
      <c r="K129" s="1">
        <v>155</v>
      </c>
      <c r="L129" t="s">
        <v>360</v>
      </c>
      <c r="N129" s="1"/>
      <c r="O129" s="1"/>
      <c r="P129" s="1"/>
    </row>
    <row r="130" spans="1:16" ht="12.75">
      <c r="A130" s="1"/>
      <c r="B130" s="1"/>
      <c r="F130" s="1" t="s">
        <v>154</v>
      </c>
      <c r="G130" t="s">
        <v>319</v>
      </c>
      <c r="J130" s="1" t="s">
        <v>155</v>
      </c>
      <c r="K130" s="1">
        <v>73</v>
      </c>
      <c r="L130" t="s">
        <v>370</v>
      </c>
      <c r="N130" s="1"/>
      <c r="O130" s="1"/>
      <c r="P130" s="1"/>
    </row>
    <row r="131" spans="1:16" ht="17.25">
      <c r="A131" s="1" t="s">
        <v>402</v>
      </c>
      <c r="B131">
        <f>B129</f>
        <v>1000</v>
      </c>
      <c r="E131" s="1"/>
      <c r="F131" s="1" t="s">
        <v>134</v>
      </c>
      <c r="G131" s="4" t="s">
        <v>408</v>
      </c>
      <c r="H131" s="1" t="s">
        <v>406</v>
      </c>
      <c r="J131" s="1"/>
      <c r="K131" s="1">
        <f>SUM(K128:K130)</f>
        <v>250</v>
      </c>
    </row>
    <row r="132" spans="1:16" ht="12.75">
      <c r="E132" s="1"/>
      <c r="F132" s="1" t="s">
        <v>160</v>
      </c>
      <c r="G132" s="1">
        <v>387</v>
      </c>
      <c r="H132" t="s">
        <v>319</v>
      </c>
      <c r="J132" s="1" t="s">
        <v>239</v>
      </c>
      <c r="K132" t="s">
        <v>391</v>
      </c>
      <c r="N132" s="1"/>
      <c r="O132" s="1"/>
      <c r="P132" s="1"/>
    </row>
    <row r="133" spans="1:16" ht="17.25">
      <c r="A133" s="1"/>
      <c r="F133" s="1" t="s">
        <v>165</v>
      </c>
      <c r="G133" s="1">
        <v>63</v>
      </c>
      <c r="H133" t="s">
        <v>352</v>
      </c>
      <c r="J133" s="1" t="s">
        <v>170</v>
      </c>
      <c r="K133" s="4" t="s">
        <v>408</v>
      </c>
      <c r="L133" s="1" t="s">
        <v>406</v>
      </c>
      <c r="N133" s="1"/>
      <c r="O133" s="1"/>
      <c r="P133" s="1"/>
    </row>
    <row r="134" spans="1:16" ht="17.25">
      <c r="A134" s="1"/>
      <c r="B134" s="4"/>
      <c r="C134" s="1"/>
      <c r="E134" s="1"/>
      <c r="F134" s="1"/>
      <c r="G134" s="1">
        <f>SUM(G132:G133)</f>
        <v>450</v>
      </c>
      <c r="J134" s="1" t="s">
        <v>241</v>
      </c>
      <c r="K134" s="1">
        <v>6</v>
      </c>
      <c r="L134" t="s">
        <v>291</v>
      </c>
    </row>
    <row r="135" spans="1:16" ht="12.75">
      <c r="A135" s="1"/>
      <c r="B135" s="1"/>
      <c r="E135" s="1"/>
      <c r="F135" s="1" t="s">
        <v>171</v>
      </c>
      <c r="G135" t="s">
        <v>335</v>
      </c>
      <c r="J135" s="1" t="s">
        <v>244</v>
      </c>
      <c r="K135" s="1">
        <v>61</v>
      </c>
      <c r="L135" t="s">
        <v>323</v>
      </c>
      <c r="N135" s="1"/>
      <c r="O135" s="1"/>
      <c r="P135" s="1"/>
    </row>
    <row r="136" spans="1:16" ht="17.25">
      <c r="A136" s="1"/>
      <c r="B136" s="1"/>
      <c r="F136" s="1" t="s">
        <v>170</v>
      </c>
      <c r="G136" s="4" t="s">
        <v>408</v>
      </c>
      <c r="H136" s="1" t="s">
        <v>406</v>
      </c>
      <c r="J136" s="1" t="s">
        <v>250</v>
      </c>
      <c r="K136" s="1">
        <v>61</v>
      </c>
      <c r="L136" t="s">
        <v>375</v>
      </c>
      <c r="N136" s="1"/>
      <c r="O136" s="1"/>
      <c r="P136" s="1"/>
    </row>
    <row r="137" spans="1:16" ht="12.75">
      <c r="A137" s="1"/>
      <c r="B137" s="1"/>
      <c r="E137" s="1"/>
      <c r="F137" s="1" t="s">
        <v>176</v>
      </c>
      <c r="G137" s="1">
        <v>30</v>
      </c>
      <c r="H137" t="s">
        <v>322</v>
      </c>
      <c r="J137" s="1" t="s">
        <v>254</v>
      </c>
      <c r="K137" s="1">
        <v>61</v>
      </c>
      <c r="L137" t="s">
        <v>391</v>
      </c>
    </row>
    <row r="138" spans="1:16" ht="12.75">
      <c r="B138" s="1"/>
      <c r="E138" s="1"/>
      <c r="F138" s="1" t="s">
        <v>183</v>
      </c>
      <c r="G138" s="1">
        <v>177</v>
      </c>
      <c r="H138" t="s">
        <v>335</v>
      </c>
      <c r="J138" s="1" t="s">
        <v>207</v>
      </c>
      <c r="K138" s="1">
        <v>61</v>
      </c>
      <c r="L138" t="s">
        <v>394</v>
      </c>
      <c r="N138" s="1"/>
      <c r="O138" s="1"/>
      <c r="P138" s="1"/>
    </row>
    <row r="139" spans="1:16" ht="12.75">
      <c r="F139" s="1" t="s">
        <v>192</v>
      </c>
      <c r="G139" s="1">
        <v>43</v>
      </c>
      <c r="H139" t="s">
        <v>396</v>
      </c>
      <c r="K139">
        <f>SUM(K134:K138)</f>
        <v>250</v>
      </c>
      <c r="N139" s="1"/>
      <c r="O139" s="1"/>
      <c r="P139" s="1"/>
    </row>
    <row r="140" spans="1:16" ht="12.75">
      <c r="E140" s="1"/>
      <c r="F140" s="1"/>
      <c r="G140" s="1">
        <f>SUM(G137:G139)</f>
        <v>250</v>
      </c>
      <c r="J140" s="1" t="s">
        <v>206</v>
      </c>
      <c r="K140" t="s">
        <v>394</v>
      </c>
      <c r="N140" s="1"/>
    </row>
    <row r="141" spans="1:16" ht="17.25">
      <c r="E141" s="1"/>
      <c r="F141" s="1" t="s">
        <v>191</v>
      </c>
      <c r="G141" t="s">
        <v>358</v>
      </c>
      <c r="J141" s="1" t="s">
        <v>141</v>
      </c>
      <c r="K141" s="4" t="s">
        <v>408</v>
      </c>
      <c r="L141" s="1" t="s">
        <v>406</v>
      </c>
      <c r="O141" s="1"/>
      <c r="P141" s="1"/>
    </row>
    <row r="142" spans="1:16" ht="17.25">
      <c r="F142" s="1" t="s">
        <v>170</v>
      </c>
      <c r="G142" s="4" t="s">
        <v>408</v>
      </c>
      <c r="H142" s="1" t="s">
        <v>406</v>
      </c>
      <c r="J142" s="1" t="s">
        <v>165</v>
      </c>
      <c r="K142" s="1">
        <v>124</v>
      </c>
      <c r="L142" t="s">
        <v>352</v>
      </c>
      <c r="N142" s="1"/>
      <c r="O142" s="1"/>
      <c r="P142" s="1"/>
    </row>
    <row r="143" spans="1:16" ht="12.75">
      <c r="E143" s="1"/>
      <c r="F143" s="1" t="s">
        <v>201</v>
      </c>
      <c r="G143" s="1">
        <v>250</v>
      </c>
      <c r="H143" t="s">
        <v>358</v>
      </c>
      <c r="J143" s="1" t="s">
        <v>207</v>
      </c>
      <c r="K143" s="1">
        <v>426</v>
      </c>
      <c r="L143" t="s">
        <v>394</v>
      </c>
      <c r="N143" s="1"/>
    </row>
    <row r="144" spans="1:16" ht="12.75">
      <c r="E144" s="1"/>
      <c r="G144">
        <f>G143</f>
        <v>250</v>
      </c>
      <c r="K144" s="1">
        <f>SUM(K142:K143)</f>
        <v>550</v>
      </c>
      <c r="O144" s="1"/>
      <c r="P144" s="1"/>
    </row>
    <row r="145" spans="5:16" ht="12.75">
      <c r="N145" s="1"/>
      <c r="O145" s="1"/>
      <c r="P145" s="1"/>
    </row>
    <row r="146" spans="5:16" ht="12.75">
      <c r="E146" s="1"/>
      <c r="F146" s="1" t="s">
        <v>402</v>
      </c>
      <c r="G146">
        <f>SUM(G129,G134,G140,G144,K131,K139,K144)</f>
        <v>2750</v>
      </c>
      <c r="N146" s="1"/>
    </row>
    <row r="147" spans="5:16" ht="12.75">
      <c r="E147" s="1"/>
      <c r="N147" s="1"/>
      <c r="O147" s="1"/>
      <c r="P147" s="1"/>
    </row>
    <row r="148" spans="5:16" ht="12.75">
      <c r="N148" s="1"/>
      <c r="O148" s="1"/>
      <c r="P148" s="1"/>
    </row>
    <row r="149" spans="5:16" ht="12.75">
      <c r="E149" s="1"/>
    </row>
    <row r="150" spans="5:16" ht="12.75">
      <c r="E150" s="1"/>
      <c r="J150" s="1"/>
      <c r="K150" s="1"/>
      <c r="N150" s="1"/>
      <c r="O150" s="1"/>
      <c r="P150" s="1"/>
    </row>
    <row r="151" spans="5:16" ht="12.75">
      <c r="J151" s="1"/>
      <c r="N151" s="1"/>
      <c r="O151" s="1"/>
      <c r="P151" s="1"/>
    </row>
    <row r="152" spans="5:16" ht="12.75">
      <c r="E152" s="1"/>
    </row>
    <row r="153" spans="5:16" ht="12.75">
      <c r="E153" s="1"/>
      <c r="J153" s="1"/>
      <c r="N153" s="1"/>
      <c r="O153" s="1"/>
      <c r="P153" s="1"/>
    </row>
    <row r="154" spans="5:16" ht="12.75">
      <c r="J154" s="1"/>
      <c r="N154" s="1"/>
      <c r="O154" s="1"/>
      <c r="P154" s="1"/>
    </row>
    <row r="155" spans="5:16" ht="12.75">
      <c r="E155" s="1"/>
      <c r="J155" s="1"/>
    </row>
    <row r="156" spans="5:16" ht="12.75">
      <c r="E156" s="1"/>
      <c r="J156" s="1"/>
      <c r="P156" s="1"/>
    </row>
    <row r="157" spans="5:16" ht="12.75">
      <c r="F157" s="1"/>
      <c r="G157" s="1"/>
      <c r="J157" s="1"/>
      <c r="P157" s="1"/>
    </row>
    <row r="158" spans="5:16" ht="12.75">
      <c r="E158" s="1"/>
      <c r="G158" s="1"/>
      <c r="I158" s="1"/>
      <c r="J158" s="1"/>
    </row>
    <row r="159" spans="5:16" ht="12.75">
      <c r="E159" s="1"/>
      <c r="G159" s="1"/>
      <c r="I159" s="1"/>
      <c r="J159" s="1"/>
    </row>
    <row r="160" spans="5:16" ht="12.75">
      <c r="G160" s="1"/>
      <c r="J160" s="1"/>
    </row>
    <row r="161" spans="7:14" ht="12.75">
      <c r="G161" s="1"/>
      <c r="J161" s="1"/>
    </row>
    <row r="162" spans="7:14" ht="12.75">
      <c r="G162" s="1"/>
      <c r="J162" s="1"/>
    </row>
    <row r="163" spans="7:14" ht="12.75">
      <c r="G163" s="1"/>
      <c r="J163" s="1"/>
    </row>
    <row r="164" spans="7:14" ht="12.75">
      <c r="G164" s="1"/>
      <c r="I164" s="1"/>
      <c r="J164" s="1"/>
    </row>
    <row r="165" spans="7:14" ht="12.75">
      <c r="G165" s="1"/>
      <c r="J165" s="1"/>
      <c r="N165" s="1"/>
    </row>
    <row r="166" spans="7:14" ht="12.75">
      <c r="G166" s="1"/>
      <c r="J166" s="1"/>
      <c r="N166" s="1"/>
    </row>
    <row r="167" spans="7:14" ht="12.75">
      <c r="G167" s="1"/>
      <c r="J167" s="1"/>
    </row>
    <row r="168" spans="7:14" ht="12.75">
      <c r="G168" s="1"/>
      <c r="J168" s="1"/>
      <c r="N168" s="1"/>
    </row>
    <row r="169" spans="7:14" ht="12.75">
      <c r="G169" s="1"/>
      <c r="I169" s="1"/>
      <c r="J169" s="1"/>
      <c r="N169" s="1"/>
    </row>
    <row r="170" spans="7:14" ht="12.75">
      <c r="G170" s="1"/>
      <c r="I170" s="1"/>
      <c r="J170" s="1"/>
    </row>
    <row r="171" spans="7:14" ht="12.75">
      <c r="G171" s="1"/>
      <c r="J171" s="1"/>
      <c r="N171" s="1"/>
    </row>
    <row r="172" spans="7:14" ht="12.75">
      <c r="G172" s="1"/>
      <c r="I172" s="1"/>
      <c r="J172" s="1"/>
      <c r="N172" s="1"/>
    </row>
    <row r="173" spans="7:14" ht="12.75">
      <c r="G173" s="1"/>
      <c r="I173" s="1"/>
      <c r="J173" s="1"/>
    </row>
    <row r="174" spans="7:14" ht="12.75">
      <c r="G174" s="1"/>
      <c r="I174" s="1"/>
      <c r="J174" s="1"/>
    </row>
    <row r="175" spans="7:14" ht="12.75">
      <c r="G175" s="1"/>
      <c r="J175" s="1"/>
    </row>
    <row r="176" spans="7:14" ht="12.75">
      <c r="G176" s="1"/>
      <c r="J176" s="1"/>
    </row>
    <row r="177" spans="3:10" ht="12.75">
      <c r="G177" s="1"/>
      <c r="J177" s="1"/>
    </row>
    <row r="178" spans="3:10" ht="12.75">
      <c r="G178" s="1"/>
      <c r="J178" s="1"/>
    </row>
    <row r="179" spans="3:10" ht="12.75">
      <c r="G179" s="1"/>
      <c r="J179" s="1"/>
    </row>
    <row r="180" spans="3:10" ht="12.75">
      <c r="C180" s="1"/>
      <c r="G180" s="1"/>
      <c r="J180" s="1"/>
    </row>
    <row r="181" spans="3:10" ht="12.75">
      <c r="C181" s="1"/>
      <c r="G181" s="1"/>
      <c r="J181" s="1"/>
    </row>
    <row r="182" spans="3:10" ht="12.75">
      <c r="C182" s="1"/>
      <c r="G182" s="1"/>
      <c r="I182" s="1"/>
      <c r="J182" s="1"/>
    </row>
    <row r="183" spans="3:10" ht="12.75">
      <c r="C183" s="1"/>
      <c r="G183" s="1"/>
      <c r="J183" s="1"/>
    </row>
    <row r="184" spans="3:10" ht="12.75">
      <c r="C184" s="1"/>
      <c r="G184" s="1"/>
      <c r="I184" s="1"/>
      <c r="J184" s="1"/>
    </row>
    <row r="185" spans="3:10" ht="12.75">
      <c r="C185" s="1"/>
      <c r="G185" s="1"/>
      <c r="J185" s="1"/>
    </row>
    <row r="186" spans="3:10" ht="12.75">
      <c r="C186" s="1"/>
      <c r="G186" s="1"/>
      <c r="J186" s="1"/>
    </row>
    <row r="187" spans="3:10" ht="12.75">
      <c r="C187" s="1"/>
    </row>
    <row r="188" spans="3:10" ht="12.75">
      <c r="C188" s="1"/>
      <c r="I188" s="1"/>
    </row>
    <row r="189" spans="3:10" ht="12.75">
      <c r="C189" s="1"/>
    </row>
    <row r="190" spans="3:10" ht="12.75">
      <c r="C190" s="1"/>
    </row>
    <row r="191" spans="3:10" ht="12.75">
      <c r="C191" s="1"/>
    </row>
    <row r="192" spans="3:10" ht="12.75">
      <c r="C192" s="1"/>
      <c r="I192" s="1"/>
    </row>
    <row r="193" spans="3:9" ht="12.75">
      <c r="C193" s="1"/>
      <c r="I193" s="1"/>
    </row>
    <row r="194" spans="3:9" ht="12.75">
      <c r="C194" s="1"/>
    </row>
    <row r="195" spans="3:9" ht="12.75">
      <c r="C195" s="1"/>
      <c r="I195" s="1"/>
    </row>
    <row r="196" spans="3:9" ht="12.75">
      <c r="C196" s="1"/>
    </row>
    <row r="197" spans="3:9" ht="12.75">
      <c r="C197" s="1"/>
    </row>
    <row r="198" spans="3:9" ht="12.75">
      <c r="C198" s="1"/>
    </row>
    <row r="199" spans="3:9" ht="12.75">
      <c r="C199" s="1"/>
    </row>
    <row r="200" spans="3:9" ht="12.75">
      <c r="C200" s="1"/>
    </row>
    <row r="201" spans="3:9" ht="12.75">
      <c r="C201" s="1"/>
      <c r="I201" s="1"/>
    </row>
    <row r="202" spans="3:9" ht="12.75">
      <c r="C202" s="1"/>
    </row>
    <row r="203" spans="3:9" ht="12.75">
      <c r="C203" s="1"/>
    </row>
    <row r="204" spans="3:9" ht="12.75">
      <c r="C204" s="1"/>
    </row>
    <row r="205" spans="3:9" ht="12.75">
      <c r="C205" s="1"/>
      <c r="I205" s="1"/>
    </row>
    <row r="206" spans="3:9" ht="12.75">
      <c r="C206" s="1"/>
    </row>
    <row r="207" spans="3:9" ht="12.75">
      <c r="C207" s="1"/>
      <c r="I207" s="1"/>
    </row>
    <row r="208" spans="3:9" ht="12.75">
      <c r="C208" s="1"/>
    </row>
    <row r="209" spans="3:9" ht="12.75">
      <c r="C209" s="1"/>
    </row>
    <row r="210" spans="3:9" ht="12.75">
      <c r="C210" s="1"/>
      <c r="I210" s="1"/>
    </row>
    <row r="211" spans="3:9" ht="12.75">
      <c r="C211" s="1"/>
      <c r="I211" s="1"/>
    </row>
    <row r="212" spans="3:9" ht="12.75">
      <c r="C212" s="1"/>
    </row>
    <row r="213" spans="3:9" ht="12.75">
      <c r="C213" s="1"/>
      <c r="I213" s="1"/>
    </row>
    <row r="214" spans="3:9" ht="12.75">
      <c r="C214" s="1"/>
    </row>
    <row r="215" spans="3:9" ht="12.75">
      <c r="C215" s="1"/>
      <c r="I215" s="1"/>
    </row>
    <row r="216" spans="3:9" ht="12.75">
      <c r="C216" s="1"/>
      <c r="I216" s="1"/>
    </row>
    <row r="217" spans="3:9" ht="12.75">
      <c r="C217" s="1"/>
    </row>
    <row r="218" spans="3:9" ht="12.75">
      <c r="C218" s="1"/>
    </row>
    <row r="219" spans="3:9" ht="12.75">
      <c r="C219" s="1"/>
      <c r="I219" s="1"/>
    </row>
    <row r="220" spans="3:9" ht="12.75">
      <c r="C220" s="1"/>
    </row>
    <row r="221" spans="3:9" ht="12.75">
      <c r="C221" s="1"/>
    </row>
    <row r="222" spans="3:9" ht="12.75">
      <c r="C222" s="1"/>
      <c r="I222" s="1"/>
    </row>
    <row r="223" spans="3:9" ht="12.75">
      <c r="C223" s="1"/>
    </row>
    <row r="224" spans="3:9" ht="12.75">
      <c r="C224" s="1"/>
    </row>
    <row r="225" spans="3:9" ht="12.75">
      <c r="C225" s="1"/>
    </row>
    <row r="226" spans="3:9" ht="12.75">
      <c r="C226" s="1"/>
      <c r="I226" s="1"/>
    </row>
    <row r="227" spans="3:9" ht="12.75">
      <c r="I227" s="1"/>
    </row>
    <row r="228" spans="3:9" ht="12.75">
      <c r="I228" s="1"/>
    </row>
    <row r="234" spans="3:9" ht="12.75">
      <c r="I234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34"/>
  <sheetViews>
    <sheetView workbookViewId="0"/>
  </sheetViews>
  <sheetFormatPr defaultColWidth="14.42578125" defaultRowHeight="15.75" customHeight="1"/>
  <sheetData>
    <row r="1" spans="1:10" ht="15.75" customHeight="1">
      <c r="A1" s="1" t="s">
        <v>2</v>
      </c>
      <c r="B1" s="1" t="s">
        <v>11</v>
      </c>
      <c r="C1" s="1" t="s">
        <v>502</v>
      </c>
      <c r="J1" s="1"/>
    </row>
    <row r="2" spans="1:10" ht="15.75" customHeight="1">
      <c r="A2" s="1" t="s">
        <v>60</v>
      </c>
    </row>
    <row r="3" spans="1:10" ht="15.75" customHeight="1">
      <c r="A3" s="1" t="s">
        <v>65</v>
      </c>
      <c r="J3" s="1"/>
    </row>
    <row r="4" spans="1:10" ht="15.75" customHeight="1">
      <c r="A4" s="1" t="s">
        <v>70</v>
      </c>
      <c r="J4" s="1"/>
    </row>
    <row r="5" spans="1:10" ht="15.75" customHeight="1">
      <c r="A5" s="1" t="s">
        <v>28</v>
      </c>
      <c r="B5" s="1" t="s">
        <v>30</v>
      </c>
      <c r="C5" s="1" t="s">
        <v>32</v>
      </c>
      <c r="G5" s="1" t="s">
        <v>35</v>
      </c>
      <c r="H5" s="1">
        <v>71.7</v>
      </c>
      <c r="I5" s="1" t="s">
        <v>39</v>
      </c>
    </row>
    <row r="6" spans="1:10" ht="15.75" customHeight="1">
      <c r="A6" s="1">
        <v>1</v>
      </c>
      <c r="B6" s="1"/>
      <c r="C6" s="1"/>
      <c r="D6" t="s">
        <v>45</v>
      </c>
      <c r="G6" s="1" t="s">
        <v>48</v>
      </c>
      <c r="H6" s="1">
        <v>228.1</v>
      </c>
      <c r="I6" s="1" t="s">
        <v>39</v>
      </c>
      <c r="J6" s="1"/>
    </row>
    <row r="7" spans="1:10" ht="15.75" customHeight="1">
      <c r="A7" s="1">
        <v>2</v>
      </c>
      <c r="B7" s="1"/>
      <c r="D7" t="s">
        <v>54</v>
      </c>
      <c r="H7" s="1"/>
    </row>
    <row r="8" spans="1:10" ht="15.75" customHeight="1">
      <c r="A8" s="1">
        <v>3</v>
      </c>
      <c r="B8" s="1"/>
      <c r="C8" s="1"/>
      <c r="D8" s="1" t="s">
        <v>59</v>
      </c>
      <c r="G8" s="1" t="s">
        <v>74</v>
      </c>
      <c r="H8" s="1">
        <v>1400</v>
      </c>
      <c r="I8" s="1" t="s">
        <v>76</v>
      </c>
      <c r="J8" s="1"/>
    </row>
    <row r="9" spans="1:10" ht="15.75" customHeight="1">
      <c r="A9" s="1">
        <v>4</v>
      </c>
      <c r="B9" s="1"/>
      <c r="D9" t="s">
        <v>78</v>
      </c>
      <c r="G9" s="1" t="s">
        <v>79</v>
      </c>
      <c r="H9" s="1">
        <v>5400</v>
      </c>
      <c r="I9" s="1" t="s">
        <v>76</v>
      </c>
    </row>
    <row r="10" spans="1:10" ht="15.75" customHeight="1">
      <c r="A10" s="1">
        <v>5</v>
      </c>
      <c r="B10" s="1"/>
      <c r="C10" s="1"/>
      <c r="D10" t="s">
        <v>81</v>
      </c>
      <c r="H10" s="1"/>
      <c r="J10" s="1"/>
    </row>
    <row r="11" spans="1:10" ht="15.75" customHeight="1">
      <c r="A11" s="1">
        <v>6</v>
      </c>
      <c r="B11" s="1"/>
      <c r="C11" s="1"/>
      <c r="D11" t="s">
        <v>82</v>
      </c>
      <c r="G11" s="1" t="s">
        <v>83</v>
      </c>
      <c r="H11" s="4">
        <f>0.457379*100</f>
        <v>45.737899999999996</v>
      </c>
      <c r="I11" s="1" t="s">
        <v>142</v>
      </c>
    </row>
    <row r="12" spans="1:10" ht="15.75" customHeight="1">
      <c r="A12" s="1">
        <v>7</v>
      </c>
      <c r="B12" s="1"/>
      <c r="D12" t="s">
        <v>148</v>
      </c>
      <c r="G12" s="1" t="s">
        <v>151</v>
      </c>
      <c r="H12" s="4">
        <f>0.410547*100</f>
        <v>41.054699999999997</v>
      </c>
      <c r="I12" s="1" t="s">
        <v>142</v>
      </c>
      <c r="J12" s="1"/>
    </row>
    <row r="13" spans="1:10" ht="15.75" customHeight="1">
      <c r="A13" s="1">
        <v>8</v>
      </c>
      <c r="B13" s="1"/>
      <c r="C13" s="1"/>
      <c r="D13" t="s">
        <v>205</v>
      </c>
      <c r="H13" s="1"/>
    </row>
    <row r="14" spans="1:10" ht="15.75" customHeight="1">
      <c r="A14" s="1">
        <v>9</v>
      </c>
      <c r="B14" s="1"/>
      <c r="C14" s="1"/>
      <c r="D14" t="s">
        <v>208</v>
      </c>
      <c r="H14" s="3"/>
      <c r="J14" s="1"/>
    </row>
    <row r="15" spans="1:10" ht="15.75" customHeight="1">
      <c r="A15" s="1">
        <v>10</v>
      </c>
      <c r="B15" s="1">
        <v>1</v>
      </c>
      <c r="C15" s="1">
        <v>100</v>
      </c>
      <c r="D15" t="s">
        <v>212</v>
      </c>
      <c r="H15" s="3"/>
    </row>
    <row r="16" spans="1:10" ht="15.75" customHeight="1">
      <c r="A16" s="1">
        <v>11</v>
      </c>
      <c r="B16" s="1">
        <v>3</v>
      </c>
      <c r="C16" s="1">
        <v>300</v>
      </c>
      <c r="D16" t="s">
        <v>216</v>
      </c>
      <c r="H16" s="1"/>
      <c r="J16" s="1"/>
    </row>
    <row r="17" spans="1:8" ht="15.75" customHeight="1">
      <c r="A17" s="1">
        <v>12</v>
      </c>
      <c r="B17" s="1"/>
      <c r="D17" t="s">
        <v>220</v>
      </c>
      <c r="H17" s="1"/>
    </row>
    <row r="18" spans="1:8" ht="15.75" customHeight="1">
      <c r="A18" s="1">
        <v>13</v>
      </c>
      <c r="B18" s="1"/>
      <c r="C18" s="1"/>
      <c r="D18" t="s">
        <v>222</v>
      </c>
      <c r="H18" s="1"/>
    </row>
    <row r="19" spans="1:8" ht="15.75" customHeight="1">
      <c r="A19" s="1">
        <v>14</v>
      </c>
      <c r="B19" s="1"/>
      <c r="D19" t="s">
        <v>225</v>
      </c>
      <c r="H19" s="1"/>
    </row>
    <row r="20" spans="1:8" ht="15.75" customHeight="1">
      <c r="A20" s="1">
        <v>15</v>
      </c>
      <c r="B20" s="1"/>
      <c r="D20" t="s">
        <v>228</v>
      </c>
      <c r="H20" s="1"/>
    </row>
    <row r="21" spans="1:8" ht="15.75" customHeight="1">
      <c r="A21" s="1">
        <v>16</v>
      </c>
      <c r="B21" s="1"/>
      <c r="C21" s="1"/>
      <c r="D21" t="s">
        <v>232</v>
      </c>
      <c r="H21" s="1"/>
    </row>
    <row r="22" spans="1:8" ht="15.75" customHeight="1">
      <c r="A22" s="1">
        <v>17</v>
      </c>
      <c r="B22" s="1"/>
      <c r="D22" t="s">
        <v>234</v>
      </c>
      <c r="H22" s="1"/>
    </row>
    <row r="23" spans="1:8" ht="15.75" customHeight="1">
      <c r="A23" s="1">
        <v>18</v>
      </c>
      <c r="B23" s="1"/>
      <c r="D23" t="s">
        <v>235</v>
      </c>
      <c r="H23" s="1"/>
    </row>
    <row r="24" spans="1:8" ht="15.75" customHeight="1">
      <c r="A24" s="1">
        <v>19</v>
      </c>
      <c r="B24" s="1"/>
      <c r="D24" t="s">
        <v>238</v>
      </c>
      <c r="H24" s="1"/>
    </row>
    <row r="25" spans="1:8" ht="15.75" customHeight="1">
      <c r="A25" s="1" t="s">
        <v>97</v>
      </c>
      <c r="C25">
        <f>SUM(C6:C24)</f>
        <v>400</v>
      </c>
      <c r="E25" s="1" t="s">
        <v>271</v>
      </c>
      <c r="F25">
        <f>C25*2.9/100</f>
        <v>11.6</v>
      </c>
    </row>
    <row r="26" spans="1:8" ht="15.75" customHeight="1">
      <c r="H26" s="1"/>
    </row>
    <row r="27" spans="1:8" ht="15.75" customHeight="1">
      <c r="A27" s="1" t="s">
        <v>286</v>
      </c>
      <c r="B27" s="1" t="s">
        <v>98</v>
      </c>
      <c r="C27" s="1" t="s">
        <v>287</v>
      </c>
      <c r="H27" s="1"/>
    </row>
    <row r="28" spans="1:8" ht="15.75" customHeight="1">
      <c r="A28" s="1">
        <v>1</v>
      </c>
      <c r="B28" s="1"/>
      <c r="C28" s="1"/>
      <c r="D28" t="s">
        <v>288</v>
      </c>
      <c r="G28" s="1"/>
      <c r="H28" s="1"/>
    </row>
    <row r="29" spans="1:8" ht="15.75" customHeight="1">
      <c r="A29" s="1">
        <v>2</v>
      </c>
      <c r="B29" s="1"/>
      <c r="C29" s="1"/>
      <c r="D29" t="s">
        <v>291</v>
      </c>
      <c r="G29" s="1"/>
      <c r="H29" s="1"/>
    </row>
    <row r="30" spans="1:8" ht="15.75" customHeight="1">
      <c r="A30" s="1">
        <v>3</v>
      </c>
      <c r="B30" s="1"/>
      <c r="C30" s="1"/>
      <c r="D30" t="s">
        <v>294</v>
      </c>
      <c r="G30" s="1"/>
      <c r="H30" s="1"/>
    </row>
    <row r="31" spans="1:8" ht="15.75" customHeight="1">
      <c r="A31" s="1">
        <v>4</v>
      </c>
      <c r="B31" s="1"/>
      <c r="C31" s="1"/>
      <c r="D31" t="s">
        <v>296</v>
      </c>
      <c r="G31" s="1"/>
      <c r="H31" s="1"/>
    </row>
    <row r="32" spans="1:8" ht="15.75" customHeight="1">
      <c r="A32" s="1">
        <v>5</v>
      </c>
      <c r="B32" s="1"/>
      <c r="C32" s="1"/>
      <c r="D32" t="s">
        <v>297</v>
      </c>
      <c r="G32" s="1"/>
      <c r="H32" s="1"/>
    </row>
    <row r="33" spans="1:8" ht="15.75" customHeight="1">
      <c r="A33" s="1">
        <v>6</v>
      </c>
      <c r="B33" s="1"/>
      <c r="C33" s="1"/>
      <c r="D33" t="s">
        <v>298</v>
      </c>
      <c r="G33" s="1"/>
      <c r="H33" s="1"/>
    </row>
    <row r="34" spans="1:8" ht="15.75" customHeight="1">
      <c r="A34" s="1">
        <v>7</v>
      </c>
      <c r="B34" s="1"/>
      <c r="C34" s="1"/>
      <c r="D34" t="s">
        <v>301</v>
      </c>
      <c r="G34" s="1"/>
      <c r="H34" s="1"/>
    </row>
    <row r="35" spans="1:8" ht="15.75" customHeight="1">
      <c r="A35" s="1">
        <v>8</v>
      </c>
      <c r="B35" s="1"/>
      <c r="C35" s="1"/>
      <c r="D35" t="s">
        <v>303</v>
      </c>
    </row>
    <row r="36" spans="1:8" ht="12.75">
      <c r="A36" s="1">
        <v>9</v>
      </c>
      <c r="B36" s="1"/>
      <c r="C36" s="1"/>
      <c r="D36" t="s">
        <v>304</v>
      </c>
    </row>
    <row r="37" spans="1:8" ht="12.75">
      <c r="A37" s="1">
        <v>10</v>
      </c>
      <c r="B37" s="1"/>
      <c r="C37" s="1"/>
      <c r="D37" t="s">
        <v>311</v>
      </c>
      <c r="G37" s="1"/>
    </row>
    <row r="38" spans="1:8" ht="12.75">
      <c r="A38" s="1">
        <v>11</v>
      </c>
      <c r="B38" s="1"/>
      <c r="C38" s="1"/>
      <c r="D38" t="s">
        <v>313</v>
      </c>
      <c r="G38" s="1"/>
    </row>
    <row r="39" spans="1:8" ht="12.75">
      <c r="A39" s="1">
        <v>12</v>
      </c>
      <c r="B39" s="1"/>
      <c r="C39" s="1"/>
      <c r="D39" t="s">
        <v>314</v>
      </c>
      <c r="G39" s="1"/>
    </row>
    <row r="40" spans="1:8" ht="12.75">
      <c r="A40" s="1">
        <v>13</v>
      </c>
      <c r="B40" s="1"/>
      <c r="C40" s="1"/>
      <c r="D40" t="s">
        <v>315</v>
      </c>
      <c r="G40" s="1"/>
    </row>
    <row r="41" spans="1:8" ht="12.75">
      <c r="A41" s="1">
        <v>14</v>
      </c>
      <c r="B41" s="1"/>
      <c r="C41" s="1"/>
      <c r="D41" t="s">
        <v>316</v>
      </c>
      <c r="G41" s="1"/>
    </row>
    <row r="42" spans="1:8" ht="12.75">
      <c r="A42" s="1">
        <v>15</v>
      </c>
      <c r="B42" s="1"/>
      <c r="C42" s="1"/>
      <c r="D42" t="s">
        <v>317</v>
      </c>
      <c r="G42" s="1"/>
    </row>
    <row r="43" spans="1:8" ht="12.75">
      <c r="A43" s="1">
        <v>16</v>
      </c>
      <c r="B43" s="1"/>
      <c r="C43" s="1"/>
      <c r="D43" t="s">
        <v>318</v>
      </c>
      <c r="G43" s="1"/>
    </row>
    <row r="44" spans="1:8" ht="12.75">
      <c r="A44" s="1">
        <v>17</v>
      </c>
      <c r="B44" s="1"/>
      <c r="C44" s="1"/>
      <c r="D44" t="s">
        <v>319</v>
      </c>
    </row>
    <row r="45" spans="1:8" ht="12.75">
      <c r="A45" s="1">
        <v>18</v>
      </c>
      <c r="B45" s="1"/>
      <c r="C45" s="1"/>
      <c r="D45" t="s">
        <v>320</v>
      </c>
    </row>
    <row r="46" spans="1:8" ht="12.75">
      <c r="A46" s="1">
        <v>19</v>
      </c>
      <c r="B46" s="1"/>
      <c r="C46" s="1"/>
      <c r="D46" t="s">
        <v>321</v>
      </c>
    </row>
    <row r="47" spans="1:8" ht="12.75">
      <c r="A47" s="1">
        <v>20</v>
      </c>
      <c r="B47" s="1">
        <v>2</v>
      </c>
      <c r="C47" s="1">
        <f t="shared" ref="C47:C48" si="0">B47*100</f>
        <v>200</v>
      </c>
      <c r="D47" t="s">
        <v>322</v>
      </c>
      <c r="G47" s="1"/>
    </row>
    <row r="48" spans="1:8" ht="12.75">
      <c r="A48" s="1">
        <v>21</v>
      </c>
      <c r="B48" s="1">
        <v>2</v>
      </c>
      <c r="C48" s="1">
        <f t="shared" si="0"/>
        <v>200</v>
      </c>
      <c r="D48" t="s">
        <v>323</v>
      </c>
      <c r="G48" s="1"/>
    </row>
    <row r="49" spans="1:9" ht="12.75">
      <c r="A49" s="1">
        <v>22</v>
      </c>
      <c r="B49" s="1"/>
      <c r="C49" s="1"/>
      <c r="D49" t="s">
        <v>324</v>
      </c>
      <c r="G49" s="1"/>
      <c r="H49" s="1"/>
    </row>
    <row r="50" spans="1:9" ht="12.75">
      <c r="A50" s="1">
        <v>23</v>
      </c>
      <c r="B50" s="1"/>
      <c r="C50" s="1"/>
      <c r="D50" t="s">
        <v>325</v>
      </c>
      <c r="G50" s="1"/>
      <c r="H50" s="1"/>
    </row>
    <row r="51" spans="1:9" ht="12.75">
      <c r="A51" s="1">
        <v>24</v>
      </c>
      <c r="B51" s="1"/>
      <c r="C51" s="1"/>
      <c r="D51" t="s">
        <v>326</v>
      </c>
      <c r="G51" s="1"/>
      <c r="H51" s="1"/>
      <c r="I51" s="1"/>
    </row>
    <row r="52" spans="1:9" ht="12.75">
      <c r="A52" s="1">
        <v>25</v>
      </c>
      <c r="B52" s="1"/>
      <c r="C52" s="1"/>
      <c r="D52" t="s">
        <v>327</v>
      </c>
      <c r="G52" s="1"/>
      <c r="H52" s="1"/>
      <c r="I52" s="1"/>
    </row>
    <row r="53" spans="1:9" ht="12.75">
      <c r="A53" s="1">
        <v>26</v>
      </c>
      <c r="B53" s="1"/>
      <c r="C53" s="1"/>
      <c r="D53" t="s">
        <v>328</v>
      </c>
      <c r="G53" s="1"/>
      <c r="H53" s="1"/>
      <c r="I53" s="1"/>
    </row>
    <row r="54" spans="1:9" ht="12.75">
      <c r="A54" s="1">
        <v>27</v>
      </c>
      <c r="B54" s="1"/>
      <c r="C54" s="1"/>
      <c r="D54" t="s">
        <v>329</v>
      </c>
    </row>
    <row r="55" spans="1:9" ht="12.75">
      <c r="A55" s="1">
        <v>28</v>
      </c>
      <c r="B55" s="1"/>
      <c r="C55" s="1"/>
      <c r="D55" t="s">
        <v>330</v>
      </c>
      <c r="H55" s="1"/>
    </row>
    <row r="56" spans="1:9" ht="12.75">
      <c r="A56" s="1">
        <v>29</v>
      </c>
      <c r="B56" s="1"/>
      <c r="C56" s="1"/>
      <c r="D56" t="s">
        <v>331</v>
      </c>
      <c r="H56" s="1"/>
    </row>
    <row r="57" spans="1:9" ht="12.75">
      <c r="A57" s="1">
        <v>30</v>
      </c>
      <c r="B57" s="1"/>
      <c r="C57" s="1"/>
      <c r="D57" t="s">
        <v>332</v>
      </c>
      <c r="H57" s="1"/>
      <c r="I57" s="1"/>
    </row>
    <row r="58" spans="1:9" ht="12.75">
      <c r="A58" s="1">
        <v>31</v>
      </c>
      <c r="B58" s="1"/>
      <c r="C58" s="1"/>
      <c r="D58" t="s">
        <v>333</v>
      </c>
      <c r="H58" s="1"/>
      <c r="I58" s="1"/>
    </row>
    <row r="59" spans="1:9" ht="12.75">
      <c r="A59" s="1">
        <v>32</v>
      </c>
      <c r="B59" s="1"/>
      <c r="C59" s="1"/>
      <c r="D59" t="s">
        <v>334</v>
      </c>
      <c r="H59" s="1"/>
      <c r="I59" s="1"/>
    </row>
    <row r="60" spans="1:9" ht="12.75">
      <c r="A60" s="1">
        <v>33</v>
      </c>
      <c r="B60" s="1"/>
      <c r="C60" s="1"/>
      <c r="D60" t="s">
        <v>335</v>
      </c>
    </row>
    <row r="61" spans="1:9" ht="12.75">
      <c r="A61" s="1">
        <v>34</v>
      </c>
      <c r="B61" s="1"/>
      <c r="C61" s="1"/>
      <c r="D61" t="s">
        <v>336</v>
      </c>
      <c r="H61" s="1"/>
    </row>
    <row r="62" spans="1:9" ht="12.75">
      <c r="A62" s="1">
        <v>35</v>
      </c>
      <c r="B62" s="1"/>
      <c r="C62" s="1"/>
      <c r="D62" t="s">
        <v>337</v>
      </c>
      <c r="H62" s="1"/>
    </row>
    <row r="63" spans="1:9" ht="12.75">
      <c r="A63" s="1">
        <v>36</v>
      </c>
      <c r="B63" s="1">
        <v>1</v>
      </c>
      <c r="C63" s="1">
        <v>100</v>
      </c>
      <c r="D63" t="s">
        <v>338</v>
      </c>
      <c r="H63" s="1"/>
      <c r="I63" s="1"/>
    </row>
    <row r="64" spans="1:9" ht="12.75">
      <c r="A64" s="1">
        <v>37</v>
      </c>
      <c r="B64" s="1"/>
      <c r="C64" s="1"/>
      <c r="D64" t="s">
        <v>339</v>
      </c>
      <c r="H64" s="1"/>
      <c r="I64" s="1"/>
    </row>
    <row r="65" spans="1:9" ht="12.75">
      <c r="A65" s="1">
        <v>38</v>
      </c>
      <c r="B65" s="1"/>
      <c r="C65" s="1"/>
      <c r="D65" t="s">
        <v>340</v>
      </c>
      <c r="H65" s="1"/>
      <c r="I65" s="1"/>
    </row>
    <row r="66" spans="1:9" ht="12.75">
      <c r="A66" s="1">
        <v>39</v>
      </c>
      <c r="B66" s="1"/>
      <c r="C66" s="1"/>
      <c r="D66" t="s">
        <v>341</v>
      </c>
      <c r="H66" s="1"/>
      <c r="I66" s="1"/>
    </row>
    <row r="67" spans="1:9" ht="12.75">
      <c r="A67" s="1">
        <v>40</v>
      </c>
      <c r="B67" s="1"/>
      <c r="C67" s="1"/>
      <c r="D67" t="s">
        <v>342</v>
      </c>
    </row>
    <row r="68" spans="1:9" ht="12.75">
      <c r="A68" s="1">
        <v>41</v>
      </c>
      <c r="B68" s="1"/>
      <c r="C68" s="1"/>
      <c r="D68" t="s">
        <v>343</v>
      </c>
      <c r="H68" s="1"/>
    </row>
    <row r="69" spans="1:9" ht="12.75">
      <c r="A69" s="1">
        <v>42</v>
      </c>
      <c r="B69" s="1"/>
      <c r="C69" s="1"/>
      <c r="D69" t="s">
        <v>344</v>
      </c>
      <c r="H69" s="1"/>
    </row>
    <row r="70" spans="1:9" ht="12.75">
      <c r="A70" s="1">
        <v>43</v>
      </c>
      <c r="B70" s="1"/>
      <c r="C70" s="1"/>
      <c r="D70" t="s">
        <v>345</v>
      </c>
      <c r="H70" s="1"/>
      <c r="I70" s="1"/>
    </row>
    <row r="71" spans="1:9" ht="12.75">
      <c r="A71" s="1">
        <v>44</v>
      </c>
      <c r="B71" s="1">
        <v>1</v>
      </c>
      <c r="C71" s="1">
        <f>B71*100</f>
        <v>100</v>
      </c>
      <c r="D71" t="s">
        <v>349</v>
      </c>
      <c r="H71" s="1"/>
      <c r="I71" s="1"/>
    </row>
    <row r="72" spans="1:9" ht="12.75">
      <c r="A72" s="1">
        <v>45</v>
      </c>
      <c r="B72" s="1"/>
      <c r="C72" s="1"/>
      <c r="D72" t="s">
        <v>350</v>
      </c>
      <c r="H72" s="1"/>
      <c r="I72" s="1"/>
    </row>
    <row r="73" spans="1:9" ht="12.75">
      <c r="A73" s="1">
        <v>46</v>
      </c>
      <c r="B73" s="1">
        <v>1</v>
      </c>
      <c r="C73" s="1">
        <v>100</v>
      </c>
      <c r="D73" t="s">
        <v>351</v>
      </c>
    </row>
    <row r="74" spans="1:9" ht="12.75">
      <c r="A74" s="1">
        <v>47</v>
      </c>
      <c r="B74" s="1"/>
      <c r="C74" s="1"/>
      <c r="D74" t="s">
        <v>352</v>
      </c>
      <c r="H74" s="1"/>
    </row>
    <row r="75" spans="1:9" ht="12.75">
      <c r="A75" s="1">
        <v>48</v>
      </c>
      <c r="B75" s="1"/>
      <c r="C75" s="1"/>
      <c r="D75" t="s">
        <v>353</v>
      </c>
      <c r="H75" s="1"/>
    </row>
    <row r="76" spans="1:9" ht="12.75">
      <c r="A76" s="1">
        <v>49</v>
      </c>
      <c r="B76" s="1"/>
      <c r="C76" s="1"/>
      <c r="D76" t="s">
        <v>354</v>
      </c>
      <c r="H76" s="1"/>
      <c r="I76" s="1"/>
    </row>
    <row r="77" spans="1:9" ht="12.75">
      <c r="A77" s="1">
        <v>50</v>
      </c>
      <c r="B77" s="1">
        <v>1</v>
      </c>
      <c r="C77" s="1">
        <f>B77*100</f>
        <v>100</v>
      </c>
      <c r="D77" t="s">
        <v>355</v>
      </c>
      <c r="H77" s="1"/>
      <c r="I77" s="1"/>
    </row>
    <row r="78" spans="1:9" ht="12.75">
      <c r="A78" s="1">
        <v>51</v>
      </c>
      <c r="B78" s="1"/>
      <c r="C78" s="1"/>
      <c r="D78" t="s">
        <v>356</v>
      </c>
      <c r="H78" s="1"/>
      <c r="I78" s="1"/>
    </row>
    <row r="79" spans="1:9" ht="12.75">
      <c r="A79" s="1">
        <v>52</v>
      </c>
      <c r="B79" s="1"/>
      <c r="C79" s="1"/>
      <c r="D79" t="s">
        <v>357</v>
      </c>
    </row>
    <row r="80" spans="1:9" ht="12.75">
      <c r="A80" s="1">
        <v>53</v>
      </c>
      <c r="B80" s="1"/>
      <c r="C80" s="1"/>
      <c r="D80" t="s">
        <v>358</v>
      </c>
      <c r="H80" s="1"/>
    </row>
    <row r="81" spans="1:9" ht="12.75">
      <c r="A81" s="1">
        <v>54</v>
      </c>
      <c r="B81" s="1">
        <v>1</v>
      </c>
      <c r="C81" s="1">
        <v>100</v>
      </c>
      <c r="D81" t="s">
        <v>359</v>
      </c>
      <c r="H81" s="1"/>
    </row>
    <row r="82" spans="1:9" ht="12.75">
      <c r="A82" s="1">
        <v>55</v>
      </c>
      <c r="B82" s="1"/>
      <c r="C82" s="1"/>
      <c r="D82" t="s">
        <v>360</v>
      </c>
      <c r="H82" s="1"/>
      <c r="I82" s="1"/>
    </row>
    <row r="83" spans="1:9" ht="12.75">
      <c r="A83" s="1">
        <v>56</v>
      </c>
      <c r="B83" s="1"/>
      <c r="C83" s="1"/>
      <c r="D83" t="s">
        <v>361</v>
      </c>
      <c r="H83" s="1"/>
      <c r="I83" s="1"/>
    </row>
    <row r="84" spans="1:9" ht="12.75">
      <c r="A84" s="1">
        <v>57</v>
      </c>
      <c r="B84" s="1">
        <v>1</v>
      </c>
      <c r="C84" s="1">
        <f>B84*100</f>
        <v>100</v>
      </c>
      <c r="D84" t="s">
        <v>362</v>
      </c>
      <c r="H84" s="1"/>
      <c r="I84" s="1"/>
    </row>
    <row r="85" spans="1:9" ht="12.75">
      <c r="A85" s="1">
        <v>58</v>
      </c>
      <c r="B85" s="1"/>
      <c r="C85" s="1"/>
      <c r="D85" t="s">
        <v>363</v>
      </c>
    </row>
    <row r="86" spans="1:9" ht="12.75">
      <c r="A86" s="1">
        <v>59</v>
      </c>
      <c r="B86" s="1"/>
      <c r="C86" s="1"/>
      <c r="D86" t="s">
        <v>364</v>
      </c>
      <c r="H86" s="1"/>
    </row>
    <row r="87" spans="1:9" ht="12.75">
      <c r="A87" s="1">
        <v>60</v>
      </c>
      <c r="B87" s="1"/>
      <c r="C87" s="1"/>
      <c r="D87" t="s">
        <v>365</v>
      </c>
      <c r="H87" s="1"/>
    </row>
    <row r="88" spans="1:9" ht="12.75">
      <c r="A88" s="1">
        <v>61</v>
      </c>
      <c r="B88" s="1"/>
      <c r="C88" s="1"/>
      <c r="D88" t="s">
        <v>366</v>
      </c>
      <c r="H88" s="1"/>
      <c r="I88" s="1"/>
    </row>
    <row r="89" spans="1:9" ht="12.75">
      <c r="A89" s="1">
        <v>62</v>
      </c>
      <c r="B89" s="1"/>
      <c r="C89" s="1"/>
      <c r="D89" t="s">
        <v>367</v>
      </c>
      <c r="H89" s="1"/>
      <c r="I89" s="1"/>
    </row>
    <row r="90" spans="1:9" ht="12.75">
      <c r="A90" s="1">
        <v>63</v>
      </c>
      <c r="B90" s="1"/>
      <c r="C90" s="1"/>
      <c r="D90" t="s">
        <v>368</v>
      </c>
      <c r="H90" s="1"/>
      <c r="I90" s="1"/>
    </row>
    <row r="91" spans="1:9" ht="12.75">
      <c r="A91" s="1">
        <v>64</v>
      </c>
      <c r="B91" s="1"/>
      <c r="C91" s="1"/>
      <c r="D91" t="s">
        <v>369</v>
      </c>
    </row>
    <row r="92" spans="1:9" ht="12.75">
      <c r="A92" s="1">
        <v>65</v>
      </c>
      <c r="B92" s="1"/>
      <c r="C92" s="1"/>
      <c r="D92" t="s">
        <v>370</v>
      </c>
    </row>
    <row r="93" spans="1:9" ht="12.75">
      <c r="A93" s="1">
        <v>66</v>
      </c>
      <c r="B93" s="1"/>
      <c r="C93" s="1"/>
      <c r="D93" t="s">
        <v>371</v>
      </c>
    </row>
    <row r="94" spans="1:9" ht="12.75">
      <c r="A94" s="1">
        <v>67</v>
      </c>
      <c r="B94" s="1"/>
      <c r="C94" s="1"/>
      <c r="D94" t="s">
        <v>372</v>
      </c>
    </row>
    <row r="95" spans="1:9" ht="12.75">
      <c r="A95" s="1">
        <v>68</v>
      </c>
      <c r="B95" s="1"/>
      <c r="C95" s="1"/>
      <c r="D95" t="s">
        <v>373</v>
      </c>
    </row>
    <row r="96" spans="1:9" ht="12.75">
      <c r="A96" s="1">
        <v>69</v>
      </c>
      <c r="B96" s="1"/>
      <c r="C96" s="1"/>
      <c r="D96" t="s">
        <v>374</v>
      </c>
    </row>
    <row r="97" spans="1:10" ht="12.75">
      <c r="A97" s="1">
        <v>70</v>
      </c>
      <c r="B97" s="1"/>
      <c r="C97" s="1"/>
      <c r="D97" t="s">
        <v>375</v>
      </c>
    </row>
    <row r="98" spans="1:10" ht="12.75">
      <c r="A98" s="1">
        <v>71</v>
      </c>
      <c r="B98" s="1"/>
      <c r="C98" s="1"/>
      <c r="D98" t="s">
        <v>376</v>
      </c>
    </row>
    <row r="99" spans="1:10" ht="12.75">
      <c r="A99" s="1">
        <v>72</v>
      </c>
      <c r="B99" s="1">
        <v>1</v>
      </c>
      <c r="C99" s="1">
        <f>B99*100</f>
        <v>100</v>
      </c>
      <c r="D99" t="s">
        <v>377</v>
      </c>
    </row>
    <row r="100" spans="1:10" ht="12.75">
      <c r="A100" s="1">
        <v>73</v>
      </c>
      <c r="B100" s="1"/>
      <c r="C100" s="1"/>
      <c r="D100" t="s">
        <v>378</v>
      </c>
      <c r="G100" s="1"/>
      <c r="J100" s="1"/>
    </row>
    <row r="101" spans="1:10" ht="12.75">
      <c r="A101" s="1">
        <v>74</v>
      </c>
      <c r="B101" s="1"/>
      <c r="C101" s="1"/>
      <c r="D101" t="s">
        <v>379</v>
      </c>
      <c r="G101" s="1"/>
      <c r="J101" s="1"/>
    </row>
    <row r="102" spans="1:10" ht="12.75">
      <c r="A102" s="1">
        <v>75</v>
      </c>
      <c r="B102" s="1"/>
      <c r="C102" s="1"/>
      <c r="D102" t="s">
        <v>380</v>
      </c>
      <c r="G102" s="1"/>
      <c r="J102" s="1"/>
    </row>
    <row r="103" spans="1:10" ht="12.75">
      <c r="A103" s="1">
        <v>76</v>
      </c>
      <c r="B103" s="1"/>
      <c r="C103" s="1"/>
      <c r="D103" t="s">
        <v>381</v>
      </c>
      <c r="G103" s="1"/>
      <c r="J103" s="1"/>
    </row>
    <row r="104" spans="1:10" ht="12.75">
      <c r="A104" s="1">
        <v>77</v>
      </c>
      <c r="B104" s="1">
        <v>1</v>
      </c>
      <c r="C104" s="1">
        <f>B104*100</f>
        <v>100</v>
      </c>
      <c r="D104" t="s">
        <v>382</v>
      </c>
      <c r="G104" s="1"/>
      <c r="J104" s="1"/>
    </row>
    <row r="105" spans="1:10" ht="12.75">
      <c r="A105" s="1">
        <v>78</v>
      </c>
      <c r="B105" s="1">
        <v>2</v>
      </c>
      <c r="C105" s="1">
        <v>200</v>
      </c>
      <c r="D105" t="s">
        <v>383</v>
      </c>
      <c r="G105" s="1"/>
      <c r="J105" s="1"/>
    </row>
    <row r="106" spans="1:10" ht="12.75">
      <c r="A106" s="1">
        <v>79</v>
      </c>
      <c r="B106" s="1"/>
      <c r="C106" s="1"/>
      <c r="D106" t="s">
        <v>384</v>
      </c>
      <c r="G106" s="1"/>
      <c r="J106" s="1"/>
    </row>
    <row r="107" spans="1:10" ht="12.75">
      <c r="A107" s="1">
        <v>80</v>
      </c>
      <c r="B107" s="1"/>
      <c r="C107" s="1"/>
      <c r="D107" t="s">
        <v>385</v>
      </c>
      <c r="G107" s="1"/>
      <c r="J107" s="1"/>
    </row>
    <row r="108" spans="1:10" ht="12.75">
      <c r="A108" s="1">
        <v>81</v>
      </c>
      <c r="B108" s="1">
        <v>1</v>
      </c>
      <c r="C108" s="1">
        <f>B108*100</f>
        <v>100</v>
      </c>
      <c r="D108" t="s">
        <v>386</v>
      </c>
      <c r="F108" s="1"/>
      <c r="G108" s="1"/>
      <c r="J108" s="1"/>
    </row>
    <row r="109" spans="1:10" ht="12.75">
      <c r="A109" s="1">
        <v>82</v>
      </c>
      <c r="B109" s="1"/>
      <c r="C109" s="1"/>
      <c r="D109" t="s">
        <v>387</v>
      </c>
      <c r="F109" s="1"/>
      <c r="G109" s="1"/>
      <c r="J109" s="1"/>
    </row>
    <row r="110" spans="1:10" ht="12.75">
      <c r="A110" s="1">
        <v>83</v>
      </c>
      <c r="B110" s="1"/>
      <c r="C110" s="1"/>
      <c r="D110" t="s">
        <v>388</v>
      </c>
      <c r="F110" s="1"/>
      <c r="G110" s="1"/>
      <c r="J110" s="1"/>
    </row>
    <row r="111" spans="1:10" ht="12.75">
      <c r="A111" s="1">
        <v>84</v>
      </c>
      <c r="B111" s="1">
        <v>2</v>
      </c>
      <c r="C111" s="1">
        <f>B111*100</f>
        <v>200</v>
      </c>
      <c r="D111" t="s">
        <v>389</v>
      </c>
      <c r="F111" s="1"/>
      <c r="G111" s="1"/>
      <c r="J111" s="1"/>
    </row>
    <row r="112" spans="1:10" ht="12.75">
      <c r="A112" s="1">
        <v>85</v>
      </c>
      <c r="B112" s="1"/>
      <c r="C112" s="1"/>
      <c r="D112" t="s">
        <v>390</v>
      </c>
      <c r="F112" s="1"/>
      <c r="G112" s="1"/>
      <c r="J112" s="1"/>
    </row>
    <row r="113" spans="1:16" ht="12.75">
      <c r="A113" s="1">
        <v>86</v>
      </c>
      <c r="B113" s="1"/>
      <c r="C113" s="1"/>
      <c r="D113" t="s">
        <v>391</v>
      </c>
      <c r="F113" s="1"/>
      <c r="G113" s="1"/>
      <c r="J113" s="1"/>
    </row>
    <row r="114" spans="1:16" ht="12.75">
      <c r="A114" s="1">
        <v>87</v>
      </c>
      <c r="B114" s="1"/>
      <c r="C114" s="1"/>
      <c r="D114" t="s">
        <v>392</v>
      </c>
      <c r="F114" s="1"/>
      <c r="G114" s="1"/>
      <c r="J114" s="1"/>
    </row>
    <row r="115" spans="1:16" ht="12.75">
      <c r="A115" s="1">
        <v>88</v>
      </c>
      <c r="B115" s="1">
        <v>1</v>
      </c>
      <c r="C115" s="1">
        <f t="shared" ref="C115:C116" si="1">B115*100</f>
        <v>100</v>
      </c>
      <c r="D115" t="s">
        <v>393</v>
      </c>
      <c r="G115" s="1"/>
      <c r="J115" s="1"/>
    </row>
    <row r="116" spans="1:16" ht="12.75">
      <c r="A116" s="1">
        <v>89</v>
      </c>
      <c r="B116" s="1">
        <v>1</v>
      </c>
      <c r="C116" s="1">
        <f t="shared" si="1"/>
        <v>100</v>
      </c>
      <c r="D116" t="s">
        <v>394</v>
      </c>
      <c r="G116" s="1"/>
      <c r="J116" s="1"/>
    </row>
    <row r="117" spans="1:16" ht="12.75">
      <c r="A117" s="1">
        <v>90</v>
      </c>
      <c r="B117" s="1"/>
      <c r="C117" s="1"/>
      <c r="D117" t="s">
        <v>395</v>
      </c>
      <c r="G117" s="1"/>
      <c r="J117" s="1"/>
    </row>
    <row r="118" spans="1:16" ht="12.75">
      <c r="A118" s="1">
        <v>91</v>
      </c>
      <c r="B118" s="1"/>
      <c r="C118" s="1"/>
      <c r="D118" t="s">
        <v>396</v>
      </c>
      <c r="G118" s="1"/>
      <c r="J118" s="1"/>
    </row>
    <row r="119" spans="1:16" ht="12.75">
      <c r="A119" s="1">
        <v>92</v>
      </c>
      <c r="B119" s="1"/>
      <c r="C119" s="1"/>
      <c r="D119" t="s">
        <v>397</v>
      </c>
      <c r="G119" s="1"/>
      <c r="J119" s="1"/>
    </row>
    <row r="120" spans="1:16" ht="12.75">
      <c r="A120" s="1">
        <v>93</v>
      </c>
      <c r="B120" s="1"/>
      <c r="C120" s="1"/>
      <c r="D120" t="s">
        <v>398</v>
      </c>
      <c r="G120" s="1"/>
      <c r="J120" s="1"/>
    </row>
    <row r="121" spans="1:16" ht="12.75">
      <c r="A121" s="1">
        <v>94</v>
      </c>
      <c r="B121" s="1"/>
      <c r="C121" s="1"/>
      <c r="D121" t="s">
        <v>399</v>
      </c>
      <c r="G121" s="1"/>
      <c r="J121" s="1"/>
    </row>
    <row r="122" spans="1:16" ht="12.75">
      <c r="A122" s="1">
        <v>95</v>
      </c>
      <c r="B122" s="1"/>
      <c r="C122" s="1"/>
      <c r="D122" t="s">
        <v>400</v>
      </c>
      <c r="G122" s="1"/>
      <c r="J122" s="1"/>
    </row>
    <row r="123" spans="1:16" ht="12.75">
      <c r="A123" s="1">
        <v>96</v>
      </c>
      <c r="B123" s="1"/>
      <c r="C123" s="1"/>
      <c r="D123" t="s">
        <v>401</v>
      </c>
      <c r="G123" s="1"/>
      <c r="J123" s="1"/>
      <c r="O123" s="1"/>
    </row>
    <row r="124" spans="1:16" ht="12.75">
      <c r="A124" s="1"/>
      <c r="B124" s="1" t="s">
        <v>402</v>
      </c>
      <c r="C124">
        <f>SUM(C28:C123)</f>
        <v>1900</v>
      </c>
      <c r="E124" s="1" t="s">
        <v>271</v>
      </c>
      <c r="F124">
        <f>C124*2.2/100</f>
        <v>41.8</v>
      </c>
    </row>
    <row r="125" spans="1:16" ht="12.75">
      <c r="A125" s="1" t="s">
        <v>403</v>
      </c>
      <c r="F125" s="1" t="s">
        <v>404</v>
      </c>
    </row>
    <row r="126" spans="1:16" ht="12.75">
      <c r="A126" s="1" t="s">
        <v>119</v>
      </c>
      <c r="B126" t="s">
        <v>212</v>
      </c>
      <c r="F126" s="1" t="s">
        <v>128</v>
      </c>
      <c r="G126" t="s">
        <v>298</v>
      </c>
      <c r="J126" s="1" t="s">
        <v>213</v>
      </c>
      <c r="K126" t="s">
        <v>360</v>
      </c>
      <c r="N126" s="1"/>
      <c r="O126" s="1"/>
      <c r="P126" s="1"/>
    </row>
    <row r="127" spans="1:16" ht="17.25">
      <c r="A127" s="1" t="s">
        <v>121</v>
      </c>
      <c r="B127" s="4" t="s">
        <v>405</v>
      </c>
      <c r="C127" s="1" t="s">
        <v>406</v>
      </c>
      <c r="F127" s="1" t="s">
        <v>504</v>
      </c>
      <c r="G127" s="4" t="s">
        <v>408</v>
      </c>
      <c r="H127" s="1" t="s">
        <v>406</v>
      </c>
      <c r="J127" s="1" t="s">
        <v>139</v>
      </c>
      <c r="K127" s="4" t="s">
        <v>408</v>
      </c>
      <c r="L127" s="1" t="s">
        <v>406</v>
      </c>
      <c r="M127" s="1"/>
      <c r="N127" s="1"/>
      <c r="O127" s="1"/>
      <c r="P127" s="1"/>
    </row>
    <row r="128" spans="1:16" ht="12.75">
      <c r="A128" s="1" t="s">
        <v>122</v>
      </c>
      <c r="B128" s="1">
        <v>1000</v>
      </c>
      <c r="C128" t="s">
        <v>212</v>
      </c>
      <c r="F128" s="1" t="s">
        <v>146</v>
      </c>
      <c r="G128" s="1">
        <v>850</v>
      </c>
      <c r="H128" t="s">
        <v>298</v>
      </c>
      <c r="J128" s="1" t="s">
        <v>219</v>
      </c>
      <c r="K128" s="1">
        <v>105</v>
      </c>
      <c r="L128" t="s">
        <v>357</v>
      </c>
    </row>
    <row r="129" spans="1:16" ht="12.75">
      <c r="B129" s="1">
        <f>B128</f>
        <v>1000</v>
      </c>
      <c r="F129" s="1"/>
      <c r="G129" s="1">
        <f>G128</f>
        <v>850</v>
      </c>
      <c r="J129" s="1" t="s">
        <v>226</v>
      </c>
      <c r="K129" s="1">
        <v>155</v>
      </c>
      <c r="L129" t="s">
        <v>360</v>
      </c>
      <c r="N129" s="1"/>
      <c r="O129" s="1"/>
      <c r="P129" s="1"/>
    </row>
    <row r="130" spans="1:16" ht="12.75">
      <c r="A130" s="1"/>
      <c r="B130" s="1"/>
      <c r="F130" s="1" t="s">
        <v>154</v>
      </c>
      <c r="G130" t="s">
        <v>319</v>
      </c>
      <c r="J130" s="1" t="s">
        <v>155</v>
      </c>
      <c r="K130" s="1">
        <v>140</v>
      </c>
      <c r="L130" t="s">
        <v>370</v>
      </c>
      <c r="N130" s="1"/>
      <c r="O130" s="1"/>
      <c r="P130" s="1"/>
    </row>
    <row r="131" spans="1:16" ht="17.25">
      <c r="A131" s="1" t="s">
        <v>402</v>
      </c>
      <c r="B131" s="1">
        <f>B129</f>
        <v>1000</v>
      </c>
      <c r="D131" s="1"/>
      <c r="F131" s="1" t="s">
        <v>131</v>
      </c>
      <c r="G131" s="4" t="s">
        <v>408</v>
      </c>
      <c r="H131" s="1" t="s">
        <v>406</v>
      </c>
      <c r="J131" s="1"/>
      <c r="K131" s="1">
        <f>SUM(K128:K130)</f>
        <v>400</v>
      </c>
    </row>
    <row r="132" spans="1:16" ht="12.75">
      <c r="A132" s="1"/>
      <c r="D132" s="1"/>
      <c r="F132" s="1" t="s">
        <v>160</v>
      </c>
      <c r="G132" s="1">
        <v>350</v>
      </c>
      <c r="H132" t="s">
        <v>319</v>
      </c>
      <c r="J132" s="1" t="s">
        <v>251</v>
      </c>
      <c r="K132" t="s">
        <v>375</v>
      </c>
      <c r="N132" s="1"/>
      <c r="O132" s="1"/>
      <c r="P132" s="1"/>
    </row>
    <row r="133" spans="1:16" ht="17.25">
      <c r="F133" s="1"/>
      <c r="G133" s="1">
        <f>G132</f>
        <v>350</v>
      </c>
      <c r="J133" s="1" t="s">
        <v>195</v>
      </c>
      <c r="K133" s="4" t="s">
        <v>408</v>
      </c>
      <c r="L133" s="1" t="s">
        <v>406</v>
      </c>
      <c r="N133" s="1"/>
      <c r="O133" s="1"/>
      <c r="P133" s="1"/>
    </row>
    <row r="134" spans="1:16" ht="12.75">
      <c r="A134" s="1"/>
      <c r="D134" s="1"/>
      <c r="F134" s="1" t="s">
        <v>166</v>
      </c>
      <c r="G134" t="s">
        <v>322</v>
      </c>
      <c r="J134" s="1" t="s">
        <v>250</v>
      </c>
      <c r="K134" s="1">
        <v>182</v>
      </c>
      <c r="L134" t="s">
        <v>375</v>
      </c>
    </row>
    <row r="135" spans="1:16" ht="17.25">
      <c r="A135" s="1"/>
      <c r="D135" s="1"/>
      <c r="F135" s="1" t="s">
        <v>170</v>
      </c>
      <c r="G135" s="4" t="s">
        <v>408</v>
      </c>
      <c r="H135" s="1" t="s">
        <v>406</v>
      </c>
      <c r="J135" s="1" t="s">
        <v>259</v>
      </c>
      <c r="K135" s="1">
        <v>18</v>
      </c>
      <c r="L135" t="s">
        <v>386</v>
      </c>
      <c r="N135" s="1"/>
      <c r="O135" s="1"/>
      <c r="P135" s="1"/>
    </row>
    <row r="136" spans="1:16" ht="12.75">
      <c r="F136" s="1" t="s">
        <v>172</v>
      </c>
      <c r="G136" s="1">
        <v>74</v>
      </c>
      <c r="H136" t="s">
        <v>294</v>
      </c>
      <c r="K136" s="1">
        <f>SUM(K134:K135)</f>
        <v>200</v>
      </c>
      <c r="N136" s="1"/>
      <c r="O136" s="1"/>
      <c r="P136" s="1"/>
    </row>
    <row r="137" spans="1:16" ht="12.75">
      <c r="A137" s="1"/>
      <c r="D137" s="1"/>
      <c r="F137" s="1" t="s">
        <v>176</v>
      </c>
      <c r="G137" s="1">
        <v>176</v>
      </c>
      <c r="H137" t="s">
        <v>322</v>
      </c>
    </row>
    <row r="138" spans="1:16" ht="12.75">
      <c r="A138" s="1"/>
      <c r="D138" s="1"/>
      <c r="G138" s="1">
        <f>SUM(G136:G137)</f>
        <v>250</v>
      </c>
      <c r="J138" s="1" t="s">
        <v>206</v>
      </c>
      <c r="K138" t="s">
        <v>394</v>
      </c>
      <c r="N138" s="1"/>
      <c r="O138" s="1"/>
      <c r="P138" s="1"/>
    </row>
    <row r="139" spans="1:16" ht="17.25">
      <c r="F139" s="1" t="s">
        <v>184</v>
      </c>
      <c r="G139" t="s">
        <v>352</v>
      </c>
      <c r="J139" s="1" t="s">
        <v>189</v>
      </c>
      <c r="K139" s="4" t="s">
        <v>408</v>
      </c>
      <c r="L139" s="1" t="s">
        <v>406</v>
      </c>
      <c r="N139" s="1"/>
      <c r="O139" s="1"/>
      <c r="P139" s="1"/>
    </row>
    <row r="140" spans="1:16" ht="17.25">
      <c r="A140" s="1"/>
      <c r="D140" s="1"/>
      <c r="F140" s="1" t="s">
        <v>131</v>
      </c>
      <c r="G140" s="4" t="s">
        <v>408</v>
      </c>
      <c r="H140" s="1" t="s">
        <v>406</v>
      </c>
      <c r="J140" s="1" t="s">
        <v>160</v>
      </c>
      <c r="K140" s="1">
        <v>78</v>
      </c>
      <c r="L140" t="s">
        <v>319</v>
      </c>
    </row>
    <row r="141" spans="1:16" ht="12.75">
      <c r="A141" s="1"/>
      <c r="D141" s="1"/>
      <c r="F141" s="1" t="s">
        <v>193</v>
      </c>
      <c r="G141" s="1">
        <v>28</v>
      </c>
      <c r="H141" t="s">
        <v>297</v>
      </c>
      <c r="J141" s="1" t="s">
        <v>207</v>
      </c>
      <c r="K141" s="1">
        <v>522</v>
      </c>
      <c r="L141" t="s">
        <v>394</v>
      </c>
      <c r="N141" s="1"/>
      <c r="O141" s="1"/>
      <c r="P141" s="1"/>
    </row>
    <row r="142" spans="1:16" ht="12.75">
      <c r="F142" s="1" t="s">
        <v>160</v>
      </c>
      <c r="G142" s="1">
        <v>50</v>
      </c>
      <c r="H142" t="s">
        <v>319</v>
      </c>
      <c r="K142" s="1">
        <f>SUM(K140:K141)</f>
        <v>600</v>
      </c>
      <c r="N142" s="1"/>
      <c r="O142" s="1"/>
      <c r="P142" s="1"/>
    </row>
    <row r="143" spans="1:16" ht="12.75">
      <c r="A143" s="1"/>
      <c r="D143" s="1"/>
      <c r="F143" s="1" t="s">
        <v>165</v>
      </c>
      <c r="G143" s="1">
        <v>272</v>
      </c>
      <c r="H143" t="s">
        <v>352</v>
      </c>
      <c r="J143" s="1" t="s">
        <v>276</v>
      </c>
      <c r="K143" t="s">
        <v>396</v>
      </c>
    </row>
    <row r="144" spans="1:16" ht="17.25">
      <c r="A144" s="1"/>
      <c r="D144" s="1"/>
      <c r="F144" s="1"/>
      <c r="G144" s="1">
        <f>SUM(G141:G143)</f>
        <v>350</v>
      </c>
      <c r="J144" s="1" t="s">
        <v>195</v>
      </c>
      <c r="K144" s="4" t="s">
        <v>408</v>
      </c>
      <c r="L144" s="1" t="s">
        <v>406</v>
      </c>
      <c r="N144" s="1"/>
      <c r="O144" s="1"/>
      <c r="P144" s="1"/>
    </row>
    <row r="145" spans="1:16" ht="12.75">
      <c r="F145" s="1" t="s">
        <v>191</v>
      </c>
      <c r="G145" t="s">
        <v>358</v>
      </c>
      <c r="J145" s="1" t="s">
        <v>183</v>
      </c>
      <c r="K145" s="1">
        <v>15</v>
      </c>
      <c r="L145" t="s">
        <v>335</v>
      </c>
      <c r="N145" s="1"/>
      <c r="O145" s="1"/>
      <c r="P145" s="1"/>
    </row>
    <row r="146" spans="1:16" ht="17.25">
      <c r="A146" s="1"/>
      <c r="D146" s="1"/>
      <c r="F146" s="1" t="s">
        <v>133</v>
      </c>
      <c r="G146" s="4" t="s">
        <v>408</v>
      </c>
      <c r="H146" s="1" t="s">
        <v>406</v>
      </c>
      <c r="J146" s="1" t="s">
        <v>192</v>
      </c>
      <c r="K146" s="1">
        <v>185</v>
      </c>
      <c r="L146" t="s">
        <v>396</v>
      </c>
    </row>
    <row r="147" spans="1:16" ht="12.75">
      <c r="A147" s="1"/>
      <c r="D147" s="1"/>
      <c r="F147" s="1" t="s">
        <v>201</v>
      </c>
      <c r="G147" s="1">
        <v>296</v>
      </c>
      <c r="H147" t="s">
        <v>358</v>
      </c>
      <c r="J147" s="1"/>
      <c r="K147">
        <f>SUM(K145:K146)</f>
        <v>200</v>
      </c>
      <c r="N147" s="1"/>
      <c r="O147" s="1"/>
      <c r="P147" s="1"/>
    </row>
    <row r="148" spans="1:16" ht="12.75">
      <c r="F148" s="1" t="s">
        <v>227</v>
      </c>
      <c r="G148" s="1">
        <v>4</v>
      </c>
      <c r="H148" t="s">
        <v>366</v>
      </c>
      <c r="N148" s="1"/>
      <c r="O148" s="1"/>
      <c r="P148" s="1"/>
    </row>
    <row r="149" spans="1:16" ht="12.75">
      <c r="A149" s="1"/>
      <c r="D149" s="1"/>
      <c r="G149">
        <f>SUM(G147:G148)</f>
        <v>300</v>
      </c>
    </row>
    <row r="150" spans="1:16" ht="12.75">
      <c r="A150" s="1"/>
      <c r="D150" s="1"/>
      <c r="F150" s="1"/>
      <c r="N150" s="1"/>
      <c r="O150" s="1"/>
      <c r="P150" s="1"/>
    </row>
    <row r="151" spans="1:16" ht="12.75">
      <c r="B151" s="1"/>
      <c r="E151" s="1" t="s">
        <v>505</v>
      </c>
      <c r="F151" s="1" t="s">
        <v>402</v>
      </c>
      <c r="G151" s="1">
        <f>SUM(G129,G133,G138,G144,G149,K131,K136,K142,K147)</f>
        <v>3500</v>
      </c>
      <c r="N151" s="1"/>
      <c r="O151" s="1"/>
      <c r="P151" s="1"/>
    </row>
    <row r="152" spans="1:16" ht="12.75">
      <c r="A152" s="1"/>
      <c r="B152" s="1"/>
      <c r="D152" s="1"/>
      <c r="F152" s="1"/>
      <c r="G152" s="1"/>
    </row>
    <row r="153" spans="1:16" ht="12.75">
      <c r="A153" s="1"/>
      <c r="D153" s="1"/>
      <c r="N153" s="1"/>
      <c r="O153" s="1"/>
      <c r="P153" s="1"/>
    </row>
    <row r="154" spans="1:16" ht="12.75">
      <c r="B154" s="1"/>
      <c r="F154" s="1"/>
      <c r="G154" s="1"/>
      <c r="N154" s="1"/>
      <c r="O154" s="1"/>
      <c r="P154" s="1"/>
    </row>
    <row r="155" spans="1:16" ht="12.75">
      <c r="A155" s="1"/>
      <c r="B155" s="1"/>
      <c r="D155" s="1"/>
      <c r="F155" s="1"/>
      <c r="G155" s="1"/>
    </row>
    <row r="156" spans="1:16" ht="12.75">
      <c r="A156" s="1"/>
      <c r="D156" s="1"/>
      <c r="F156" s="1"/>
      <c r="G156" s="1"/>
      <c r="J156" s="1"/>
      <c r="N156" s="1"/>
      <c r="P156" s="1"/>
    </row>
    <row r="157" spans="1:16" ht="12.75">
      <c r="B157" s="1"/>
      <c r="F157" s="1"/>
      <c r="G157" s="1"/>
      <c r="J157" s="1"/>
      <c r="N157" s="1"/>
      <c r="P157" s="1"/>
    </row>
    <row r="158" spans="1:16" ht="12.75">
      <c r="A158" s="1"/>
      <c r="B158" s="1"/>
      <c r="D158" s="1"/>
      <c r="G158" s="1"/>
      <c r="I158" s="1"/>
      <c r="J158" s="1"/>
    </row>
    <row r="159" spans="1:16" ht="12.75">
      <c r="A159" s="1"/>
      <c r="D159" s="1"/>
      <c r="G159" s="1"/>
      <c r="I159" s="1"/>
      <c r="J159" s="1"/>
    </row>
    <row r="160" spans="1:16" ht="12.75">
      <c r="B160" s="1"/>
      <c r="G160" s="1"/>
      <c r="J160" s="1"/>
    </row>
    <row r="161" spans="2:10" ht="12.75">
      <c r="B161" s="1"/>
      <c r="G161" s="1"/>
      <c r="J161" s="1"/>
    </row>
    <row r="162" spans="2:10" ht="12.75">
      <c r="G162" s="1"/>
      <c r="J162" s="1"/>
    </row>
    <row r="163" spans="2:10" ht="12.75">
      <c r="B163" s="1"/>
      <c r="G163" s="1"/>
      <c r="J163" s="1"/>
    </row>
    <row r="164" spans="2:10" ht="12.75">
      <c r="B164" s="1"/>
      <c r="G164" s="1"/>
      <c r="I164" s="1"/>
      <c r="J164" s="1"/>
    </row>
    <row r="165" spans="2:10" ht="12.75">
      <c r="G165" s="1"/>
      <c r="J165" s="1"/>
    </row>
    <row r="166" spans="2:10" ht="12.75">
      <c r="B166" s="1"/>
      <c r="G166" s="1"/>
      <c r="J166" s="1"/>
    </row>
    <row r="167" spans="2:10" ht="12.75">
      <c r="B167" s="1"/>
      <c r="G167" s="1"/>
      <c r="J167" s="1"/>
    </row>
    <row r="168" spans="2:10" ht="12.75">
      <c r="G168" s="1"/>
      <c r="J168" s="1"/>
    </row>
    <row r="169" spans="2:10" ht="12.75">
      <c r="B169" s="1"/>
      <c r="G169" s="1"/>
      <c r="I169" s="1"/>
      <c r="J169" s="1"/>
    </row>
    <row r="170" spans="2:10" ht="12.75">
      <c r="B170" s="1"/>
      <c r="G170" s="1"/>
      <c r="I170" s="1"/>
      <c r="J170" s="1"/>
    </row>
    <row r="171" spans="2:10" ht="12.75">
      <c r="G171" s="1"/>
      <c r="J171" s="1"/>
    </row>
    <row r="172" spans="2:10" ht="12.75">
      <c r="B172" s="1"/>
      <c r="G172" s="1"/>
      <c r="I172" s="1"/>
      <c r="J172" s="1"/>
    </row>
    <row r="173" spans="2:10" ht="12.75">
      <c r="B173" s="1"/>
      <c r="G173" s="1"/>
      <c r="I173" s="1"/>
      <c r="J173" s="1"/>
    </row>
    <row r="174" spans="2:10" ht="12.75">
      <c r="G174" s="1"/>
      <c r="I174" s="1"/>
      <c r="J174" s="1"/>
    </row>
    <row r="175" spans="2:10" ht="12.75">
      <c r="B175" s="1"/>
      <c r="G175" s="1"/>
      <c r="J175" s="1"/>
    </row>
    <row r="176" spans="2:10" ht="12.75">
      <c r="B176" s="1"/>
      <c r="G176" s="1"/>
      <c r="J176" s="1"/>
    </row>
    <row r="177" spans="2:10" ht="12.75">
      <c r="G177" s="1"/>
      <c r="J177" s="1"/>
    </row>
    <row r="178" spans="2:10" ht="12.75">
      <c r="B178" s="1"/>
      <c r="G178" s="1"/>
      <c r="J178" s="1"/>
    </row>
    <row r="179" spans="2:10" ht="12.75">
      <c r="B179" s="1"/>
      <c r="G179" s="1"/>
      <c r="J179" s="1"/>
    </row>
    <row r="180" spans="2:10" ht="12.75">
      <c r="G180" s="1"/>
      <c r="J180" s="1"/>
    </row>
    <row r="181" spans="2:10" ht="12.75">
      <c r="B181" s="1"/>
      <c r="G181" s="1"/>
      <c r="J181" s="1"/>
    </row>
    <row r="182" spans="2:10" ht="12.75">
      <c r="B182" s="1"/>
      <c r="G182" s="1"/>
      <c r="I182" s="1"/>
      <c r="J182" s="1"/>
    </row>
    <row r="183" spans="2:10" ht="12.75">
      <c r="G183" s="1"/>
      <c r="J183" s="1"/>
    </row>
    <row r="184" spans="2:10" ht="12.75">
      <c r="B184" s="1"/>
      <c r="C184" s="1"/>
      <c r="G184" s="1"/>
      <c r="I184" s="1"/>
      <c r="J184" s="1"/>
    </row>
    <row r="185" spans="2:10" ht="12.75">
      <c r="B185" s="1"/>
      <c r="G185" s="1"/>
      <c r="J185" s="1"/>
    </row>
    <row r="186" spans="2:10" ht="12.75">
      <c r="G186" s="1"/>
      <c r="J186" s="1"/>
    </row>
    <row r="187" spans="2:10" ht="12.75">
      <c r="B187" s="1"/>
    </row>
    <row r="188" spans="2:10" ht="12.75">
      <c r="B188" s="1"/>
      <c r="I188" s="1"/>
    </row>
    <row r="190" spans="2:10" ht="12.75">
      <c r="B190" s="1"/>
    </row>
    <row r="191" spans="2:10" ht="12.75">
      <c r="B191" s="1"/>
    </row>
    <row r="192" spans="2:10" ht="12.75">
      <c r="I192" s="1"/>
    </row>
    <row r="193" spans="2:9" ht="12.75">
      <c r="B193" s="1"/>
      <c r="I193" s="1"/>
    </row>
    <row r="194" spans="2:9" ht="12.75">
      <c r="B194" s="1"/>
    </row>
    <row r="195" spans="2:9" ht="12.75">
      <c r="I195" s="1"/>
    </row>
    <row r="196" spans="2:9" ht="12.75">
      <c r="B196" s="1"/>
    </row>
    <row r="197" spans="2:9" ht="12.75">
      <c r="B197" s="1"/>
    </row>
    <row r="198" spans="2:9" ht="12.75">
      <c r="B198" s="1"/>
    </row>
    <row r="199" spans="2:9" ht="12.75">
      <c r="B199" s="1"/>
    </row>
    <row r="200" spans="2:9" ht="12.75">
      <c r="B200" s="1"/>
    </row>
    <row r="201" spans="2:9" ht="12.75">
      <c r="I201" s="1"/>
    </row>
    <row r="205" spans="2:9" ht="12.75">
      <c r="I205" s="1"/>
    </row>
    <row r="207" spans="2:9" ht="12.75">
      <c r="I207" s="1"/>
    </row>
    <row r="210" spans="9:9" ht="12.75">
      <c r="I210" s="1"/>
    </row>
    <row r="211" spans="9:9" ht="12.75">
      <c r="I211" s="1"/>
    </row>
    <row r="213" spans="9:9" ht="12.75">
      <c r="I213" s="1"/>
    </row>
    <row r="215" spans="9:9" ht="12.75">
      <c r="I215" s="1"/>
    </row>
    <row r="216" spans="9:9" ht="12.75">
      <c r="I216" s="1"/>
    </row>
    <row r="219" spans="9:9" ht="12.75">
      <c r="I219" s="1"/>
    </row>
    <row r="222" spans="9:9" ht="12.75">
      <c r="I222" s="1"/>
    </row>
    <row r="226" spans="9:9" ht="12.75">
      <c r="I226" s="1"/>
    </row>
    <row r="227" spans="9:9" ht="12.75">
      <c r="I227" s="1"/>
    </row>
    <row r="228" spans="9:9" ht="12.75">
      <c r="I228" s="1"/>
    </row>
    <row r="234" spans="9:9" ht="12.75">
      <c r="I234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234"/>
  <sheetViews>
    <sheetView workbookViewId="0"/>
  </sheetViews>
  <sheetFormatPr defaultColWidth="14.42578125" defaultRowHeight="15.75" customHeight="1"/>
  <sheetData>
    <row r="1" spans="1:10" ht="15.75" customHeight="1">
      <c r="A1" s="1" t="s">
        <v>346</v>
      </c>
      <c r="B1" s="1" t="s">
        <v>347</v>
      </c>
      <c r="C1" s="1" t="s">
        <v>348</v>
      </c>
      <c r="J1" s="1"/>
    </row>
    <row r="2" spans="1:10" ht="15.75" customHeight="1">
      <c r="A2" s="1" t="s">
        <v>62</v>
      </c>
    </row>
    <row r="3" spans="1:10" ht="15.75" customHeight="1">
      <c r="A3" s="1" t="s">
        <v>67</v>
      </c>
      <c r="J3" s="1"/>
    </row>
    <row r="4" spans="1:10" ht="15.75" customHeight="1">
      <c r="A4" s="1" t="s">
        <v>72</v>
      </c>
      <c r="J4" s="1"/>
    </row>
    <row r="5" spans="1:10" ht="15.75" customHeight="1">
      <c r="A5" s="1" t="s">
        <v>28</v>
      </c>
      <c r="B5" s="1" t="s">
        <v>30</v>
      </c>
      <c r="C5" s="1" t="s">
        <v>32</v>
      </c>
      <c r="G5" s="1" t="s">
        <v>35</v>
      </c>
      <c r="H5" s="4">
        <v>130.4</v>
      </c>
      <c r="I5" s="1" t="s">
        <v>39</v>
      </c>
    </row>
    <row r="6" spans="1:10" ht="15.75" customHeight="1">
      <c r="A6" s="1">
        <v>1</v>
      </c>
      <c r="B6" s="1"/>
      <c r="C6" s="1"/>
      <c r="D6" t="s">
        <v>45</v>
      </c>
      <c r="G6" s="1" t="s">
        <v>48</v>
      </c>
      <c r="H6" s="4">
        <v>219.6</v>
      </c>
      <c r="I6" s="1" t="s">
        <v>39</v>
      </c>
      <c r="J6" s="1"/>
    </row>
    <row r="7" spans="1:10" ht="15.75" customHeight="1">
      <c r="A7" s="1">
        <v>2</v>
      </c>
      <c r="B7" s="1"/>
      <c r="D7" t="s">
        <v>54</v>
      </c>
      <c r="H7" s="1"/>
    </row>
    <row r="8" spans="1:10" ht="15.75" customHeight="1">
      <c r="A8" s="1">
        <v>3</v>
      </c>
      <c r="B8" s="1"/>
      <c r="C8" s="1"/>
      <c r="D8" s="1" t="s">
        <v>59</v>
      </c>
      <c r="G8" s="1" t="s">
        <v>74</v>
      </c>
      <c r="H8" s="1">
        <v>2300</v>
      </c>
      <c r="I8" s="1" t="s">
        <v>76</v>
      </c>
      <c r="J8" s="1"/>
    </row>
    <row r="9" spans="1:10" ht="15.75" customHeight="1">
      <c r="A9" s="1">
        <v>4</v>
      </c>
      <c r="B9" s="1"/>
      <c r="D9" t="s">
        <v>78</v>
      </c>
      <c r="G9" s="1" t="s">
        <v>79</v>
      </c>
      <c r="H9" s="1">
        <v>5200</v>
      </c>
      <c r="I9" s="1" t="s">
        <v>76</v>
      </c>
    </row>
    <row r="10" spans="1:10" ht="15.75" customHeight="1">
      <c r="A10" s="1">
        <v>5</v>
      </c>
      <c r="B10" s="1"/>
      <c r="C10" s="1"/>
      <c r="D10" t="s">
        <v>81</v>
      </c>
      <c r="H10" s="1"/>
      <c r="J10" s="1"/>
    </row>
    <row r="11" spans="1:10" ht="15.75" customHeight="1">
      <c r="A11" s="1">
        <v>6</v>
      </c>
      <c r="B11" s="1"/>
      <c r="C11" s="1"/>
      <c r="D11" t="s">
        <v>82</v>
      </c>
      <c r="G11" s="1" t="s">
        <v>83</v>
      </c>
      <c r="H11" s="4">
        <f>0.41071*100</f>
        <v>41.071000000000005</v>
      </c>
      <c r="I11" s="1" t="s">
        <v>142</v>
      </c>
    </row>
    <row r="12" spans="1:10" ht="15.75" customHeight="1">
      <c r="A12" s="1">
        <v>7</v>
      </c>
      <c r="B12" s="1"/>
      <c r="D12" t="s">
        <v>148</v>
      </c>
      <c r="G12" s="1" t="s">
        <v>151</v>
      </c>
      <c r="H12" s="4">
        <f>0.417491*100</f>
        <v>41.749099999999999</v>
      </c>
      <c r="I12" s="1" t="s">
        <v>142</v>
      </c>
      <c r="J12" s="1"/>
    </row>
    <row r="13" spans="1:10" ht="15.75" customHeight="1">
      <c r="A13" s="1">
        <v>8</v>
      </c>
      <c r="B13" s="1"/>
      <c r="C13" s="1"/>
      <c r="D13" t="s">
        <v>205</v>
      </c>
      <c r="H13" s="1"/>
    </row>
    <row r="14" spans="1:10" ht="15.75" customHeight="1">
      <c r="A14" s="1">
        <v>9</v>
      </c>
      <c r="B14" s="1"/>
      <c r="C14" s="1"/>
      <c r="D14" t="s">
        <v>208</v>
      </c>
      <c r="H14" s="3"/>
      <c r="J14" s="1"/>
    </row>
    <row r="15" spans="1:10" ht="15.75" customHeight="1">
      <c r="A15" s="1">
        <v>10</v>
      </c>
      <c r="B15" s="1">
        <v>2</v>
      </c>
      <c r="C15" s="1">
        <f t="shared" ref="C15:C16" si="0">B15*100</f>
        <v>200</v>
      </c>
      <c r="D15" t="s">
        <v>212</v>
      </c>
      <c r="H15" s="3"/>
    </row>
    <row r="16" spans="1:10" ht="15.75" customHeight="1">
      <c r="A16" s="1">
        <v>11</v>
      </c>
      <c r="B16" s="1">
        <v>1</v>
      </c>
      <c r="C16" s="1">
        <f t="shared" si="0"/>
        <v>100</v>
      </c>
      <c r="D16" t="s">
        <v>216</v>
      </c>
      <c r="H16" s="1"/>
      <c r="J16" s="1"/>
    </row>
    <row r="17" spans="1:10" ht="15.75" customHeight="1">
      <c r="A17" s="1">
        <v>12</v>
      </c>
      <c r="B17" s="1"/>
      <c r="D17" t="s">
        <v>220</v>
      </c>
      <c r="H17" s="1"/>
      <c r="J17" s="1"/>
    </row>
    <row r="18" spans="1:10" ht="15.75" customHeight="1">
      <c r="A18" s="1">
        <v>13</v>
      </c>
      <c r="B18" s="1"/>
      <c r="C18" s="1"/>
      <c r="D18" t="s">
        <v>222</v>
      </c>
      <c r="H18" s="1"/>
      <c r="J18" s="1"/>
    </row>
    <row r="19" spans="1:10" ht="15.75" customHeight="1">
      <c r="A19" s="1">
        <v>14</v>
      </c>
      <c r="B19" s="1"/>
      <c r="D19" t="s">
        <v>225</v>
      </c>
      <c r="H19" s="1"/>
    </row>
    <row r="20" spans="1:10" ht="15.75" customHeight="1">
      <c r="A20" s="1">
        <v>15</v>
      </c>
      <c r="B20" s="1"/>
      <c r="D20" t="s">
        <v>228</v>
      </c>
      <c r="H20" s="1"/>
    </row>
    <row r="21" spans="1:10" ht="15.75" customHeight="1">
      <c r="A21" s="1">
        <v>16</v>
      </c>
      <c r="B21" s="1"/>
      <c r="C21" s="1"/>
      <c r="D21" t="s">
        <v>232</v>
      </c>
      <c r="H21" s="1"/>
    </row>
    <row r="22" spans="1:10" ht="15.75" customHeight="1">
      <c r="A22" s="1">
        <v>17</v>
      </c>
      <c r="B22" s="1"/>
      <c r="D22" t="s">
        <v>234</v>
      </c>
      <c r="H22" s="1"/>
    </row>
    <row r="23" spans="1:10" ht="15.75" customHeight="1">
      <c r="A23" s="1">
        <v>18</v>
      </c>
      <c r="B23" s="1"/>
      <c r="D23" t="s">
        <v>235</v>
      </c>
      <c r="H23" s="1"/>
    </row>
    <row r="24" spans="1:10" ht="15.75" customHeight="1">
      <c r="A24" s="1">
        <v>19</v>
      </c>
      <c r="B24" s="1"/>
      <c r="D24" t="s">
        <v>238</v>
      </c>
      <c r="H24" s="1"/>
    </row>
    <row r="25" spans="1:10" ht="15.75" customHeight="1">
      <c r="A25" s="1" t="s">
        <v>97</v>
      </c>
      <c r="C25">
        <f>SUM(C6:C24)</f>
        <v>300</v>
      </c>
      <c r="E25" s="1" t="s">
        <v>271</v>
      </c>
      <c r="F25">
        <f>C25*2.9/100</f>
        <v>8.6999999999999993</v>
      </c>
    </row>
    <row r="26" spans="1:10" ht="15.75" customHeight="1">
      <c r="H26" s="1"/>
    </row>
    <row r="27" spans="1:10" ht="15.75" customHeight="1">
      <c r="A27" s="1" t="s">
        <v>286</v>
      </c>
      <c r="B27" s="1" t="s">
        <v>98</v>
      </c>
      <c r="C27" s="1" t="s">
        <v>287</v>
      </c>
      <c r="H27" s="1"/>
    </row>
    <row r="28" spans="1:10" ht="15.75" customHeight="1">
      <c r="A28" s="1">
        <v>1</v>
      </c>
      <c r="B28" s="1"/>
      <c r="C28" s="1"/>
      <c r="D28" t="s">
        <v>288</v>
      </c>
      <c r="G28" s="1"/>
      <c r="H28" s="1"/>
    </row>
    <row r="29" spans="1:10" ht="15.75" customHeight="1">
      <c r="A29" s="1">
        <v>2</v>
      </c>
      <c r="B29" s="1"/>
      <c r="C29" s="1"/>
      <c r="D29" t="s">
        <v>291</v>
      </c>
      <c r="G29" s="1"/>
      <c r="H29" s="1"/>
    </row>
    <row r="30" spans="1:10" ht="15.75" customHeight="1">
      <c r="A30" s="1">
        <v>3</v>
      </c>
      <c r="B30" s="1"/>
      <c r="C30" s="1"/>
      <c r="D30" t="s">
        <v>294</v>
      </c>
      <c r="G30" s="1"/>
      <c r="H30" s="1"/>
    </row>
    <row r="31" spans="1:10" ht="15.75" customHeight="1">
      <c r="A31" s="1">
        <v>4</v>
      </c>
      <c r="B31" s="1"/>
      <c r="C31" s="1"/>
      <c r="D31" t="s">
        <v>296</v>
      </c>
      <c r="G31" s="1"/>
      <c r="H31" s="1"/>
    </row>
    <row r="32" spans="1:10" ht="15.75" customHeight="1">
      <c r="A32" s="1">
        <v>5</v>
      </c>
      <c r="B32" s="1"/>
      <c r="C32" s="1"/>
      <c r="D32" t="s">
        <v>297</v>
      </c>
      <c r="G32" s="1"/>
      <c r="H32" s="1"/>
    </row>
    <row r="33" spans="1:8" ht="15.75" customHeight="1">
      <c r="A33" s="1">
        <v>6</v>
      </c>
      <c r="B33" s="1"/>
      <c r="C33" s="1"/>
      <c r="D33" t="s">
        <v>298</v>
      </c>
      <c r="G33" s="1"/>
      <c r="H33" s="1"/>
    </row>
    <row r="34" spans="1:8" ht="15.75" customHeight="1">
      <c r="A34" s="1">
        <v>7</v>
      </c>
      <c r="B34" s="1"/>
      <c r="C34" s="1"/>
      <c r="D34" t="s">
        <v>301</v>
      </c>
      <c r="G34" s="1"/>
      <c r="H34" s="1"/>
    </row>
    <row r="35" spans="1:8" ht="15.75" customHeight="1">
      <c r="A35" s="1">
        <v>8</v>
      </c>
      <c r="B35" s="1"/>
      <c r="C35" s="1"/>
      <c r="D35" t="s">
        <v>303</v>
      </c>
    </row>
    <row r="36" spans="1:8" ht="12.75">
      <c r="A36" s="1">
        <v>9</v>
      </c>
      <c r="B36" s="1"/>
      <c r="C36" s="1"/>
      <c r="D36" t="s">
        <v>304</v>
      </c>
    </row>
    <row r="37" spans="1:8" ht="12.75">
      <c r="A37" s="1">
        <v>10</v>
      </c>
      <c r="B37" s="1"/>
      <c r="C37" s="1"/>
      <c r="D37" t="s">
        <v>311</v>
      </c>
    </row>
    <row r="38" spans="1:8" ht="12.75">
      <c r="A38" s="1">
        <v>11</v>
      </c>
      <c r="B38" s="1"/>
      <c r="C38" s="1"/>
      <c r="D38" t="s">
        <v>313</v>
      </c>
    </row>
    <row r="39" spans="1:8" ht="12.75">
      <c r="A39" s="1">
        <v>12</v>
      </c>
      <c r="B39" s="1"/>
      <c r="C39" s="1"/>
      <c r="D39" t="s">
        <v>314</v>
      </c>
    </row>
    <row r="40" spans="1:8" ht="12.75">
      <c r="A40" s="1">
        <v>13</v>
      </c>
      <c r="B40" s="1"/>
      <c r="C40" s="1"/>
      <c r="D40" t="s">
        <v>315</v>
      </c>
    </row>
    <row r="41" spans="1:8" ht="12.75">
      <c r="A41" s="1">
        <v>14</v>
      </c>
      <c r="B41" s="1"/>
      <c r="C41" s="1"/>
      <c r="D41" t="s">
        <v>316</v>
      </c>
    </row>
    <row r="42" spans="1:8" ht="12.75">
      <c r="A42" s="1">
        <v>15</v>
      </c>
      <c r="B42" s="1"/>
      <c r="C42" s="1"/>
      <c r="D42" t="s">
        <v>317</v>
      </c>
    </row>
    <row r="43" spans="1:8" ht="12.75">
      <c r="A43" s="1">
        <v>16</v>
      </c>
      <c r="B43" s="1"/>
      <c r="C43" s="1"/>
      <c r="D43" t="s">
        <v>318</v>
      </c>
    </row>
    <row r="44" spans="1:8" ht="12.75">
      <c r="A44" s="1">
        <v>17</v>
      </c>
      <c r="B44" s="1"/>
      <c r="C44" s="1"/>
      <c r="D44" t="s">
        <v>319</v>
      </c>
    </row>
    <row r="45" spans="1:8" ht="12.75">
      <c r="A45" s="1">
        <v>18</v>
      </c>
      <c r="B45" s="1"/>
      <c r="C45" s="1"/>
      <c r="D45" t="s">
        <v>320</v>
      </c>
    </row>
    <row r="46" spans="1:8" ht="12.75">
      <c r="A46" s="1">
        <v>19</v>
      </c>
      <c r="B46" s="1"/>
      <c r="C46" s="1"/>
      <c r="D46" t="s">
        <v>321</v>
      </c>
    </row>
    <row r="47" spans="1:8" ht="12.75">
      <c r="A47" s="1">
        <v>20</v>
      </c>
      <c r="B47" s="1">
        <v>2</v>
      </c>
      <c r="C47" s="1">
        <f t="shared" ref="C47:C48" si="1">B47*100</f>
        <v>200</v>
      </c>
      <c r="D47" t="s">
        <v>322</v>
      </c>
      <c r="G47" s="1"/>
    </row>
    <row r="48" spans="1:8" ht="12.75">
      <c r="A48" s="1">
        <v>21</v>
      </c>
      <c r="B48" s="1">
        <v>2</v>
      </c>
      <c r="C48" s="1">
        <f t="shared" si="1"/>
        <v>200</v>
      </c>
      <c r="D48" t="s">
        <v>323</v>
      </c>
      <c r="G48" s="1"/>
    </row>
    <row r="49" spans="1:9" ht="12.75">
      <c r="A49" s="1">
        <v>22</v>
      </c>
      <c r="B49" s="1"/>
      <c r="C49" s="1"/>
      <c r="D49" t="s">
        <v>324</v>
      </c>
      <c r="G49" s="1"/>
      <c r="H49" s="1"/>
    </row>
    <row r="50" spans="1:9" ht="12.75">
      <c r="A50" s="1">
        <v>23</v>
      </c>
      <c r="B50" s="1"/>
      <c r="C50" s="1"/>
      <c r="D50" t="s">
        <v>325</v>
      </c>
      <c r="G50" s="1"/>
      <c r="H50" s="1"/>
    </row>
    <row r="51" spans="1:9" ht="12.75">
      <c r="A51" s="1">
        <v>24</v>
      </c>
      <c r="B51" s="1"/>
      <c r="C51" s="1"/>
      <c r="D51" t="s">
        <v>326</v>
      </c>
      <c r="G51" s="1"/>
      <c r="H51" s="1"/>
      <c r="I51" s="1"/>
    </row>
    <row r="52" spans="1:9" ht="12.75">
      <c r="A52" s="1">
        <v>25</v>
      </c>
      <c r="B52" s="1"/>
      <c r="C52" s="1"/>
      <c r="D52" t="s">
        <v>327</v>
      </c>
      <c r="G52" s="1"/>
      <c r="H52" s="1"/>
      <c r="I52" s="1"/>
    </row>
    <row r="53" spans="1:9" ht="12.75">
      <c r="A53" s="1">
        <v>26</v>
      </c>
      <c r="B53" s="1"/>
      <c r="C53" s="1"/>
      <c r="D53" t="s">
        <v>328</v>
      </c>
      <c r="G53" s="1"/>
      <c r="H53" s="1"/>
      <c r="I53" s="1"/>
    </row>
    <row r="54" spans="1:9" ht="12.75">
      <c r="A54" s="1">
        <v>27</v>
      </c>
      <c r="B54" s="1"/>
      <c r="C54" s="1"/>
      <c r="D54" t="s">
        <v>329</v>
      </c>
    </row>
    <row r="55" spans="1:9" ht="12.75">
      <c r="A55" s="1">
        <v>28</v>
      </c>
      <c r="B55" s="1"/>
      <c r="C55" s="1"/>
      <c r="D55" t="s">
        <v>330</v>
      </c>
      <c r="G55" s="1"/>
      <c r="H55" s="1"/>
    </row>
    <row r="56" spans="1:9" ht="12.75">
      <c r="A56" s="1">
        <v>29</v>
      </c>
      <c r="B56" s="1"/>
      <c r="C56" s="1"/>
      <c r="D56" t="s">
        <v>331</v>
      </c>
      <c r="G56" s="1"/>
      <c r="H56" s="1"/>
    </row>
    <row r="57" spans="1:9" ht="12.75">
      <c r="A57" s="1">
        <v>30</v>
      </c>
      <c r="B57" s="1"/>
      <c r="C57" s="1"/>
      <c r="D57" t="s">
        <v>332</v>
      </c>
      <c r="G57" s="1"/>
      <c r="H57" s="1"/>
      <c r="I57" s="1"/>
    </row>
    <row r="58" spans="1:9" ht="12.75">
      <c r="A58" s="1">
        <v>31</v>
      </c>
      <c r="B58" s="1"/>
      <c r="C58" s="1"/>
      <c r="D58" t="s">
        <v>333</v>
      </c>
      <c r="G58" s="1"/>
      <c r="H58" s="1"/>
      <c r="I58" s="1"/>
    </row>
    <row r="59" spans="1:9" ht="12.75">
      <c r="A59" s="1">
        <v>32</v>
      </c>
      <c r="B59" s="1"/>
      <c r="C59" s="1"/>
      <c r="D59" t="s">
        <v>334</v>
      </c>
      <c r="G59" s="1"/>
      <c r="H59" s="1"/>
      <c r="I59" s="1"/>
    </row>
    <row r="60" spans="1:9" ht="12.75">
      <c r="A60" s="1">
        <v>33</v>
      </c>
      <c r="B60" s="1"/>
      <c r="C60" s="1"/>
      <c r="D60" t="s">
        <v>335</v>
      </c>
      <c r="G60" s="1"/>
    </row>
    <row r="61" spans="1:9" ht="12.75">
      <c r="A61" s="1">
        <v>34</v>
      </c>
      <c r="B61" s="1"/>
      <c r="C61" s="1"/>
      <c r="D61" t="s">
        <v>336</v>
      </c>
      <c r="G61" s="1"/>
      <c r="H61" s="1"/>
    </row>
    <row r="62" spans="1:9" ht="12.75">
      <c r="A62" s="1">
        <v>35</v>
      </c>
      <c r="B62" s="1"/>
      <c r="C62" s="1"/>
      <c r="D62" t="s">
        <v>337</v>
      </c>
      <c r="H62" s="1"/>
    </row>
    <row r="63" spans="1:9" ht="12.75">
      <c r="A63" s="1">
        <v>36</v>
      </c>
      <c r="B63" s="1">
        <v>1</v>
      </c>
      <c r="C63" s="1">
        <v>100</v>
      </c>
      <c r="D63" t="s">
        <v>338</v>
      </c>
      <c r="H63" s="1"/>
      <c r="I63" s="1"/>
    </row>
    <row r="64" spans="1:9" ht="12.75">
      <c r="A64" s="1">
        <v>37</v>
      </c>
      <c r="B64" s="1"/>
      <c r="C64" s="1"/>
      <c r="D64" t="s">
        <v>339</v>
      </c>
      <c r="H64" s="1"/>
      <c r="I64" s="1"/>
    </row>
    <row r="65" spans="1:9" ht="12.75">
      <c r="A65" s="1">
        <v>38</v>
      </c>
      <c r="B65" s="1"/>
      <c r="C65" s="1"/>
      <c r="D65" t="s">
        <v>340</v>
      </c>
      <c r="H65" s="1"/>
      <c r="I65" s="1"/>
    </row>
    <row r="66" spans="1:9" ht="12.75">
      <c r="A66" s="1">
        <v>39</v>
      </c>
      <c r="B66" s="1"/>
      <c r="C66" s="1"/>
      <c r="D66" t="s">
        <v>341</v>
      </c>
      <c r="H66" s="1"/>
      <c r="I66" s="1"/>
    </row>
    <row r="67" spans="1:9" ht="12.75">
      <c r="A67" s="1">
        <v>40</v>
      </c>
      <c r="B67" s="1"/>
      <c r="C67" s="1"/>
      <c r="D67" t="s">
        <v>342</v>
      </c>
    </row>
    <row r="68" spans="1:9" ht="12.75">
      <c r="A68" s="1">
        <v>41</v>
      </c>
      <c r="B68" s="1"/>
      <c r="C68" s="1"/>
      <c r="D68" t="s">
        <v>343</v>
      </c>
      <c r="H68" s="1"/>
    </row>
    <row r="69" spans="1:9" ht="12.75">
      <c r="A69" s="1">
        <v>42</v>
      </c>
      <c r="B69" s="1"/>
      <c r="C69" s="1"/>
      <c r="D69" t="s">
        <v>344</v>
      </c>
      <c r="H69" s="1"/>
    </row>
    <row r="70" spans="1:9" ht="12.75">
      <c r="A70" s="1">
        <v>43</v>
      </c>
      <c r="B70" s="1"/>
      <c r="C70" s="1"/>
      <c r="D70" t="s">
        <v>345</v>
      </c>
      <c r="H70" s="1"/>
      <c r="I70" s="1"/>
    </row>
    <row r="71" spans="1:9" ht="12.75">
      <c r="A71" s="1">
        <v>44</v>
      </c>
      <c r="B71" s="1">
        <v>1</v>
      </c>
      <c r="C71" s="1">
        <f>B71*100</f>
        <v>100</v>
      </c>
      <c r="D71" t="s">
        <v>349</v>
      </c>
      <c r="H71" s="1"/>
      <c r="I71" s="1"/>
    </row>
    <row r="72" spans="1:9" ht="12.75">
      <c r="A72" s="1">
        <v>45</v>
      </c>
      <c r="B72" s="1"/>
      <c r="C72" s="1"/>
      <c r="D72" t="s">
        <v>350</v>
      </c>
      <c r="H72" s="1"/>
      <c r="I72" s="1"/>
    </row>
    <row r="73" spans="1:9" ht="12.75">
      <c r="A73" s="1">
        <v>46</v>
      </c>
      <c r="B73" s="1"/>
      <c r="C73" s="1"/>
      <c r="D73" t="s">
        <v>351</v>
      </c>
    </row>
    <row r="74" spans="1:9" ht="12.75">
      <c r="A74" s="1">
        <v>47</v>
      </c>
      <c r="B74" s="1"/>
      <c r="C74" s="1"/>
      <c r="D74" t="s">
        <v>352</v>
      </c>
      <c r="H74" s="1"/>
    </row>
    <row r="75" spans="1:9" ht="12.75">
      <c r="A75" s="1">
        <v>48</v>
      </c>
      <c r="B75" s="1"/>
      <c r="C75" s="1"/>
      <c r="D75" t="s">
        <v>353</v>
      </c>
      <c r="H75" s="1"/>
    </row>
    <row r="76" spans="1:9" ht="12.75">
      <c r="A76" s="1">
        <v>49</v>
      </c>
      <c r="B76" s="1"/>
      <c r="C76" s="1"/>
      <c r="D76" t="s">
        <v>354</v>
      </c>
      <c r="H76" s="1"/>
      <c r="I76" s="1"/>
    </row>
    <row r="77" spans="1:9" ht="12.75">
      <c r="A77" s="1">
        <v>50</v>
      </c>
      <c r="B77" s="1">
        <v>1</v>
      </c>
      <c r="C77" s="1">
        <f>B77*100</f>
        <v>100</v>
      </c>
      <c r="D77" t="s">
        <v>355</v>
      </c>
      <c r="H77" s="1"/>
      <c r="I77" s="1"/>
    </row>
    <row r="78" spans="1:9" ht="12.75">
      <c r="A78" s="1">
        <v>51</v>
      </c>
      <c r="B78" s="1"/>
      <c r="C78" s="1"/>
      <c r="D78" t="s">
        <v>356</v>
      </c>
      <c r="H78" s="1"/>
      <c r="I78" s="1"/>
    </row>
    <row r="79" spans="1:9" ht="12.75">
      <c r="A79" s="1">
        <v>52</v>
      </c>
      <c r="B79" s="1"/>
      <c r="C79" s="1"/>
      <c r="D79" t="s">
        <v>357</v>
      </c>
    </row>
    <row r="80" spans="1:9" ht="12.75">
      <c r="A80" s="1">
        <v>53</v>
      </c>
      <c r="B80" s="1"/>
      <c r="C80" s="1"/>
      <c r="D80" t="s">
        <v>358</v>
      </c>
      <c r="H80" s="1"/>
    </row>
    <row r="81" spans="1:9" ht="12.75">
      <c r="A81" s="1">
        <v>54</v>
      </c>
      <c r="B81" s="1"/>
      <c r="C81" s="1"/>
      <c r="D81" t="s">
        <v>359</v>
      </c>
      <c r="H81" s="1"/>
    </row>
    <row r="82" spans="1:9" ht="12.75">
      <c r="A82" s="1">
        <v>55</v>
      </c>
      <c r="B82" s="1"/>
      <c r="C82" s="1"/>
      <c r="D82" t="s">
        <v>360</v>
      </c>
      <c r="H82" s="1"/>
      <c r="I82" s="1"/>
    </row>
    <row r="83" spans="1:9" ht="12.75">
      <c r="A83" s="1">
        <v>56</v>
      </c>
      <c r="B83" s="1"/>
      <c r="C83" s="1"/>
      <c r="D83" t="s">
        <v>361</v>
      </c>
      <c r="H83" s="1"/>
      <c r="I83" s="1"/>
    </row>
    <row r="84" spans="1:9" ht="12.75">
      <c r="A84" s="1">
        <v>57</v>
      </c>
      <c r="B84" s="1">
        <v>1</v>
      </c>
      <c r="C84" s="1">
        <f>B84*100</f>
        <v>100</v>
      </c>
      <c r="D84" t="s">
        <v>362</v>
      </c>
      <c r="H84" s="1"/>
      <c r="I84" s="1"/>
    </row>
    <row r="85" spans="1:9" ht="12.75">
      <c r="A85" s="1">
        <v>58</v>
      </c>
      <c r="B85" s="1"/>
      <c r="C85" s="1"/>
      <c r="D85" t="s">
        <v>363</v>
      </c>
    </row>
    <row r="86" spans="1:9" ht="12.75">
      <c r="A86" s="1">
        <v>59</v>
      </c>
      <c r="B86" s="1"/>
      <c r="C86" s="1"/>
      <c r="D86" t="s">
        <v>364</v>
      </c>
      <c r="H86" s="1"/>
    </row>
    <row r="87" spans="1:9" ht="12.75">
      <c r="A87" s="1">
        <v>60</v>
      </c>
      <c r="B87" s="1"/>
      <c r="C87" s="1"/>
      <c r="D87" t="s">
        <v>365</v>
      </c>
      <c r="H87" s="1"/>
    </row>
    <row r="88" spans="1:9" ht="12.75">
      <c r="A88" s="1">
        <v>61</v>
      </c>
      <c r="B88" s="1"/>
      <c r="C88" s="1"/>
      <c r="D88" t="s">
        <v>366</v>
      </c>
      <c r="H88" s="1"/>
      <c r="I88" s="1"/>
    </row>
    <row r="89" spans="1:9" ht="12.75">
      <c r="A89" s="1">
        <v>62</v>
      </c>
      <c r="B89" s="1"/>
      <c r="C89" s="1"/>
      <c r="D89" t="s">
        <v>367</v>
      </c>
      <c r="H89" s="1"/>
      <c r="I89" s="1"/>
    </row>
    <row r="90" spans="1:9" ht="12.75">
      <c r="A90" s="1">
        <v>63</v>
      </c>
      <c r="B90" s="1"/>
      <c r="C90" s="1"/>
      <c r="D90" t="s">
        <v>368</v>
      </c>
      <c r="H90" s="1"/>
      <c r="I90" s="1"/>
    </row>
    <row r="91" spans="1:9" ht="12.75">
      <c r="A91" s="1">
        <v>64</v>
      </c>
      <c r="B91" s="1"/>
      <c r="C91" s="1"/>
      <c r="D91" t="s">
        <v>369</v>
      </c>
    </row>
    <row r="92" spans="1:9" ht="12.75">
      <c r="A92" s="1">
        <v>65</v>
      </c>
      <c r="B92" s="1"/>
      <c r="C92" s="1"/>
      <c r="D92" t="s">
        <v>370</v>
      </c>
    </row>
    <row r="93" spans="1:9" ht="12.75">
      <c r="A93" s="1">
        <v>66</v>
      </c>
      <c r="B93" s="1"/>
      <c r="C93" s="1"/>
      <c r="D93" t="s">
        <v>371</v>
      </c>
    </row>
    <row r="94" spans="1:9" ht="12.75">
      <c r="A94" s="1">
        <v>67</v>
      </c>
      <c r="B94" s="1"/>
      <c r="C94" s="1"/>
      <c r="D94" t="s">
        <v>372</v>
      </c>
    </row>
    <row r="95" spans="1:9" ht="12.75">
      <c r="A95" s="1">
        <v>68</v>
      </c>
      <c r="B95" s="1"/>
      <c r="C95" s="1"/>
      <c r="D95" t="s">
        <v>373</v>
      </c>
    </row>
    <row r="96" spans="1:9" ht="12.75">
      <c r="A96" s="1">
        <v>69</v>
      </c>
      <c r="B96" s="1"/>
      <c r="C96" s="1"/>
      <c r="D96" t="s">
        <v>374</v>
      </c>
    </row>
    <row r="97" spans="1:10" ht="12.75">
      <c r="A97" s="1">
        <v>70</v>
      </c>
      <c r="B97" s="1"/>
      <c r="C97" s="1"/>
      <c r="D97" t="s">
        <v>375</v>
      </c>
    </row>
    <row r="98" spans="1:10" ht="12.75">
      <c r="A98" s="1">
        <v>71</v>
      </c>
      <c r="B98" s="1"/>
      <c r="C98" s="1"/>
      <c r="D98" t="s">
        <v>376</v>
      </c>
    </row>
    <row r="99" spans="1:10" ht="12.75">
      <c r="A99" s="1">
        <v>72</v>
      </c>
      <c r="B99" s="1">
        <v>1</v>
      </c>
      <c r="C99" s="1">
        <f>B99*100</f>
        <v>100</v>
      </c>
      <c r="D99" t="s">
        <v>377</v>
      </c>
    </row>
    <row r="100" spans="1:10" ht="12.75">
      <c r="A100" s="1">
        <v>73</v>
      </c>
      <c r="B100" s="1"/>
      <c r="C100" s="1"/>
      <c r="D100" t="s">
        <v>378</v>
      </c>
      <c r="G100" s="1"/>
      <c r="J100" s="1"/>
    </row>
    <row r="101" spans="1:10" ht="12.75">
      <c r="A101" s="1">
        <v>74</v>
      </c>
      <c r="B101" s="1"/>
      <c r="C101" s="1"/>
      <c r="D101" t="s">
        <v>379</v>
      </c>
      <c r="G101" s="1"/>
      <c r="J101" s="1"/>
    </row>
    <row r="102" spans="1:10" ht="12.75">
      <c r="A102" s="1">
        <v>75</v>
      </c>
      <c r="B102" s="1"/>
      <c r="C102" s="1"/>
      <c r="D102" t="s">
        <v>380</v>
      </c>
      <c r="G102" s="1"/>
      <c r="J102" s="1"/>
    </row>
    <row r="103" spans="1:10" ht="12.75">
      <c r="A103" s="1">
        <v>76</v>
      </c>
      <c r="B103" s="1"/>
      <c r="C103" s="1"/>
      <c r="D103" t="s">
        <v>381</v>
      </c>
      <c r="G103" s="1"/>
      <c r="J103" s="1"/>
    </row>
    <row r="104" spans="1:10" ht="12.75">
      <c r="A104" s="1">
        <v>77</v>
      </c>
      <c r="B104" s="1">
        <v>1</v>
      </c>
      <c r="C104" s="1">
        <f>B104*100</f>
        <v>100</v>
      </c>
      <c r="D104" t="s">
        <v>382</v>
      </c>
      <c r="G104" s="1"/>
      <c r="J104" s="1"/>
    </row>
    <row r="105" spans="1:10" ht="12.75">
      <c r="A105" s="1">
        <v>78</v>
      </c>
      <c r="B105" s="1">
        <v>2</v>
      </c>
      <c r="C105" s="1">
        <v>200</v>
      </c>
      <c r="D105" t="s">
        <v>383</v>
      </c>
      <c r="G105" s="1"/>
      <c r="J105" s="1"/>
    </row>
    <row r="106" spans="1:10" ht="12.75">
      <c r="A106" s="1">
        <v>79</v>
      </c>
      <c r="B106" s="1"/>
      <c r="C106" s="1"/>
      <c r="D106" t="s">
        <v>384</v>
      </c>
      <c r="G106" s="1"/>
      <c r="J106" s="1"/>
    </row>
    <row r="107" spans="1:10" ht="12.75">
      <c r="A107" s="1">
        <v>80</v>
      </c>
      <c r="B107" s="1"/>
      <c r="C107" s="1"/>
      <c r="D107" t="s">
        <v>385</v>
      </c>
      <c r="G107" s="1"/>
      <c r="J107" s="1"/>
    </row>
    <row r="108" spans="1:10" ht="12.75">
      <c r="A108" s="1">
        <v>81</v>
      </c>
      <c r="B108" s="1">
        <v>1</v>
      </c>
      <c r="C108" s="1">
        <f>B108*100</f>
        <v>100</v>
      </c>
      <c r="D108" t="s">
        <v>386</v>
      </c>
      <c r="F108" s="1"/>
      <c r="G108" s="1"/>
      <c r="J108" s="1"/>
    </row>
    <row r="109" spans="1:10" ht="12.75">
      <c r="A109" s="1">
        <v>82</v>
      </c>
      <c r="B109" s="1"/>
      <c r="C109" s="1"/>
      <c r="D109" t="s">
        <v>387</v>
      </c>
      <c r="F109" s="1"/>
      <c r="G109" s="1"/>
      <c r="J109" s="1"/>
    </row>
    <row r="110" spans="1:10" ht="12.75">
      <c r="A110" s="1">
        <v>83</v>
      </c>
      <c r="B110" s="1"/>
      <c r="C110" s="1"/>
      <c r="D110" t="s">
        <v>388</v>
      </c>
      <c r="F110" s="1"/>
      <c r="G110" s="1"/>
      <c r="J110" s="1"/>
    </row>
    <row r="111" spans="1:10" ht="12.75">
      <c r="A111" s="1">
        <v>84</v>
      </c>
      <c r="B111" s="1">
        <v>2</v>
      </c>
      <c r="C111" s="1">
        <f>B111*100</f>
        <v>200</v>
      </c>
      <c r="D111" t="s">
        <v>389</v>
      </c>
      <c r="F111" s="1"/>
      <c r="G111" s="1"/>
      <c r="J111" s="1"/>
    </row>
    <row r="112" spans="1:10" ht="12.75">
      <c r="A112" s="1">
        <v>85</v>
      </c>
      <c r="B112" s="1"/>
      <c r="C112" s="1"/>
      <c r="D112" t="s">
        <v>390</v>
      </c>
      <c r="F112" s="1"/>
      <c r="G112" s="1"/>
      <c r="J112" s="1"/>
    </row>
    <row r="113" spans="1:16" ht="12.75">
      <c r="A113" s="1">
        <v>86</v>
      </c>
      <c r="B113" s="1"/>
      <c r="C113" s="1"/>
      <c r="D113" t="s">
        <v>391</v>
      </c>
      <c r="F113" s="1"/>
      <c r="G113" s="1"/>
      <c r="J113" s="1"/>
    </row>
    <row r="114" spans="1:16" ht="12.75">
      <c r="A114" s="1">
        <v>87</v>
      </c>
      <c r="B114" s="1"/>
      <c r="C114" s="1"/>
      <c r="D114" t="s">
        <v>392</v>
      </c>
      <c r="F114" s="1"/>
      <c r="G114" s="1"/>
      <c r="J114" s="1"/>
    </row>
    <row r="115" spans="1:16" ht="12.75">
      <c r="A115" s="1">
        <v>88</v>
      </c>
      <c r="B115" s="1"/>
      <c r="C115" s="1"/>
      <c r="D115" t="s">
        <v>393</v>
      </c>
      <c r="G115" s="1"/>
      <c r="J115" s="1"/>
    </row>
    <row r="116" spans="1:16" ht="12.75">
      <c r="A116" s="1">
        <v>89</v>
      </c>
      <c r="B116" s="1">
        <v>1</v>
      </c>
      <c r="C116" s="1">
        <f>B116*100</f>
        <v>100</v>
      </c>
      <c r="D116" t="s">
        <v>394</v>
      </c>
      <c r="G116" s="1"/>
      <c r="J116" s="1"/>
    </row>
    <row r="117" spans="1:16" ht="12.75">
      <c r="A117" s="1">
        <v>90</v>
      </c>
      <c r="B117" s="1"/>
      <c r="C117" s="1"/>
      <c r="D117" t="s">
        <v>395</v>
      </c>
      <c r="G117" s="1"/>
      <c r="J117" s="1"/>
    </row>
    <row r="118" spans="1:16" ht="12.75">
      <c r="A118" s="1">
        <v>91</v>
      </c>
      <c r="B118" s="1"/>
      <c r="C118" s="1"/>
      <c r="D118" t="s">
        <v>396</v>
      </c>
      <c r="G118" s="1"/>
      <c r="J118" s="1"/>
    </row>
    <row r="119" spans="1:16" ht="12.75">
      <c r="A119" s="1">
        <v>92</v>
      </c>
      <c r="B119" s="1"/>
      <c r="C119" s="1"/>
      <c r="D119" t="s">
        <v>397</v>
      </c>
      <c r="G119" s="1"/>
      <c r="J119" s="1"/>
    </row>
    <row r="120" spans="1:16" ht="12.75">
      <c r="A120" s="1">
        <v>93</v>
      </c>
      <c r="B120" s="1"/>
      <c r="C120" s="1"/>
      <c r="D120" t="s">
        <v>398</v>
      </c>
      <c r="G120" s="1"/>
      <c r="J120" s="1"/>
    </row>
    <row r="121" spans="1:16" ht="12.75">
      <c r="A121" s="1">
        <v>94</v>
      </c>
      <c r="B121" s="1"/>
      <c r="C121" s="1"/>
      <c r="D121" t="s">
        <v>399</v>
      </c>
      <c r="G121" s="1"/>
      <c r="J121" s="1"/>
    </row>
    <row r="122" spans="1:16" ht="12.75">
      <c r="A122" s="1">
        <v>95</v>
      </c>
      <c r="B122" s="1"/>
      <c r="C122" s="1"/>
      <c r="D122" t="s">
        <v>400</v>
      </c>
      <c r="G122" s="1"/>
      <c r="J122" s="1"/>
    </row>
    <row r="123" spans="1:16" ht="12.75">
      <c r="A123" s="1">
        <v>96</v>
      </c>
      <c r="B123" s="1"/>
      <c r="C123" s="1"/>
      <c r="D123" t="s">
        <v>401</v>
      </c>
      <c r="G123" s="1"/>
      <c r="J123" s="1"/>
      <c r="O123" s="1"/>
    </row>
    <row r="124" spans="1:16" ht="12.75">
      <c r="A124" s="1"/>
      <c r="C124">
        <f>SUM(C28:C123)</f>
        <v>1600</v>
      </c>
      <c r="E124" s="1" t="s">
        <v>271</v>
      </c>
      <c r="F124">
        <f>C124*2.2/100</f>
        <v>35.200000000000003</v>
      </c>
    </row>
    <row r="125" spans="1:16" ht="12.75">
      <c r="A125" s="1" t="s">
        <v>403</v>
      </c>
      <c r="F125" s="1" t="s">
        <v>404</v>
      </c>
    </row>
    <row r="126" spans="1:16" ht="12.75">
      <c r="A126" s="1" t="s">
        <v>120</v>
      </c>
      <c r="B126" t="s">
        <v>78</v>
      </c>
      <c r="E126" s="1"/>
      <c r="F126" s="1" t="s">
        <v>167</v>
      </c>
      <c r="J126" s="1" t="s">
        <v>213</v>
      </c>
      <c r="K126" t="s">
        <v>360</v>
      </c>
      <c r="N126" s="1"/>
      <c r="O126" s="1"/>
      <c r="P126" s="1"/>
    </row>
    <row r="127" spans="1:16" ht="17.25">
      <c r="A127" s="1" t="s">
        <v>121</v>
      </c>
      <c r="B127" s="4" t="s">
        <v>405</v>
      </c>
      <c r="C127" s="1" t="s">
        <v>406</v>
      </c>
      <c r="E127" s="1"/>
      <c r="F127" s="1" t="s">
        <v>170</v>
      </c>
      <c r="G127" s="4" t="s">
        <v>408</v>
      </c>
      <c r="H127" s="1" t="s">
        <v>406</v>
      </c>
      <c r="J127" s="1" t="s">
        <v>131</v>
      </c>
      <c r="K127" s="4" t="s">
        <v>408</v>
      </c>
      <c r="L127" s="1" t="s">
        <v>406</v>
      </c>
      <c r="M127" s="1"/>
      <c r="N127" s="1"/>
      <c r="O127" s="1"/>
      <c r="P127" s="1"/>
    </row>
    <row r="128" spans="1:16" ht="12.75">
      <c r="A128" s="1" t="s">
        <v>123</v>
      </c>
      <c r="B128" s="1">
        <v>462</v>
      </c>
      <c r="C128" t="s">
        <v>78</v>
      </c>
      <c r="F128" s="1" t="s">
        <v>172</v>
      </c>
      <c r="G128" s="1">
        <v>85</v>
      </c>
      <c r="H128" t="s">
        <v>294</v>
      </c>
      <c r="J128" s="1" t="s">
        <v>219</v>
      </c>
      <c r="K128" s="1">
        <v>90</v>
      </c>
      <c r="L128" t="s">
        <v>357</v>
      </c>
    </row>
    <row r="129" spans="1:16" ht="12.75">
      <c r="A129" s="1" t="s">
        <v>129</v>
      </c>
      <c r="B129" s="1">
        <v>382</v>
      </c>
      <c r="C129" t="s">
        <v>216</v>
      </c>
      <c r="E129" s="1"/>
      <c r="F129" s="1" t="s">
        <v>176</v>
      </c>
      <c r="G129" s="1">
        <v>84</v>
      </c>
      <c r="H129" t="s">
        <v>322</v>
      </c>
      <c r="J129" s="1" t="s">
        <v>226</v>
      </c>
      <c r="K129" s="1">
        <v>132</v>
      </c>
      <c r="L129" t="s">
        <v>360</v>
      </c>
      <c r="N129" s="1"/>
      <c r="O129" s="1"/>
      <c r="P129" s="1"/>
    </row>
    <row r="130" spans="1:16" ht="12.75">
      <c r="A130" s="1" t="s">
        <v>136</v>
      </c>
      <c r="B130" s="1">
        <v>156</v>
      </c>
      <c r="C130" t="s">
        <v>225</v>
      </c>
      <c r="D130" s="1"/>
      <c r="E130" s="1"/>
      <c r="F130" s="1" t="s">
        <v>185</v>
      </c>
      <c r="G130" s="1">
        <v>10</v>
      </c>
      <c r="H130" t="s">
        <v>351</v>
      </c>
      <c r="J130" s="1" t="s">
        <v>155</v>
      </c>
      <c r="K130" s="1">
        <v>128</v>
      </c>
      <c r="L130" t="s">
        <v>370</v>
      </c>
      <c r="N130" s="1"/>
      <c r="O130" s="1"/>
      <c r="P130" s="1"/>
    </row>
    <row r="131" spans="1:16" ht="12.75">
      <c r="A131" s="1"/>
      <c r="B131" s="1">
        <f>SUM(B128:B130)</f>
        <v>1000</v>
      </c>
      <c r="D131" s="1"/>
      <c r="F131" s="1" t="s">
        <v>194</v>
      </c>
      <c r="G131" s="1">
        <v>71</v>
      </c>
      <c r="H131" t="s">
        <v>359</v>
      </c>
      <c r="J131" s="1"/>
      <c r="K131" s="1">
        <f>SUM(K128:K130)</f>
        <v>350</v>
      </c>
    </row>
    <row r="132" spans="1:16" ht="12.75">
      <c r="E132" s="1"/>
      <c r="G132">
        <f>SUM(G128:G131)</f>
        <v>250</v>
      </c>
      <c r="J132" s="1" t="s">
        <v>251</v>
      </c>
      <c r="K132" t="s">
        <v>375</v>
      </c>
      <c r="N132" s="1"/>
      <c r="O132" s="1"/>
      <c r="P132" s="1"/>
    </row>
    <row r="133" spans="1:16" ht="17.25">
      <c r="A133" s="1" t="s">
        <v>119</v>
      </c>
      <c r="B133" t="s">
        <v>212</v>
      </c>
      <c r="D133" s="1"/>
      <c r="E133" s="1"/>
      <c r="F133" s="1" t="s">
        <v>128</v>
      </c>
      <c r="G133" t="s">
        <v>298</v>
      </c>
      <c r="J133" s="1" t="s">
        <v>170</v>
      </c>
      <c r="K133" s="4" t="s">
        <v>408</v>
      </c>
      <c r="L133" s="1" t="s">
        <v>406</v>
      </c>
      <c r="N133" s="1"/>
      <c r="O133" s="1"/>
      <c r="P133" s="1"/>
    </row>
    <row r="134" spans="1:16" ht="17.25">
      <c r="A134" s="1" t="s">
        <v>121</v>
      </c>
      <c r="B134" s="4" t="s">
        <v>405</v>
      </c>
      <c r="C134" s="1" t="s">
        <v>406</v>
      </c>
      <c r="D134" s="1"/>
      <c r="F134" s="1" t="s">
        <v>409</v>
      </c>
      <c r="G134" s="4" t="s">
        <v>408</v>
      </c>
      <c r="H134" s="1" t="s">
        <v>406</v>
      </c>
      <c r="J134" s="1" t="s">
        <v>250</v>
      </c>
      <c r="K134" s="1">
        <v>124</v>
      </c>
      <c r="L134" t="s">
        <v>375</v>
      </c>
    </row>
    <row r="135" spans="1:16" ht="12.75">
      <c r="A135" s="1" t="s">
        <v>156</v>
      </c>
      <c r="B135" s="1">
        <v>96</v>
      </c>
      <c r="C135" t="s">
        <v>82</v>
      </c>
      <c r="E135" s="1"/>
      <c r="F135" s="1" t="s">
        <v>146</v>
      </c>
      <c r="G135" s="1">
        <v>900</v>
      </c>
      <c r="H135" t="s">
        <v>298</v>
      </c>
      <c r="J135" s="1" t="s">
        <v>259</v>
      </c>
      <c r="K135" s="1">
        <v>10</v>
      </c>
      <c r="L135" t="s">
        <v>386</v>
      </c>
      <c r="N135" s="1"/>
      <c r="O135" s="1"/>
      <c r="P135" s="1"/>
    </row>
    <row r="136" spans="1:16" ht="12.75">
      <c r="A136" s="1" t="s">
        <v>122</v>
      </c>
      <c r="B136" s="1">
        <v>904</v>
      </c>
      <c r="C136" t="s">
        <v>212</v>
      </c>
      <c r="D136" s="1"/>
      <c r="E136" s="1"/>
      <c r="F136" s="1"/>
      <c r="G136" s="1">
        <f>G135</f>
        <v>900</v>
      </c>
      <c r="J136" s="1" t="s">
        <v>292</v>
      </c>
      <c r="K136" s="1">
        <v>116</v>
      </c>
      <c r="L136" t="s">
        <v>393</v>
      </c>
      <c r="N136" s="1"/>
      <c r="O136" s="1"/>
      <c r="P136" s="1"/>
    </row>
    <row r="137" spans="1:16" ht="12.75">
      <c r="A137" s="1"/>
      <c r="B137">
        <f>SUM(B135:B136)</f>
        <v>1000</v>
      </c>
      <c r="D137" s="1"/>
      <c r="F137" s="1" t="s">
        <v>154</v>
      </c>
      <c r="G137" t="s">
        <v>319</v>
      </c>
      <c r="K137">
        <f>SUM(K134:K136)</f>
        <v>250</v>
      </c>
    </row>
    <row r="138" spans="1:16" ht="17.25">
      <c r="A138" s="1"/>
      <c r="E138" s="1"/>
      <c r="F138" s="1" t="s">
        <v>131</v>
      </c>
      <c r="G138" s="4" t="s">
        <v>408</v>
      </c>
      <c r="H138" s="1" t="s">
        <v>406</v>
      </c>
      <c r="J138" s="1" t="s">
        <v>206</v>
      </c>
      <c r="K138" t="s">
        <v>394</v>
      </c>
      <c r="N138" s="1"/>
      <c r="O138" s="1"/>
      <c r="P138" s="1"/>
    </row>
    <row r="139" spans="1:16" ht="17.25">
      <c r="A139" s="1"/>
      <c r="D139" s="1"/>
      <c r="E139" s="1"/>
      <c r="F139" s="1" t="s">
        <v>160</v>
      </c>
      <c r="G139" s="1">
        <v>350</v>
      </c>
      <c r="H139" t="s">
        <v>319</v>
      </c>
      <c r="J139" s="1" t="s">
        <v>141</v>
      </c>
      <c r="K139" s="4" t="s">
        <v>408</v>
      </c>
      <c r="L139" s="1" t="s">
        <v>406</v>
      </c>
      <c r="N139" s="1"/>
      <c r="O139" s="1"/>
      <c r="P139" s="1"/>
    </row>
    <row r="140" spans="1:16" ht="12.75">
      <c r="A140" s="1"/>
      <c r="F140" s="1"/>
      <c r="G140" s="1">
        <f>G139</f>
        <v>350</v>
      </c>
      <c r="J140" s="1" t="s">
        <v>160</v>
      </c>
      <c r="K140" s="1">
        <v>39</v>
      </c>
      <c r="L140" t="s">
        <v>319</v>
      </c>
    </row>
    <row r="141" spans="1:16" ht="12.75">
      <c r="A141" s="1"/>
      <c r="E141" s="1"/>
      <c r="F141" s="1" t="s">
        <v>171</v>
      </c>
      <c r="G141" t="s">
        <v>335</v>
      </c>
      <c r="J141" s="1" t="s">
        <v>207</v>
      </c>
      <c r="K141" s="1">
        <v>511</v>
      </c>
      <c r="L141" t="s">
        <v>394</v>
      </c>
      <c r="N141" s="1"/>
      <c r="O141" s="1"/>
      <c r="P141" s="1"/>
    </row>
    <row r="142" spans="1:16" ht="17.25">
      <c r="E142" s="1"/>
      <c r="F142" s="1" t="s">
        <v>170</v>
      </c>
      <c r="G142" s="4" t="s">
        <v>408</v>
      </c>
      <c r="H142" s="1" t="s">
        <v>406</v>
      </c>
      <c r="K142" s="1">
        <f>SUM(K140:K141)</f>
        <v>550</v>
      </c>
      <c r="N142" s="1"/>
      <c r="O142" s="1"/>
      <c r="P142" s="1"/>
    </row>
    <row r="143" spans="1:16" ht="12.75">
      <c r="A143" s="1"/>
      <c r="F143" s="1" t="s">
        <v>176</v>
      </c>
      <c r="G143" s="1">
        <v>10</v>
      </c>
      <c r="H143" t="s">
        <v>322</v>
      </c>
      <c r="J143" s="1"/>
    </row>
    <row r="144" spans="1:16" ht="17.25">
      <c r="A144" s="1"/>
      <c r="E144" s="1"/>
      <c r="F144" s="1" t="s">
        <v>183</v>
      </c>
      <c r="G144" s="1">
        <v>127</v>
      </c>
      <c r="H144" t="s">
        <v>335</v>
      </c>
      <c r="J144" s="1"/>
      <c r="K144" s="4"/>
      <c r="L144" s="1"/>
      <c r="N144" s="1"/>
      <c r="O144" s="1"/>
      <c r="P144" s="1"/>
    </row>
    <row r="145" spans="1:16" ht="12.75">
      <c r="E145" s="1"/>
      <c r="F145" s="1" t="s">
        <v>192</v>
      </c>
      <c r="G145" s="1">
        <v>113</v>
      </c>
      <c r="H145" t="s">
        <v>396</v>
      </c>
      <c r="J145" s="1"/>
      <c r="K145" s="1"/>
      <c r="N145" s="1"/>
      <c r="O145" s="1"/>
      <c r="P145" s="1"/>
    </row>
    <row r="146" spans="1:16" ht="12.75">
      <c r="A146" s="1"/>
      <c r="D146" s="1"/>
      <c r="E146" s="1"/>
      <c r="G146">
        <f>SUM(G143:G145)</f>
        <v>250</v>
      </c>
      <c r="J146" s="1"/>
      <c r="K146" s="1"/>
    </row>
    <row r="147" spans="1:16" ht="12.75">
      <c r="A147" s="1"/>
      <c r="F147" s="1" t="s">
        <v>184</v>
      </c>
      <c r="J147" s="1"/>
      <c r="N147" s="1"/>
      <c r="O147" s="1"/>
      <c r="P147" s="1"/>
    </row>
    <row r="148" spans="1:16" ht="17.25">
      <c r="D148" s="1"/>
      <c r="E148" s="1"/>
      <c r="F148" s="1" t="s">
        <v>131</v>
      </c>
      <c r="G148" s="4" t="s">
        <v>408</v>
      </c>
      <c r="H148" s="1" t="s">
        <v>406</v>
      </c>
      <c r="N148" s="1"/>
      <c r="O148" s="1"/>
      <c r="P148" s="1"/>
    </row>
    <row r="149" spans="1:16" ht="12.75">
      <c r="A149" s="1"/>
      <c r="D149" s="1"/>
      <c r="E149" s="1"/>
      <c r="F149" s="1" t="s">
        <v>193</v>
      </c>
      <c r="G149" s="1">
        <v>16</v>
      </c>
      <c r="H149" t="s">
        <v>297</v>
      </c>
    </row>
    <row r="150" spans="1:16" ht="12.75">
      <c r="A150" s="1"/>
      <c r="F150" s="1" t="s">
        <v>160</v>
      </c>
      <c r="G150" s="1">
        <v>76</v>
      </c>
      <c r="H150" t="s">
        <v>319</v>
      </c>
      <c r="K150" s="1"/>
      <c r="N150" s="1"/>
      <c r="O150" s="1"/>
      <c r="P150" s="1"/>
    </row>
    <row r="151" spans="1:16" ht="12.75">
      <c r="B151" s="1"/>
      <c r="E151" s="1"/>
      <c r="F151" s="1" t="s">
        <v>165</v>
      </c>
      <c r="G151" s="1">
        <v>258</v>
      </c>
      <c r="H151" t="s">
        <v>352</v>
      </c>
      <c r="N151" s="1"/>
      <c r="O151" s="1"/>
      <c r="P151" s="1"/>
    </row>
    <row r="152" spans="1:16" ht="12.75">
      <c r="A152" s="1"/>
      <c r="B152" s="1"/>
      <c r="E152" s="1"/>
      <c r="F152" s="1"/>
      <c r="G152" s="1">
        <f>SUM(G149:G151)</f>
        <v>350</v>
      </c>
    </row>
    <row r="153" spans="1:16" ht="12.75">
      <c r="A153" s="1"/>
      <c r="F153" s="1" t="s">
        <v>191</v>
      </c>
      <c r="G153" t="s">
        <v>358</v>
      </c>
      <c r="J153" s="1"/>
      <c r="N153" s="1"/>
      <c r="O153" s="1"/>
      <c r="P153" s="1"/>
    </row>
    <row r="154" spans="1:16" ht="17.25">
      <c r="B154" s="1"/>
      <c r="F154" s="1" t="s">
        <v>131</v>
      </c>
      <c r="G154" s="4" t="s">
        <v>408</v>
      </c>
      <c r="H154" s="1" t="s">
        <v>406</v>
      </c>
      <c r="J154" s="1"/>
      <c r="N154" s="1"/>
      <c r="O154" s="1"/>
      <c r="P154" s="1"/>
    </row>
    <row r="155" spans="1:16" ht="12.75">
      <c r="A155" s="1"/>
      <c r="B155" s="1"/>
      <c r="F155" s="1" t="s">
        <v>201</v>
      </c>
      <c r="G155" s="1">
        <v>271</v>
      </c>
      <c r="H155" t="s">
        <v>358</v>
      </c>
      <c r="J155" s="1"/>
    </row>
    <row r="156" spans="1:16" ht="12.75">
      <c r="A156" s="1"/>
      <c r="F156" s="1" t="s">
        <v>194</v>
      </c>
      <c r="G156" s="1">
        <v>79</v>
      </c>
      <c r="H156" t="s">
        <v>359</v>
      </c>
      <c r="J156" s="1"/>
      <c r="N156" s="1"/>
      <c r="P156" s="1"/>
    </row>
    <row r="157" spans="1:16" ht="12.75">
      <c r="B157" s="1"/>
      <c r="F157" s="1"/>
      <c r="G157">
        <f>SUM(G155:G156)</f>
        <v>350</v>
      </c>
      <c r="J157" s="1"/>
      <c r="N157" s="1"/>
      <c r="P157" s="1"/>
    </row>
    <row r="158" spans="1:16" ht="12.75">
      <c r="A158" s="1"/>
      <c r="B158" s="1"/>
      <c r="J158" s="1"/>
    </row>
    <row r="159" spans="1:16" ht="12.75">
      <c r="A159" s="1"/>
      <c r="F159" s="1" t="s">
        <v>402</v>
      </c>
      <c r="G159">
        <f>SUM(G136,G140,G146,G152,G157,K137,K142)</f>
        <v>3000</v>
      </c>
      <c r="J159" s="1"/>
    </row>
    <row r="160" spans="1:16" ht="12.75">
      <c r="B160" s="1"/>
      <c r="J160" s="1"/>
    </row>
    <row r="161" spans="1:10" ht="12.75">
      <c r="A161" s="1"/>
      <c r="B161" s="1"/>
      <c r="J161" s="1"/>
    </row>
    <row r="162" spans="1:10" ht="12.75">
      <c r="A162" s="1"/>
      <c r="J162" s="1"/>
    </row>
    <row r="163" spans="1:10" ht="12.75">
      <c r="B163" s="1"/>
      <c r="J163" s="1"/>
    </row>
    <row r="164" spans="1:10" ht="12.75">
      <c r="B164" s="1"/>
      <c r="G164" s="1"/>
      <c r="I164" s="1"/>
      <c r="J164" s="1"/>
    </row>
    <row r="165" spans="1:10" ht="12.75">
      <c r="G165" s="1"/>
      <c r="J165" s="1"/>
    </row>
    <row r="166" spans="1:10" ht="12.75">
      <c r="B166" s="1"/>
      <c r="G166" s="1"/>
      <c r="J166" s="1"/>
    </row>
    <row r="167" spans="1:10" ht="12.75">
      <c r="B167" s="1"/>
      <c r="G167" s="1"/>
      <c r="J167" s="1"/>
    </row>
    <row r="168" spans="1:10" ht="12.75">
      <c r="G168" s="1"/>
      <c r="J168" s="1"/>
    </row>
    <row r="169" spans="1:10" ht="12.75">
      <c r="B169" s="1"/>
      <c r="G169" s="1"/>
      <c r="I169" s="1"/>
      <c r="J169" s="1"/>
    </row>
    <row r="170" spans="1:10" ht="12.75">
      <c r="B170" s="1"/>
      <c r="G170" s="1"/>
      <c r="I170" s="1"/>
      <c r="J170" s="1"/>
    </row>
    <row r="171" spans="1:10" ht="12.75">
      <c r="G171" s="1"/>
      <c r="J171" s="1"/>
    </row>
    <row r="172" spans="1:10" ht="12.75">
      <c r="B172" s="1"/>
      <c r="G172" s="1"/>
      <c r="I172" s="1"/>
      <c r="J172" s="1"/>
    </row>
    <row r="173" spans="1:10" ht="12.75">
      <c r="B173" s="1"/>
      <c r="G173" s="1"/>
      <c r="I173" s="1"/>
      <c r="J173" s="1"/>
    </row>
    <row r="174" spans="1:10" ht="12.75">
      <c r="G174" s="1"/>
      <c r="I174" s="1"/>
      <c r="J174" s="1"/>
    </row>
    <row r="175" spans="1:10" ht="12.75">
      <c r="B175" s="1"/>
      <c r="G175" s="1"/>
      <c r="J175" s="1"/>
    </row>
    <row r="176" spans="1:10" ht="12.75">
      <c r="B176" s="1"/>
      <c r="G176" s="1"/>
      <c r="J176" s="1"/>
    </row>
    <row r="177" spans="2:10" ht="12.75">
      <c r="G177" s="1"/>
      <c r="J177" s="1"/>
    </row>
    <row r="178" spans="2:10" ht="12.75">
      <c r="B178" s="1"/>
      <c r="G178" s="1"/>
      <c r="J178" s="1"/>
    </row>
    <row r="179" spans="2:10" ht="12.75">
      <c r="B179" s="1"/>
      <c r="G179" s="1"/>
      <c r="J179" s="1"/>
    </row>
    <row r="180" spans="2:10" ht="12.75">
      <c r="G180" s="1"/>
      <c r="J180" s="1"/>
    </row>
    <row r="181" spans="2:10" ht="12.75">
      <c r="B181" s="1"/>
      <c r="G181" s="1"/>
      <c r="J181" s="1"/>
    </row>
    <row r="182" spans="2:10" ht="12.75">
      <c r="B182" s="1"/>
      <c r="G182" s="1"/>
      <c r="I182" s="1"/>
      <c r="J182" s="1"/>
    </row>
    <row r="183" spans="2:10" ht="12.75">
      <c r="G183" s="1"/>
      <c r="J183" s="1"/>
    </row>
    <row r="184" spans="2:10" ht="12.75">
      <c r="B184" s="1"/>
      <c r="C184" s="1"/>
      <c r="G184" s="1"/>
      <c r="I184" s="1"/>
      <c r="J184" s="1"/>
    </row>
    <row r="185" spans="2:10" ht="12.75">
      <c r="B185" s="1"/>
      <c r="G185" s="1"/>
      <c r="J185" s="1"/>
    </row>
    <row r="186" spans="2:10" ht="12.75">
      <c r="G186" s="1"/>
      <c r="J186" s="1"/>
    </row>
    <row r="187" spans="2:10" ht="12.75">
      <c r="B187" s="1"/>
    </row>
    <row r="188" spans="2:10" ht="12.75">
      <c r="B188" s="1"/>
      <c r="I188" s="1"/>
    </row>
    <row r="190" spans="2:10" ht="12.75">
      <c r="B190" s="1"/>
    </row>
    <row r="191" spans="2:10" ht="12.75">
      <c r="B191" s="1"/>
    </row>
    <row r="192" spans="2:10" ht="12.75">
      <c r="I192" s="1"/>
    </row>
    <row r="193" spans="2:9" ht="12.75">
      <c r="B193" s="1"/>
      <c r="I193" s="1"/>
    </row>
    <row r="194" spans="2:9" ht="12.75">
      <c r="B194" s="1"/>
    </row>
    <row r="195" spans="2:9" ht="12.75">
      <c r="I195" s="1"/>
    </row>
    <row r="196" spans="2:9" ht="12.75">
      <c r="B196" s="1"/>
    </row>
    <row r="197" spans="2:9" ht="12.75">
      <c r="B197" s="1"/>
    </row>
    <row r="198" spans="2:9" ht="12.75">
      <c r="B198" s="1"/>
    </row>
    <row r="199" spans="2:9" ht="12.75">
      <c r="B199" s="1"/>
    </row>
    <row r="200" spans="2:9" ht="12.75">
      <c r="B200" s="1"/>
    </row>
    <row r="201" spans="2:9" ht="12.75">
      <c r="I201" s="1"/>
    </row>
    <row r="205" spans="2:9" ht="12.75">
      <c r="I205" s="1"/>
    </row>
    <row r="207" spans="2:9" ht="12.75">
      <c r="I207" s="1"/>
    </row>
    <row r="210" spans="9:9" ht="12.75">
      <c r="I210" s="1"/>
    </row>
    <row r="211" spans="9:9" ht="12.75">
      <c r="I211" s="1"/>
    </row>
    <row r="213" spans="9:9" ht="12.75">
      <c r="I213" s="1"/>
    </row>
    <row r="215" spans="9:9" ht="12.75">
      <c r="I215" s="1"/>
    </row>
    <row r="216" spans="9:9" ht="12.75">
      <c r="I216" s="1"/>
    </row>
    <row r="219" spans="9:9" ht="12.75">
      <c r="I219" s="1"/>
    </row>
    <row r="222" spans="9:9" ht="12.75">
      <c r="I222" s="1"/>
    </row>
    <row r="226" spans="9:9" ht="12.75">
      <c r="I226" s="1"/>
    </row>
    <row r="227" spans="9:9" ht="12.75">
      <c r="I227" s="1"/>
    </row>
    <row r="228" spans="9:9" ht="12.75">
      <c r="I228" s="1"/>
    </row>
    <row r="234" spans="9:9" ht="12.75">
      <c r="I234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70"/>
  <sheetViews>
    <sheetView workbookViewId="0"/>
  </sheetViews>
  <sheetFormatPr defaultColWidth="14.42578125" defaultRowHeight="15.75" customHeight="1"/>
  <sheetData>
    <row r="1" spans="1:4" ht="15.75" customHeight="1">
      <c r="A1" s="1" t="s">
        <v>410</v>
      </c>
      <c r="C1" s="1" t="s">
        <v>411</v>
      </c>
      <c r="D1" s="1" t="s">
        <v>412</v>
      </c>
    </row>
    <row r="2" spans="1:4" ht="15.75" customHeight="1">
      <c r="A2" s="1" t="s">
        <v>413</v>
      </c>
      <c r="C2" s="1" t="s">
        <v>411</v>
      </c>
      <c r="D2" s="1" t="s">
        <v>414</v>
      </c>
    </row>
    <row r="3" spans="1:4" ht="15.75" customHeight="1">
      <c r="A3" s="1" t="s">
        <v>415</v>
      </c>
      <c r="C3" s="1" t="s">
        <v>411</v>
      </c>
      <c r="D3" s="1" t="s">
        <v>416</v>
      </c>
    </row>
    <row r="4" spans="1:4" ht="15.75" customHeight="1">
      <c r="A4" s="1" t="s">
        <v>417</v>
      </c>
      <c r="C4" s="1" t="s">
        <v>411</v>
      </c>
      <c r="D4" s="1" t="s">
        <v>418</v>
      </c>
    </row>
    <row r="6" spans="1:4" ht="15.75" customHeight="1">
      <c r="A6" s="1" t="s">
        <v>419</v>
      </c>
      <c r="C6" s="1" t="s">
        <v>411</v>
      </c>
      <c r="D6" s="1" t="s">
        <v>420</v>
      </c>
    </row>
    <row r="7" spans="1:4" ht="15.75" customHeight="1">
      <c r="A7" s="1" t="s">
        <v>421</v>
      </c>
      <c r="C7" s="1" t="s">
        <v>411</v>
      </c>
      <c r="D7" s="1" t="s">
        <v>422</v>
      </c>
    </row>
    <row r="8" spans="1:4" ht="15.75" customHeight="1">
      <c r="A8" s="1" t="s">
        <v>423</v>
      </c>
      <c r="C8" s="1" t="s">
        <v>411</v>
      </c>
      <c r="D8" s="1" t="s">
        <v>424</v>
      </c>
    </row>
    <row r="9" spans="1:4" ht="15.75" customHeight="1">
      <c r="A9" s="1" t="s">
        <v>425</v>
      </c>
      <c r="C9" s="1" t="s">
        <v>411</v>
      </c>
      <c r="D9" s="1" t="s">
        <v>426</v>
      </c>
    </row>
    <row r="10" spans="1:4" ht="15.75" customHeight="1">
      <c r="A10" s="1" t="s">
        <v>427</v>
      </c>
      <c r="C10" s="1" t="s">
        <v>411</v>
      </c>
      <c r="D10" s="1" t="s">
        <v>428</v>
      </c>
    </row>
    <row r="11" spans="1:4" ht="15.75" customHeight="1">
      <c r="A11" s="1" t="s">
        <v>429</v>
      </c>
      <c r="C11" s="1" t="s">
        <v>411</v>
      </c>
      <c r="D11" s="1" t="s">
        <v>430</v>
      </c>
    </row>
    <row r="12" spans="1:4" ht="15.75" customHeight="1">
      <c r="A12" s="1" t="s">
        <v>431</v>
      </c>
      <c r="C12" s="1" t="s">
        <v>411</v>
      </c>
      <c r="D12" s="1" t="s">
        <v>432</v>
      </c>
    </row>
    <row r="13" spans="1:4" ht="15.75" customHeight="1">
      <c r="A13" s="1" t="s">
        <v>433</v>
      </c>
      <c r="C13" s="1" t="s">
        <v>411</v>
      </c>
      <c r="D13" s="1" t="s">
        <v>434</v>
      </c>
    </row>
    <row r="14" spans="1:4" ht="15.75" customHeight="1">
      <c r="A14" s="1" t="s">
        <v>435</v>
      </c>
      <c r="C14" s="1" t="s">
        <v>411</v>
      </c>
      <c r="D14" s="1" t="s">
        <v>436</v>
      </c>
    </row>
    <row r="15" spans="1:4" ht="15.75" customHeight="1">
      <c r="A15" s="1" t="s">
        <v>437</v>
      </c>
      <c r="C15" s="1" t="s">
        <v>411</v>
      </c>
      <c r="D15" s="1" t="s">
        <v>438</v>
      </c>
    </row>
    <row r="16" spans="1:4" ht="15.75" customHeight="1">
      <c r="A16" s="1" t="s">
        <v>439</v>
      </c>
      <c r="C16" s="1" t="s">
        <v>411</v>
      </c>
      <c r="D16" s="1" t="s">
        <v>440</v>
      </c>
    </row>
    <row r="17" spans="1:4" ht="15.75" customHeight="1">
      <c r="A17" s="1" t="s">
        <v>441</v>
      </c>
      <c r="C17" s="1" t="s">
        <v>411</v>
      </c>
      <c r="D17" s="1" t="s">
        <v>442</v>
      </c>
    </row>
    <row r="18" spans="1:4" ht="15.75" customHeight="1">
      <c r="A18" s="1" t="s">
        <v>443</v>
      </c>
      <c r="C18" s="1" t="s">
        <v>411</v>
      </c>
      <c r="D18" s="1" t="s">
        <v>444</v>
      </c>
    </row>
    <row r="19" spans="1:4" ht="15.75" customHeight="1">
      <c r="A19" s="1" t="s">
        <v>445</v>
      </c>
      <c r="C19" s="1" t="s">
        <v>411</v>
      </c>
      <c r="D19" s="1" t="s">
        <v>446</v>
      </c>
    </row>
    <row r="20" spans="1:4" ht="15.75" customHeight="1">
      <c r="A20" s="1" t="s">
        <v>447</v>
      </c>
      <c r="C20" s="1" t="s">
        <v>411</v>
      </c>
      <c r="D20" s="1" t="s">
        <v>448</v>
      </c>
    </row>
    <row r="21" spans="1:4" ht="15.75" customHeight="1">
      <c r="A21" s="1" t="s">
        <v>449</v>
      </c>
    </row>
    <row r="22" spans="1:4" ht="15.75" customHeight="1">
      <c r="A22" s="1" t="s">
        <v>450</v>
      </c>
    </row>
    <row r="23" spans="1:4" ht="15.75" customHeight="1">
      <c r="A23" s="1" t="s">
        <v>451</v>
      </c>
    </row>
    <row r="24" spans="1:4" ht="15.75" customHeight="1">
      <c r="A24" s="1" t="s">
        <v>452</v>
      </c>
    </row>
    <row r="26" spans="1:4" ht="15.75" customHeight="1">
      <c r="A26" s="1" t="s">
        <v>453</v>
      </c>
      <c r="C26" s="1" t="s">
        <v>411</v>
      </c>
      <c r="D26" s="1" t="s">
        <v>454</v>
      </c>
    </row>
    <row r="27" spans="1:4" ht="15.75" customHeight="1">
      <c r="A27" s="1" t="s">
        <v>455</v>
      </c>
      <c r="C27" s="1" t="s">
        <v>411</v>
      </c>
      <c r="D27" s="1" t="s">
        <v>456</v>
      </c>
    </row>
    <row r="29" spans="1:4" ht="15.75" customHeight="1">
      <c r="A29" s="1" t="s">
        <v>457</v>
      </c>
      <c r="C29" s="1" t="s">
        <v>411</v>
      </c>
      <c r="D29" s="1" t="s">
        <v>458</v>
      </c>
    </row>
    <row r="30" spans="1:4" ht="15.75" customHeight="1">
      <c r="A30" s="1" t="s">
        <v>459</v>
      </c>
      <c r="C30" s="1" t="s">
        <v>411</v>
      </c>
      <c r="D30" s="1" t="s">
        <v>460</v>
      </c>
    </row>
    <row r="31" spans="1:4" ht="15.75" customHeight="1">
      <c r="A31" s="1" t="s">
        <v>461</v>
      </c>
      <c r="C31" s="1" t="s">
        <v>411</v>
      </c>
      <c r="D31" s="1" t="s">
        <v>462</v>
      </c>
    </row>
    <row r="32" spans="1:4" ht="15.75" customHeight="1">
      <c r="A32" s="1" t="s">
        <v>463</v>
      </c>
      <c r="C32" s="1" t="s">
        <v>411</v>
      </c>
      <c r="D32" s="1" t="s">
        <v>464</v>
      </c>
    </row>
    <row r="33" spans="1:4" ht="15.75" customHeight="1">
      <c r="A33" s="1" t="s">
        <v>465</v>
      </c>
      <c r="C33" s="1" t="s">
        <v>411</v>
      </c>
      <c r="D33" s="1" t="s">
        <v>466</v>
      </c>
    </row>
    <row r="34" spans="1:4" ht="15.75" customHeight="1">
      <c r="A34" s="1" t="s">
        <v>467</v>
      </c>
      <c r="C34" s="1" t="s">
        <v>411</v>
      </c>
      <c r="D34" s="1" t="s">
        <v>468</v>
      </c>
    </row>
    <row r="36" spans="1:4" ht="12.75">
      <c r="A36" s="1" t="s">
        <v>469</v>
      </c>
    </row>
    <row r="37" spans="1:4" ht="12.75">
      <c r="B37" s="1" t="s">
        <v>470</v>
      </c>
    </row>
    <row r="39" spans="1:4" ht="12.75">
      <c r="A39" s="1" t="s">
        <v>471</v>
      </c>
    </row>
    <row r="40" spans="1:4" ht="12.75">
      <c r="B40" s="1" t="s">
        <v>472</v>
      </c>
    </row>
    <row r="41" spans="1:4" ht="12.75">
      <c r="A41" s="1" t="s">
        <v>473</v>
      </c>
    </row>
    <row r="42" spans="1:4" ht="12.75">
      <c r="B42" s="1" t="s">
        <v>474</v>
      </c>
    </row>
    <row r="44" spans="1:4" ht="12.75">
      <c r="A44" s="1" t="s">
        <v>475</v>
      </c>
    </row>
    <row r="45" spans="1:4" ht="12.75">
      <c r="B45" s="1" t="s">
        <v>476</v>
      </c>
    </row>
    <row r="46" spans="1:4" ht="12.75">
      <c r="A46" s="1" t="s">
        <v>477</v>
      </c>
    </row>
    <row r="47" spans="1:4" ht="12.75">
      <c r="B47" s="1" t="s">
        <v>478</v>
      </c>
    </row>
    <row r="49" spans="1:2" ht="12.75">
      <c r="A49" s="1" t="s">
        <v>479</v>
      </c>
    </row>
    <row r="50" spans="1:2" ht="12.75">
      <c r="B50" s="1" t="s">
        <v>480</v>
      </c>
    </row>
    <row r="51" spans="1:2" ht="12.75">
      <c r="A51" s="1" t="s">
        <v>481</v>
      </c>
    </row>
    <row r="52" spans="1:2" ht="12.75">
      <c r="B52" s="1" t="s">
        <v>482</v>
      </c>
    </row>
    <row r="54" spans="1:2" ht="12.75">
      <c r="A54" s="1" t="s">
        <v>483</v>
      </c>
    </row>
    <row r="55" spans="1:2" ht="12.75">
      <c r="B55" s="1" t="s">
        <v>484</v>
      </c>
    </row>
    <row r="56" spans="1:2" ht="12.75">
      <c r="A56" s="1" t="s">
        <v>485</v>
      </c>
    </row>
    <row r="57" spans="1:2" ht="12.75">
      <c r="B57" s="1" t="s">
        <v>486</v>
      </c>
    </row>
    <row r="58" spans="1:2" ht="12.75">
      <c r="A58" s="1" t="s">
        <v>487</v>
      </c>
    </row>
    <row r="59" spans="1:2" ht="12.75">
      <c r="B59" s="1" t="s">
        <v>488</v>
      </c>
    </row>
    <row r="60" spans="1:2" ht="12.75">
      <c r="A60" s="1"/>
    </row>
    <row r="61" spans="1:2" ht="12.75">
      <c r="A61" s="1" t="s">
        <v>489</v>
      </c>
    </row>
    <row r="62" spans="1:2" ht="12.75">
      <c r="B62" s="1" t="s">
        <v>490</v>
      </c>
    </row>
    <row r="63" spans="1:2" ht="12.75">
      <c r="A63" s="1" t="s">
        <v>491</v>
      </c>
    </row>
    <row r="64" spans="1:2" ht="12.75">
      <c r="B64" s="1" t="s">
        <v>492</v>
      </c>
    </row>
    <row r="65" spans="1:2" ht="12.75">
      <c r="A65" s="1" t="s">
        <v>493</v>
      </c>
    </row>
    <row r="66" spans="1:2" ht="12.75">
      <c r="B66" s="1" t="s">
        <v>494</v>
      </c>
    </row>
    <row r="68" spans="1:2" ht="12.75">
      <c r="A68" s="1" t="s">
        <v>495</v>
      </c>
    </row>
    <row r="69" spans="1:2" ht="12.75">
      <c r="B69" s="1" t="s">
        <v>496</v>
      </c>
    </row>
    <row r="70" spans="1:2" ht="12.75">
      <c r="A70" s="1"/>
      <c r="B70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DI540"/>
  <sheetViews>
    <sheetView tabSelected="1" topLeftCell="A396" workbookViewId="0">
      <selection activeCell="A419" sqref="A419"/>
    </sheetView>
  </sheetViews>
  <sheetFormatPr defaultColWidth="14.42578125" defaultRowHeight="15.75" customHeight="1"/>
  <cols>
    <col min="1" max="1" width="27" customWidth="1"/>
    <col min="7" max="7" width="15.5703125" customWidth="1"/>
  </cols>
  <sheetData>
    <row r="2" spans="1:113" ht="15.75" customHeight="1">
      <c r="A2" s="5" t="s">
        <v>497</v>
      </c>
      <c r="B2" s="1" t="s">
        <v>498</v>
      </c>
      <c r="C2" s="1" t="s">
        <v>499</v>
      </c>
      <c r="D2" s="1" t="s">
        <v>500</v>
      </c>
      <c r="E2" s="1" t="s">
        <v>501</v>
      </c>
      <c r="F2" s="1"/>
      <c r="H2" t="str">
        <f t="array" ref="H2:Z2">TRANSPOSE(G3:G21)</f>
        <v>Clayton Heights Secondary</v>
      </c>
      <c r="I2" t="str">
        <v>Ecole Earl Marriott</v>
      </c>
      <c r="J2" t="str">
        <v>Ecole Elgin Park</v>
      </c>
      <c r="K2" t="str">
        <v>Ecole Fraser Heights</v>
      </c>
      <c r="L2" t="str">
        <v>Ecole Kwantlen Park</v>
      </c>
      <c r="M2" s="1" t="str">
        <v>Ecole Lord Tweedsmuir</v>
      </c>
      <c r="N2" t="str">
        <v>Ecole Panorama Ridge</v>
      </c>
      <c r="O2" t="str">
        <v>Enver Creek Secondary</v>
      </c>
      <c r="P2" t="str">
        <v>Fleetwood Park Secondary</v>
      </c>
      <c r="Q2" t="str">
        <v>Frank Hurt Secondary</v>
      </c>
      <c r="R2" t="str">
        <v>Guildford Park Secondary</v>
      </c>
      <c r="S2" t="str">
        <v>Johnston Heights Secondary</v>
      </c>
      <c r="T2" t="str">
        <v>L. A. Matheson Secondary</v>
      </c>
      <c r="U2" t="str">
        <v>North Surrey Secondary</v>
      </c>
      <c r="V2" t="str">
        <v>Princess Margaret Secondary</v>
      </c>
      <c r="W2" t="str">
        <v>Queen Elizabeth Secondary</v>
      </c>
      <c r="X2" t="str">
        <v>Semiahmoo Secondary</v>
      </c>
      <c r="Y2" t="str">
        <v>Sullivan Heights Secondary</v>
      </c>
      <c r="Z2" t="str">
        <v>Tamanawis Secondary</v>
      </c>
    </row>
    <row r="3" spans="1:113" ht="15.75" customHeight="1">
      <c r="A3" s="6" t="s">
        <v>45</v>
      </c>
      <c r="B3" s="1">
        <v>1</v>
      </c>
      <c r="C3">
        <v>3049</v>
      </c>
      <c r="D3" s="1">
        <v>2580</v>
      </c>
      <c r="E3" s="1">
        <v>3000</v>
      </c>
      <c r="F3" s="1"/>
      <c r="G3" s="6" t="s">
        <v>45</v>
      </c>
      <c r="H3" s="1">
        <v>1</v>
      </c>
      <c r="I3" s="1">
        <v>0</v>
      </c>
      <c r="J3" s="1">
        <v>0</v>
      </c>
      <c r="K3" s="1">
        <v>0</v>
      </c>
      <c r="L3" s="1">
        <v>0</v>
      </c>
      <c r="M3" s="1">
        <v>1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</row>
    <row r="4" spans="1:113" ht="15.75" customHeight="1">
      <c r="A4" s="6" t="s">
        <v>54</v>
      </c>
      <c r="B4" s="1">
        <v>2</v>
      </c>
      <c r="C4">
        <v>2826</v>
      </c>
      <c r="D4" s="1">
        <v>3000</v>
      </c>
      <c r="E4" s="1">
        <v>3000</v>
      </c>
      <c r="F4" s="1"/>
      <c r="G4" s="6" t="s">
        <v>54</v>
      </c>
      <c r="H4" s="1">
        <v>0</v>
      </c>
      <c r="I4" s="1">
        <v>1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1</v>
      </c>
      <c r="Y4" s="1">
        <v>0</v>
      </c>
      <c r="Z4" s="1">
        <v>0</v>
      </c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</row>
    <row r="5" spans="1:113" ht="15.75" customHeight="1">
      <c r="A5" s="6" t="s">
        <v>59</v>
      </c>
      <c r="B5" s="1">
        <v>3</v>
      </c>
      <c r="C5">
        <v>1504</v>
      </c>
      <c r="D5" s="1">
        <v>1200</v>
      </c>
      <c r="E5" s="1">
        <v>1500</v>
      </c>
      <c r="F5" s="1"/>
      <c r="G5" s="6" t="s">
        <v>59</v>
      </c>
      <c r="H5" s="1">
        <v>0</v>
      </c>
      <c r="I5" s="1">
        <v>0</v>
      </c>
      <c r="J5" s="1">
        <v>1</v>
      </c>
      <c r="K5" s="1">
        <v>0</v>
      </c>
      <c r="L5" s="1">
        <v>0</v>
      </c>
      <c r="M5" s="1">
        <v>0</v>
      </c>
      <c r="N5" s="1">
        <v>1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1</v>
      </c>
      <c r="Y5" s="1">
        <v>1</v>
      </c>
      <c r="Z5" s="1">
        <v>0</v>
      </c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</row>
    <row r="6" spans="1:113" ht="15.75" customHeight="1">
      <c r="A6" s="6" t="s">
        <v>78</v>
      </c>
      <c r="B6" s="1">
        <v>4</v>
      </c>
      <c r="C6">
        <v>2115</v>
      </c>
      <c r="D6" s="1">
        <v>1300</v>
      </c>
      <c r="E6" s="1">
        <v>1300</v>
      </c>
      <c r="F6" s="1"/>
      <c r="G6" s="6" t="s">
        <v>78</v>
      </c>
      <c r="H6" s="1">
        <v>0</v>
      </c>
      <c r="I6" s="1">
        <v>0</v>
      </c>
      <c r="J6" s="1">
        <v>0</v>
      </c>
      <c r="K6" s="1">
        <v>1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1</v>
      </c>
      <c r="S6" s="1">
        <v>1</v>
      </c>
      <c r="T6" s="1">
        <v>0</v>
      </c>
      <c r="U6" s="1">
        <v>1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</row>
    <row r="7" spans="1:113" ht="15.75" customHeight="1">
      <c r="A7" s="6" t="s">
        <v>81</v>
      </c>
      <c r="B7" s="1">
        <v>5</v>
      </c>
      <c r="C7">
        <v>1947</v>
      </c>
      <c r="D7" s="1">
        <v>1200</v>
      </c>
      <c r="E7" s="1">
        <v>1500</v>
      </c>
      <c r="F7" s="1"/>
      <c r="G7" s="6" t="s">
        <v>81</v>
      </c>
      <c r="H7" s="1">
        <v>0</v>
      </c>
      <c r="I7" s="1">
        <v>0</v>
      </c>
      <c r="J7" s="1">
        <v>0</v>
      </c>
      <c r="K7" s="1">
        <v>0</v>
      </c>
      <c r="L7" s="1">
        <v>1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1</v>
      </c>
      <c r="S7" s="1">
        <v>0</v>
      </c>
      <c r="T7" s="1">
        <v>1</v>
      </c>
      <c r="U7" s="1">
        <v>0</v>
      </c>
      <c r="V7" s="1">
        <v>0</v>
      </c>
      <c r="W7" s="1">
        <v>1</v>
      </c>
      <c r="X7" s="1">
        <v>0</v>
      </c>
      <c r="Y7" s="1">
        <v>0</v>
      </c>
      <c r="Z7" s="1">
        <v>0</v>
      </c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</row>
    <row r="8" spans="1:113" ht="15.75" customHeight="1">
      <c r="A8" s="6" t="s">
        <v>82</v>
      </c>
      <c r="B8" s="1">
        <v>6</v>
      </c>
      <c r="C8">
        <v>2714</v>
      </c>
      <c r="D8" s="1">
        <v>1400</v>
      </c>
      <c r="E8" s="1">
        <v>1500</v>
      </c>
      <c r="F8" s="1"/>
      <c r="G8" s="6" t="s">
        <v>82</v>
      </c>
      <c r="H8" s="1">
        <v>1</v>
      </c>
      <c r="I8" s="1">
        <v>0</v>
      </c>
      <c r="J8" s="1">
        <v>0</v>
      </c>
      <c r="K8" s="1">
        <v>0</v>
      </c>
      <c r="L8" s="1">
        <v>0</v>
      </c>
      <c r="M8" s="1">
        <v>1</v>
      </c>
      <c r="N8" s="1">
        <v>0</v>
      </c>
      <c r="O8" s="1">
        <v>0</v>
      </c>
      <c r="P8" s="1">
        <v>1</v>
      </c>
      <c r="Q8" s="1">
        <v>1</v>
      </c>
      <c r="R8" s="1">
        <v>0</v>
      </c>
      <c r="S8" s="1">
        <v>0</v>
      </c>
      <c r="T8" s="1">
        <v>0</v>
      </c>
      <c r="U8" s="1">
        <v>1</v>
      </c>
      <c r="V8" s="1">
        <v>0</v>
      </c>
      <c r="W8" s="1">
        <v>0</v>
      </c>
      <c r="X8" s="1">
        <v>0</v>
      </c>
      <c r="Y8" s="1">
        <v>1</v>
      </c>
      <c r="Z8" s="1">
        <v>0</v>
      </c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</row>
    <row r="9" spans="1:113" ht="15.75" customHeight="1">
      <c r="A9" s="6" t="s">
        <v>148</v>
      </c>
      <c r="B9" s="1">
        <v>7</v>
      </c>
      <c r="C9">
        <v>1771</v>
      </c>
      <c r="D9" s="1">
        <v>1525</v>
      </c>
      <c r="E9" s="1">
        <v>1525</v>
      </c>
      <c r="F9" s="1"/>
      <c r="G9" s="6" t="s">
        <v>148</v>
      </c>
      <c r="H9" s="1">
        <v>0</v>
      </c>
      <c r="I9" s="1">
        <v>0</v>
      </c>
      <c r="J9" s="1">
        <v>1</v>
      </c>
      <c r="K9" s="1">
        <v>0</v>
      </c>
      <c r="L9" s="1">
        <v>0</v>
      </c>
      <c r="M9" s="1">
        <v>0</v>
      </c>
      <c r="N9" s="1">
        <v>1</v>
      </c>
      <c r="O9" s="1">
        <v>0</v>
      </c>
      <c r="P9" s="1">
        <v>0</v>
      </c>
      <c r="Q9" s="1">
        <v>1</v>
      </c>
      <c r="R9" s="1">
        <v>0</v>
      </c>
      <c r="S9" s="1">
        <v>0</v>
      </c>
      <c r="T9" s="1">
        <v>0</v>
      </c>
      <c r="U9" s="1">
        <v>0</v>
      </c>
      <c r="V9" s="1">
        <v>1</v>
      </c>
      <c r="W9" s="1">
        <v>0</v>
      </c>
      <c r="X9" s="1">
        <v>0</v>
      </c>
      <c r="Y9" s="1">
        <v>1</v>
      </c>
      <c r="Z9" s="1">
        <v>1</v>
      </c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</row>
    <row r="10" spans="1:113" ht="15.75" customHeight="1">
      <c r="A10" s="6" t="s">
        <v>205</v>
      </c>
      <c r="B10" s="1">
        <v>8</v>
      </c>
      <c r="C10">
        <v>1771</v>
      </c>
      <c r="D10" s="1">
        <v>1400</v>
      </c>
      <c r="E10" s="1">
        <v>1500</v>
      </c>
      <c r="F10" s="1"/>
      <c r="G10" s="6" t="s">
        <v>205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1</v>
      </c>
      <c r="P10" s="1">
        <v>1</v>
      </c>
      <c r="Q10" s="1">
        <v>1</v>
      </c>
      <c r="R10" s="1">
        <v>1</v>
      </c>
      <c r="S10" s="1">
        <v>1</v>
      </c>
      <c r="T10" s="1">
        <v>0</v>
      </c>
      <c r="U10" s="1">
        <v>0</v>
      </c>
      <c r="V10" s="1">
        <v>0</v>
      </c>
      <c r="W10" s="1">
        <v>1</v>
      </c>
      <c r="X10" s="1">
        <v>0</v>
      </c>
      <c r="Y10" s="1">
        <v>0</v>
      </c>
      <c r="Z10" s="1">
        <v>0</v>
      </c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</row>
    <row r="11" spans="1:113" ht="15.75" customHeight="1">
      <c r="A11" s="6" t="s">
        <v>208</v>
      </c>
      <c r="B11" s="1">
        <v>9</v>
      </c>
      <c r="C11">
        <v>1477</v>
      </c>
      <c r="D11" s="1">
        <v>1200</v>
      </c>
      <c r="E11" s="1">
        <v>1500</v>
      </c>
      <c r="F11" s="1"/>
      <c r="G11" s="6" t="s">
        <v>208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1</v>
      </c>
      <c r="N11" s="1">
        <v>0</v>
      </c>
      <c r="O11" s="1">
        <v>1</v>
      </c>
      <c r="P11" s="1">
        <v>1</v>
      </c>
      <c r="Q11" s="1">
        <v>1</v>
      </c>
      <c r="R11" s="1">
        <v>0</v>
      </c>
      <c r="S11" s="1">
        <v>1</v>
      </c>
      <c r="T11" s="1">
        <v>0</v>
      </c>
      <c r="U11" s="1">
        <v>1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</row>
    <row r="12" spans="1:113" ht="15.75" customHeight="1">
      <c r="A12" s="6" t="s">
        <v>212</v>
      </c>
      <c r="B12" s="1">
        <v>10</v>
      </c>
      <c r="C12">
        <v>3501</v>
      </c>
      <c r="D12" s="1">
        <v>1200</v>
      </c>
      <c r="E12" s="1">
        <v>1500</v>
      </c>
      <c r="F12" s="1">
        <f>C12-D12</f>
        <v>2301</v>
      </c>
      <c r="G12" s="6" t="s">
        <v>212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0</v>
      </c>
      <c r="S12" s="1">
        <v>0</v>
      </c>
      <c r="T12" s="1">
        <v>0</v>
      </c>
      <c r="U12" s="1">
        <v>0</v>
      </c>
      <c r="V12" s="1">
        <v>1</v>
      </c>
      <c r="W12" s="1">
        <v>1</v>
      </c>
      <c r="X12" s="1">
        <v>0</v>
      </c>
      <c r="Y12" s="1">
        <v>1</v>
      </c>
      <c r="Z12" s="1">
        <v>0</v>
      </c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</row>
    <row r="13" spans="1:113" ht="15.75" customHeight="1">
      <c r="A13" s="6" t="s">
        <v>216</v>
      </c>
      <c r="B13" s="1">
        <v>11</v>
      </c>
      <c r="C13">
        <v>2532</v>
      </c>
      <c r="D13" s="1">
        <v>1050</v>
      </c>
      <c r="E13" s="1">
        <v>1500</v>
      </c>
      <c r="F13" s="1"/>
      <c r="G13" s="6" t="s">
        <v>216</v>
      </c>
      <c r="H13" s="1">
        <v>0</v>
      </c>
      <c r="I13" s="1">
        <v>0</v>
      </c>
      <c r="J13" s="1">
        <v>0</v>
      </c>
      <c r="K13" s="1">
        <v>1</v>
      </c>
      <c r="L13" s="1">
        <v>1</v>
      </c>
      <c r="M13" s="1">
        <v>0</v>
      </c>
      <c r="N13" s="1">
        <v>0</v>
      </c>
      <c r="O13" s="1">
        <v>1</v>
      </c>
      <c r="P13" s="1">
        <v>0</v>
      </c>
      <c r="Q13" s="1">
        <v>0</v>
      </c>
      <c r="R13" s="1">
        <v>1</v>
      </c>
      <c r="S13" s="1">
        <v>1</v>
      </c>
      <c r="T13" s="1">
        <v>0</v>
      </c>
      <c r="U13" s="1">
        <v>0</v>
      </c>
      <c r="V13" s="1">
        <v>0</v>
      </c>
      <c r="W13" s="1">
        <v>1</v>
      </c>
      <c r="X13" s="1">
        <v>0</v>
      </c>
      <c r="Y13" s="1">
        <v>0</v>
      </c>
      <c r="Z13" s="1">
        <v>0</v>
      </c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</row>
    <row r="14" spans="1:113" ht="15.75" customHeight="1">
      <c r="A14" s="6" t="s">
        <v>220</v>
      </c>
      <c r="B14" s="1">
        <v>12</v>
      </c>
      <c r="C14">
        <v>1866</v>
      </c>
      <c r="D14" s="1">
        <v>1450</v>
      </c>
      <c r="E14" s="1">
        <v>1500</v>
      </c>
      <c r="F14" s="1"/>
      <c r="G14" s="6" t="s">
        <v>220</v>
      </c>
      <c r="H14" s="1">
        <v>0</v>
      </c>
      <c r="I14" s="1">
        <v>0</v>
      </c>
      <c r="J14" s="1">
        <v>0</v>
      </c>
      <c r="K14" s="1">
        <v>1</v>
      </c>
      <c r="L14" s="1">
        <v>0</v>
      </c>
      <c r="M14" s="1">
        <v>0</v>
      </c>
      <c r="N14" s="1">
        <v>0</v>
      </c>
      <c r="O14" s="1">
        <v>1</v>
      </c>
      <c r="P14" s="1">
        <v>1</v>
      </c>
      <c r="Q14" s="1">
        <v>0</v>
      </c>
      <c r="R14" s="1">
        <v>1</v>
      </c>
      <c r="S14" s="1">
        <v>1</v>
      </c>
      <c r="T14" s="1">
        <v>0</v>
      </c>
      <c r="U14" s="1">
        <v>1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</row>
    <row r="15" spans="1:113" ht="15.75" customHeight="1">
      <c r="A15" s="6" t="s">
        <v>222</v>
      </c>
      <c r="B15" s="1">
        <v>13</v>
      </c>
      <c r="C15">
        <v>2223</v>
      </c>
      <c r="D15" s="1">
        <v>1400</v>
      </c>
      <c r="E15" s="1">
        <v>1500</v>
      </c>
      <c r="F15" s="1"/>
      <c r="G15" s="6" t="s">
        <v>222</v>
      </c>
      <c r="H15" s="1">
        <v>0</v>
      </c>
      <c r="I15" s="1">
        <v>0</v>
      </c>
      <c r="J15" s="1">
        <v>0</v>
      </c>
      <c r="K15" s="1">
        <v>0</v>
      </c>
      <c r="L15" s="1">
        <v>1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1</v>
      </c>
      <c r="U15" s="1">
        <v>0</v>
      </c>
      <c r="V15" s="1">
        <v>1</v>
      </c>
      <c r="W15" s="1">
        <v>1</v>
      </c>
      <c r="X15" s="1">
        <v>0</v>
      </c>
      <c r="Y15" s="1">
        <v>0</v>
      </c>
      <c r="Z15" s="1">
        <v>0</v>
      </c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</row>
    <row r="16" spans="1:113" ht="15.75" customHeight="1">
      <c r="A16" s="6" t="s">
        <v>225</v>
      </c>
      <c r="B16" s="1">
        <v>14</v>
      </c>
      <c r="C16">
        <v>2961</v>
      </c>
      <c r="D16" s="1">
        <v>1500</v>
      </c>
      <c r="E16" s="1">
        <v>1500</v>
      </c>
      <c r="F16" s="1"/>
      <c r="G16" s="6" t="s">
        <v>225</v>
      </c>
      <c r="H16" s="1">
        <v>0</v>
      </c>
      <c r="I16" s="1">
        <v>0</v>
      </c>
      <c r="J16" s="1">
        <v>0</v>
      </c>
      <c r="K16" s="1">
        <v>1</v>
      </c>
      <c r="L16" s="1">
        <v>0</v>
      </c>
      <c r="M16" s="1">
        <v>1</v>
      </c>
      <c r="N16" s="1">
        <v>0</v>
      </c>
      <c r="O16" s="1">
        <v>0</v>
      </c>
      <c r="P16" s="1">
        <v>1</v>
      </c>
      <c r="Q16" s="1">
        <v>0</v>
      </c>
      <c r="R16" s="1">
        <v>0</v>
      </c>
      <c r="S16" s="1">
        <v>1</v>
      </c>
      <c r="T16" s="1">
        <v>0</v>
      </c>
      <c r="U16" s="1">
        <v>1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</row>
    <row r="17" spans="1:113" ht="15.75" customHeight="1">
      <c r="A17" s="6" t="s">
        <v>228</v>
      </c>
      <c r="B17" s="1">
        <v>15</v>
      </c>
      <c r="C17">
        <v>2220</v>
      </c>
      <c r="D17" s="1">
        <v>1500</v>
      </c>
      <c r="E17" s="1">
        <v>1500</v>
      </c>
      <c r="F17" s="1"/>
      <c r="G17" s="6" t="s">
        <v>228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1</v>
      </c>
      <c r="O17" s="1">
        <v>0</v>
      </c>
      <c r="P17" s="1">
        <v>0</v>
      </c>
      <c r="Q17" s="1">
        <v>1</v>
      </c>
      <c r="R17" s="1">
        <v>0</v>
      </c>
      <c r="S17" s="1">
        <v>0</v>
      </c>
      <c r="T17" s="1">
        <v>1</v>
      </c>
      <c r="U17" s="1">
        <v>0</v>
      </c>
      <c r="V17" s="1">
        <v>1</v>
      </c>
      <c r="W17" s="1">
        <v>1</v>
      </c>
      <c r="X17" s="1">
        <v>0</v>
      </c>
      <c r="Y17" s="1">
        <v>1</v>
      </c>
      <c r="Z17" s="1">
        <v>1</v>
      </c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</row>
    <row r="18" spans="1:113" ht="15.75" customHeight="1">
      <c r="A18" s="6" t="s">
        <v>232</v>
      </c>
      <c r="B18" s="1">
        <v>16</v>
      </c>
      <c r="C18">
        <v>2539</v>
      </c>
      <c r="D18" s="1">
        <v>1400</v>
      </c>
      <c r="E18" s="1">
        <v>1500</v>
      </c>
      <c r="F18" s="1"/>
      <c r="G18" s="6" t="s">
        <v>232</v>
      </c>
      <c r="H18" s="1">
        <v>0</v>
      </c>
      <c r="I18" s="1">
        <v>0</v>
      </c>
      <c r="J18" s="1">
        <v>0</v>
      </c>
      <c r="K18" s="1">
        <v>0</v>
      </c>
      <c r="L18" s="1">
        <v>1</v>
      </c>
      <c r="M18" s="1">
        <v>0</v>
      </c>
      <c r="N18" s="1">
        <v>0</v>
      </c>
      <c r="O18" s="1">
        <v>1</v>
      </c>
      <c r="P18" s="1">
        <v>0</v>
      </c>
      <c r="Q18" s="1">
        <v>1</v>
      </c>
      <c r="R18" s="1">
        <v>1</v>
      </c>
      <c r="S18" s="1">
        <v>0</v>
      </c>
      <c r="T18" s="1">
        <v>1</v>
      </c>
      <c r="U18" s="1">
        <v>0</v>
      </c>
      <c r="V18" s="1">
        <v>1</v>
      </c>
      <c r="W18" s="1">
        <v>1</v>
      </c>
      <c r="X18" s="1">
        <v>0</v>
      </c>
      <c r="Y18" s="1">
        <v>0</v>
      </c>
      <c r="Z18" s="1">
        <v>0</v>
      </c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</row>
    <row r="19" spans="1:113" ht="15.75" customHeight="1">
      <c r="A19" s="6" t="s">
        <v>234</v>
      </c>
      <c r="B19" s="1">
        <v>17</v>
      </c>
      <c r="C19">
        <v>1320</v>
      </c>
      <c r="D19" s="1">
        <v>1300</v>
      </c>
      <c r="E19" s="1">
        <v>1500</v>
      </c>
      <c r="F19" s="1"/>
      <c r="G19" s="6" t="s">
        <v>234</v>
      </c>
      <c r="H19" s="1">
        <v>0</v>
      </c>
      <c r="I19" s="1">
        <v>1</v>
      </c>
      <c r="J19" s="1">
        <v>1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1</v>
      </c>
      <c r="Y19" s="1">
        <v>1</v>
      </c>
      <c r="Z19" s="1">
        <v>0</v>
      </c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</row>
    <row r="20" spans="1:113" ht="15.75" customHeight="1">
      <c r="A20" s="6" t="s">
        <v>235</v>
      </c>
      <c r="B20" s="1">
        <v>18</v>
      </c>
      <c r="C20">
        <v>1732</v>
      </c>
      <c r="D20" s="1">
        <v>1700</v>
      </c>
      <c r="E20" s="1">
        <v>1700</v>
      </c>
      <c r="F20" s="1"/>
      <c r="G20" s="6" t="s">
        <v>235</v>
      </c>
      <c r="H20" s="1">
        <v>0</v>
      </c>
      <c r="I20" s="1">
        <v>0</v>
      </c>
      <c r="J20" s="1">
        <v>1</v>
      </c>
      <c r="K20" s="1">
        <v>0</v>
      </c>
      <c r="L20" s="1">
        <v>0</v>
      </c>
      <c r="M20" s="1">
        <v>1</v>
      </c>
      <c r="N20" s="1">
        <v>1</v>
      </c>
      <c r="O20" s="1">
        <v>0</v>
      </c>
      <c r="P20" s="1">
        <v>0</v>
      </c>
      <c r="Q20" s="1">
        <v>1</v>
      </c>
      <c r="R20" s="1">
        <v>0</v>
      </c>
      <c r="S20" s="1">
        <v>0</v>
      </c>
      <c r="T20" s="1">
        <v>0</v>
      </c>
      <c r="U20" s="1">
        <v>0</v>
      </c>
      <c r="V20" s="1">
        <v>1</v>
      </c>
      <c r="W20" s="1">
        <v>0</v>
      </c>
      <c r="X20" s="1">
        <v>1</v>
      </c>
      <c r="Y20" s="1">
        <v>1</v>
      </c>
      <c r="Z20" s="1">
        <v>0</v>
      </c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</row>
    <row r="21" spans="1:113" ht="15.75" customHeight="1">
      <c r="A21" s="6" t="s">
        <v>238</v>
      </c>
      <c r="B21" s="1">
        <v>19</v>
      </c>
      <c r="C21">
        <v>2406</v>
      </c>
      <c r="D21" s="1">
        <v>1500</v>
      </c>
      <c r="E21" s="1">
        <v>1500</v>
      </c>
      <c r="F21" s="1"/>
      <c r="G21" s="6" t="s">
        <v>238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1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1</v>
      </c>
      <c r="W21" s="1">
        <v>0</v>
      </c>
      <c r="X21" s="1">
        <v>0</v>
      </c>
      <c r="Y21" s="1">
        <v>0</v>
      </c>
      <c r="Z21" s="1">
        <v>1</v>
      </c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</row>
    <row r="22" spans="1:113" ht="15.75" customHeight="1">
      <c r="C22" s="5">
        <f t="shared" ref="C22:D22" si="0">SUM(C3:C21)</f>
        <v>42474</v>
      </c>
      <c r="D22">
        <f t="shared" si="0"/>
        <v>28805</v>
      </c>
      <c r="K22" s="1"/>
    </row>
    <row r="23" spans="1:113" ht="15.75" customHeight="1">
      <c r="A23" s="5" t="s">
        <v>503</v>
      </c>
      <c r="B23" s="1" t="s">
        <v>498</v>
      </c>
      <c r="C23" s="1" t="s">
        <v>499</v>
      </c>
      <c r="D23" s="1" t="s">
        <v>500</v>
      </c>
      <c r="E23" s="1" t="s">
        <v>501</v>
      </c>
      <c r="G23" s="1"/>
      <c r="H23" t="str">
        <f t="array" ref="H23:CY23">TRANSPOSE(G24:G119)</f>
        <v>A. H. P. Matthew Elementary</v>
      </c>
      <c r="I23" t="str">
        <v>A. J. McLellan Elementary</v>
      </c>
      <c r="J23" t="str">
        <v>Adams Road Elementary</v>
      </c>
      <c r="K23" t="str">
        <v>Bayridge Elementary</v>
      </c>
      <c r="L23" t="str">
        <v>Bear Creek Elementary</v>
      </c>
      <c r="M23" t="str">
        <v>Beaver Creek Elementary</v>
      </c>
      <c r="N23" t="str">
        <v>Berkshire Park Elementary</v>
      </c>
      <c r="O23" t="str">
        <v>Betty Huff Elementary</v>
      </c>
      <c r="P23" t="str">
        <v>Bonaccord Elementary</v>
      </c>
      <c r="Q23" t="str">
        <v>Bothwell Elementary</v>
      </c>
      <c r="R23" t="str">
        <v>Boundary Park Elementary</v>
      </c>
      <c r="S23" t="str">
        <v>Bridgeview Elementary</v>
      </c>
      <c r="T23" t="str">
        <v>Brookside Elementary</v>
      </c>
      <c r="U23" t="str">
        <v>Cambridge Elementary</v>
      </c>
      <c r="V23" t="str">
        <v>Cedar Hills Elementary</v>
      </c>
      <c r="W23" t="str">
        <v>Chantrell Creek Elementary</v>
      </c>
      <c r="X23" t="str">
        <v>Chimney Hill Elementary</v>
      </c>
      <c r="Y23" t="str">
        <v>Cindrich Elementary</v>
      </c>
      <c r="Z23" t="str">
        <v>Clayton Elementary</v>
      </c>
      <c r="AA23" t="str">
        <v>Coast Meridian Elementary</v>
      </c>
      <c r="AB23" t="str">
        <v>Colebrook Elementary</v>
      </c>
      <c r="AC23" t="str">
        <v>Cougar Creek Elementary</v>
      </c>
      <c r="AD23" t="str">
        <v>Coyote Creek Elementary</v>
      </c>
      <c r="AE23" t="str">
        <v>Creekside Elementary</v>
      </c>
      <c r="AF23" t="str">
        <v>David Brankin Elementary</v>
      </c>
      <c r="AG23" t="str">
        <v>Dogwood Elementary</v>
      </c>
      <c r="AH23" t="str">
        <v>Don Christian Elementary</v>
      </c>
      <c r="AI23" t="str">
        <v>Dr. F. D. Sinclair Elementary</v>
      </c>
      <c r="AJ23" t="str">
        <v>East Kensington Elementary</v>
      </c>
      <c r="AK23" t="str">
        <v>École Crescent Park</v>
      </c>
      <c r="AL23" t="str">
        <v>École Erma Stephenson</v>
      </c>
      <c r="AM23" t="str">
        <v>École Fraser Wood</v>
      </c>
      <c r="AN23" t="str">
        <v>École Frost Road</v>
      </c>
      <c r="AO23" t="str">
        <v>École Henry Bose</v>
      </c>
      <c r="AP23" t="str">
        <v>École Jessie Lee</v>
      </c>
      <c r="AQ23" t="str">
        <v>École K.B. Woodward</v>
      </c>
      <c r="AR23" t="str">
        <v>École Martha Currie</v>
      </c>
      <c r="AS23" t="str">
        <v>École Ocean Cliff</v>
      </c>
      <c r="AT23" t="str">
        <v>École Peace Arch</v>
      </c>
      <c r="AU23" t="str">
        <v>École Riverdale</v>
      </c>
      <c r="AV23" t="str">
        <v>École Simon Cunningham</v>
      </c>
      <c r="AW23" t="str">
        <v>École Sunrise Ridge</v>
      </c>
      <c r="AX23" t="str">
        <v>École Woodward Hill</v>
      </c>
      <c r="AY23" t="str">
        <v>Ellendale Elementary</v>
      </c>
      <c r="AZ23" t="str">
        <v>Forsyth Road Elementary</v>
      </c>
      <c r="BA23" t="str">
        <v>George Greenaway Elementary</v>
      </c>
      <c r="BB23" t="str">
        <v>Georges Vanier Elementary</v>
      </c>
      <c r="BC23" t="str">
        <v>Goldstone Park Elementary</v>
      </c>
      <c r="BD23" t="str">
        <v>Green Timbers Elementary</v>
      </c>
      <c r="BE23" t="str">
        <v>H. T. Thrift Elementary</v>
      </c>
      <c r="BF23" t="str">
        <v>Hall's Prairie Elementary</v>
      </c>
      <c r="BG23" t="str">
        <v>Harold Bishop Elementary</v>
      </c>
      <c r="BH23" t="str">
        <v>Hazelgrove Elementary</v>
      </c>
      <c r="BI23" t="str">
        <v>Hillcrest Elementary</v>
      </c>
      <c r="BJ23" t="str">
        <v>Hjorth Road Elementary</v>
      </c>
      <c r="BK23" t="str">
        <v>Holly Elementary</v>
      </c>
      <c r="BL23" t="str">
        <v>Hyland Elementary</v>
      </c>
      <c r="BM23" t="str">
        <v>J. T. Brown Elementary</v>
      </c>
      <c r="BN23" t="str">
        <v>James Ardiel Elementary</v>
      </c>
      <c r="BO23" t="str">
        <v>Janice Churchill Elementary</v>
      </c>
      <c r="BP23" t="str">
        <v>Katzie Elementary</v>
      </c>
      <c r="BQ23" t="str">
        <v>Kennedy Trail Elementary</v>
      </c>
      <c r="BR23" t="str">
        <v>Kirkbride Elementary</v>
      </c>
      <c r="BS23" t="str">
        <v>Latimer Road Elementary</v>
      </c>
      <c r="BT23" t="str">
        <v>Lena Shaw Elementary</v>
      </c>
      <c r="BU23" t="str">
        <v>M. B. Sanford Elementary</v>
      </c>
      <c r="BV23" t="str">
        <v>Maple Green Elementary</v>
      </c>
      <c r="BW23" t="str">
        <v>Martha Jane Norris Elementary</v>
      </c>
      <c r="BX23" t="str">
        <v>Mary Jane Shannon Elementary</v>
      </c>
      <c r="BY23" t="str">
        <v>Morgan Elementary</v>
      </c>
      <c r="BZ23" t="str">
        <v>Newton Elementary</v>
      </c>
      <c r="CA23" t="str">
        <v>North Ridge Elementary</v>
      </c>
      <c r="CB23" t="str">
        <v>Old Yale Road Elementary</v>
      </c>
      <c r="CC23" t="str">
        <v>Pacific Heights Elementary</v>
      </c>
      <c r="CD23" t="str">
        <v>Panorama Park Elementary</v>
      </c>
      <c r="CE23" t="str">
        <v>Port Kells Elementary</v>
      </c>
      <c r="CF23" t="str">
        <v>Prince Charles Elementary</v>
      </c>
      <c r="CG23" t="str">
        <v>Ray Shepherd Elementary</v>
      </c>
      <c r="CH23" t="str">
        <v>Rosemary Heights Elementary</v>
      </c>
      <c r="CI23" t="str">
        <v>Royal Heights Elementary</v>
      </c>
      <c r="CJ23" t="str">
        <v>Semiahmoo Trail Elementary</v>
      </c>
      <c r="CK23" t="str">
        <v>Senator Reid Elementary</v>
      </c>
      <c r="CL23" t="str">
        <v>Serpentine Heights Elementary</v>
      </c>
      <c r="CM23" t="str">
        <v>South Meridian Elementary</v>
      </c>
      <c r="CN23" t="str">
        <v>Strawberry Hill Elementary</v>
      </c>
      <c r="CO23" t="str">
        <v>Sullivan Elementary</v>
      </c>
      <c r="CP23" t="str">
        <v>Sunnyside Elementary</v>
      </c>
      <c r="CQ23" t="str">
        <v>Surrey Centre Elementary</v>
      </c>
      <c r="CR23" t="str">
        <v>T. E. Scott Elementary</v>
      </c>
      <c r="CS23" t="str">
        <v>W. E. Kinvig Elementary</v>
      </c>
      <c r="CT23" t="str">
        <v>Walnut Road Elementary</v>
      </c>
      <c r="CU23" t="str">
        <v>Westerman Elementary</v>
      </c>
      <c r="CV23" t="str">
        <v>White Rock Elementary</v>
      </c>
      <c r="CW23" t="str">
        <v>William F. Davidson Elementary</v>
      </c>
      <c r="CX23" t="str">
        <v>William Watson Elementary</v>
      </c>
      <c r="CY23" t="str">
        <v>Woodland Park Elementary</v>
      </c>
    </row>
    <row r="24" spans="1:113" ht="15.75" customHeight="1">
      <c r="A24" t="s">
        <v>288</v>
      </c>
      <c r="B24" s="1">
        <v>1</v>
      </c>
      <c r="C24">
        <v>640</v>
      </c>
      <c r="D24">
        <v>410</v>
      </c>
      <c r="E24" s="1">
        <v>600</v>
      </c>
      <c r="G24" t="s">
        <v>288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</v>
      </c>
      <c r="W24">
        <v>0</v>
      </c>
      <c r="X24">
        <v>0</v>
      </c>
      <c r="Y24">
        <v>1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1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1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1</v>
      </c>
      <c r="CC24">
        <v>0</v>
      </c>
      <c r="CD24">
        <v>0</v>
      </c>
      <c r="CE24">
        <v>0</v>
      </c>
      <c r="CF24">
        <v>1</v>
      </c>
      <c r="CG24">
        <v>0</v>
      </c>
      <c r="CH24">
        <v>0</v>
      </c>
      <c r="CI24">
        <v>0</v>
      </c>
      <c r="CJ24">
        <v>0</v>
      </c>
      <c r="CK24">
        <v>1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</row>
    <row r="25" spans="1:113" ht="15.75" customHeight="1">
      <c r="A25" t="s">
        <v>291</v>
      </c>
      <c r="B25" s="1">
        <v>2</v>
      </c>
      <c r="C25">
        <v>816</v>
      </c>
      <c r="D25">
        <v>505</v>
      </c>
      <c r="E25" s="1">
        <v>600</v>
      </c>
      <c r="G25" t="s">
        <v>291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1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1</v>
      </c>
      <c r="CP25">
        <v>0</v>
      </c>
      <c r="CQ25">
        <v>1</v>
      </c>
      <c r="CR25">
        <v>1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1</v>
      </c>
      <c r="CY25">
        <v>0</v>
      </c>
    </row>
    <row r="26" spans="1:113" ht="15.75" customHeight="1">
      <c r="A26" t="s">
        <v>294</v>
      </c>
      <c r="B26" s="1">
        <v>3</v>
      </c>
      <c r="C26">
        <v>980</v>
      </c>
      <c r="D26">
        <v>530</v>
      </c>
      <c r="E26" s="1">
        <v>530</v>
      </c>
      <c r="G26" t="s">
        <v>294</v>
      </c>
      <c r="H26">
        <v>0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  <c r="AA26">
        <v>1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1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1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1</v>
      </c>
      <c r="CY26">
        <v>0</v>
      </c>
    </row>
    <row r="27" spans="1:113" ht="15.75" customHeight="1">
      <c r="A27" t="s">
        <v>296</v>
      </c>
      <c r="B27" s="1">
        <v>4</v>
      </c>
      <c r="C27">
        <v>427</v>
      </c>
      <c r="D27">
        <v>320</v>
      </c>
      <c r="E27" s="1">
        <v>600</v>
      </c>
      <c r="G27" t="s">
        <v>296</v>
      </c>
      <c r="H27">
        <v>0</v>
      </c>
      <c r="I27">
        <v>0</v>
      </c>
      <c r="J27">
        <v>0</v>
      </c>
      <c r="K27">
        <v>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1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1</v>
      </c>
      <c r="CH27">
        <v>0</v>
      </c>
      <c r="CI27">
        <v>0</v>
      </c>
      <c r="CJ27">
        <v>1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</row>
    <row r="28" spans="1:113" ht="15.75" customHeight="1">
      <c r="A28" t="s">
        <v>297</v>
      </c>
      <c r="B28" s="1">
        <v>5</v>
      </c>
      <c r="C28">
        <v>1036</v>
      </c>
      <c r="D28">
        <v>590</v>
      </c>
      <c r="E28" s="1">
        <v>600</v>
      </c>
      <c r="G28" t="s">
        <v>297</v>
      </c>
      <c r="H28">
        <v>0</v>
      </c>
      <c r="I28">
        <v>0</v>
      </c>
      <c r="J28">
        <v>0</v>
      </c>
      <c r="K28">
        <v>0</v>
      </c>
      <c r="L28">
        <v>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0</v>
      </c>
      <c r="V28">
        <v>0</v>
      </c>
      <c r="W28">
        <v>0</v>
      </c>
      <c r="X28">
        <v>0</v>
      </c>
      <c r="Y28">
        <v>1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1</v>
      </c>
      <c r="AF28">
        <v>1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1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1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1</v>
      </c>
      <c r="BV28">
        <v>0</v>
      </c>
      <c r="BW28">
        <v>0</v>
      </c>
      <c r="BX28">
        <v>0</v>
      </c>
      <c r="BY28">
        <v>0</v>
      </c>
      <c r="BZ28">
        <v>1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1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</row>
    <row r="29" spans="1:113" ht="15.75" customHeight="1">
      <c r="A29" t="s">
        <v>298</v>
      </c>
      <c r="B29" s="1">
        <v>6</v>
      </c>
      <c r="C29">
        <v>1697</v>
      </c>
      <c r="D29">
        <v>515</v>
      </c>
      <c r="E29" s="1">
        <v>600</v>
      </c>
      <c r="G29" t="s">
        <v>298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  <c r="N29">
        <v>0</v>
      </c>
      <c r="O29">
        <v>0</v>
      </c>
      <c r="P29">
        <v>0</v>
      </c>
      <c r="Q29">
        <v>0</v>
      </c>
      <c r="R29">
        <v>1</v>
      </c>
      <c r="S29">
        <v>0</v>
      </c>
      <c r="T29">
        <v>0</v>
      </c>
      <c r="U29">
        <v>1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1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1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</row>
    <row r="30" spans="1:113" ht="15.75" customHeight="1">
      <c r="A30" t="s">
        <v>301</v>
      </c>
      <c r="B30" s="1">
        <v>7</v>
      </c>
      <c r="C30">
        <v>503</v>
      </c>
      <c r="D30">
        <v>540</v>
      </c>
      <c r="E30" s="1">
        <v>600</v>
      </c>
      <c r="G30" t="s">
        <v>301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>
        <v>0</v>
      </c>
      <c r="P30">
        <v>1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1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1</v>
      </c>
      <c r="CU30">
        <v>0</v>
      </c>
      <c r="CV30">
        <v>0</v>
      </c>
      <c r="CW30">
        <v>1</v>
      </c>
      <c r="CX30">
        <v>0</v>
      </c>
      <c r="CY30">
        <v>1</v>
      </c>
    </row>
    <row r="31" spans="1:113" ht="15.75" customHeight="1">
      <c r="A31" t="s">
        <v>303</v>
      </c>
      <c r="B31" s="1">
        <v>8</v>
      </c>
      <c r="C31">
        <v>664</v>
      </c>
      <c r="D31">
        <v>540</v>
      </c>
      <c r="E31" s="1">
        <v>600</v>
      </c>
      <c r="G31" t="s">
        <v>303</v>
      </c>
      <c r="H31">
        <v>1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</v>
      </c>
      <c r="W31">
        <v>0</v>
      </c>
      <c r="X31">
        <v>0</v>
      </c>
      <c r="Y31">
        <v>1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1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1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</row>
    <row r="32" spans="1:113" ht="15.75" customHeight="1">
      <c r="A32" t="s">
        <v>304</v>
      </c>
      <c r="B32" s="1">
        <v>9</v>
      </c>
      <c r="C32">
        <v>694</v>
      </c>
      <c r="D32">
        <v>590</v>
      </c>
      <c r="E32" s="1">
        <v>600</v>
      </c>
      <c r="G32" t="s">
        <v>304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</v>
      </c>
      <c r="O32">
        <v>0</v>
      </c>
      <c r="P32">
        <v>1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1</v>
      </c>
      <c r="BE32">
        <v>0</v>
      </c>
      <c r="BF32">
        <v>0</v>
      </c>
      <c r="BG32">
        <v>1</v>
      </c>
      <c r="BH32">
        <v>0</v>
      </c>
      <c r="BI32">
        <v>0</v>
      </c>
      <c r="BJ32">
        <v>1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1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1</v>
      </c>
      <c r="CX32">
        <v>0</v>
      </c>
      <c r="CY32">
        <v>0</v>
      </c>
    </row>
    <row r="33" spans="1:103" ht="15.75" customHeight="1">
      <c r="A33" t="s">
        <v>311</v>
      </c>
      <c r="B33" s="1">
        <v>10</v>
      </c>
      <c r="C33">
        <v>484</v>
      </c>
      <c r="D33">
        <v>315</v>
      </c>
      <c r="E33" s="1">
        <v>600</v>
      </c>
      <c r="G33" t="s">
        <v>311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1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1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1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1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</row>
    <row r="34" spans="1:103" ht="15.75" customHeight="1">
      <c r="A34" t="s">
        <v>313</v>
      </c>
      <c r="B34" s="1">
        <v>11</v>
      </c>
      <c r="C34">
        <v>341</v>
      </c>
      <c r="D34">
        <v>340</v>
      </c>
      <c r="E34" s="1">
        <v>600</v>
      </c>
      <c r="G34" t="s">
        <v>313</v>
      </c>
      <c r="H34">
        <v>0</v>
      </c>
      <c r="I34">
        <v>0</v>
      </c>
      <c r="J34">
        <v>0</v>
      </c>
      <c r="K34">
        <v>0</v>
      </c>
      <c r="L34">
        <v>0</v>
      </c>
      <c r="M34">
        <v>1</v>
      </c>
      <c r="N34">
        <v>0</v>
      </c>
      <c r="O34">
        <v>0</v>
      </c>
      <c r="P34">
        <v>0</v>
      </c>
      <c r="Q34">
        <v>0</v>
      </c>
      <c r="R34">
        <v>1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1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1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</row>
    <row r="35" spans="1:103" ht="15.75" customHeight="1">
      <c r="A35" t="s">
        <v>314</v>
      </c>
      <c r="B35" s="1">
        <v>12</v>
      </c>
      <c r="C35">
        <v>277</v>
      </c>
      <c r="D35">
        <v>220</v>
      </c>
      <c r="E35" s="1">
        <v>600</v>
      </c>
      <c r="G35" t="s">
        <v>314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1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1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1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1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</row>
    <row r="36" spans="1:103" ht="12.75">
      <c r="A36" t="s">
        <v>315</v>
      </c>
      <c r="B36" s="1">
        <v>13</v>
      </c>
      <c r="C36">
        <v>738</v>
      </c>
      <c r="D36">
        <v>490</v>
      </c>
      <c r="E36" s="1">
        <v>600</v>
      </c>
      <c r="G36" t="s">
        <v>315</v>
      </c>
      <c r="H36">
        <v>0</v>
      </c>
      <c r="I36">
        <v>0</v>
      </c>
      <c r="J36">
        <v>0</v>
      </c>
      <c r="K36">
        <v>0</v>
      </c>
      <c r="L36">
        <v>1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1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1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1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1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1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</row>
    <row r="37" spans="1:103" ht="12.75">
      <c r="A37" t="s">
        <v>316</v>
      </c>
      <c r="B37" s="1">
        <v>14</v>
      </c>
      <c r="C37">
        <v>1408</v>
      </c>
      <c r="D37">
        <v>1055</v>
      </c>
      <c r="E37" s="1">
        <v>1125</v>
      </c>
      <c r="G37" t="s">
        <v>316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1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1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1</v>
      </c>
      <c r="AY37">
        <v>0</v>
      </c>
      <c r="AZ37">
        <v>0</v>
      </c>
      <c r="BA37">
        <v>0</v>
      </c>
      <c r="BB37">
        <v>0</v>
      </c>
      <c r="BC37">
        <v>1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1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1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1</v>
      </c>
      <c r="CP37">
        <v>0</v>
      </c>
      <c r="CQ37">
        <v>0</v>
      </c>
      <c r="CR37">
        <v>1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</row>
    <row r="38" spans="1:103" ht="12.75">
      <c r="A38" t="s">
        <v>317</v>
      </c>
      <c r="B38" s="1">
        <v>15</v>
      </c>
      <c r="C38">
        <v>365</v>
      </c>
      <c r="D38">
        <v>465</v>
      </c>
      <c r="E38" s="1">
        <v>600</v>
      </c>
      <c r="G38" t="s">
        <v>317</v>
      </c>
      <c r="H38">
        <v>1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1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1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1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1</v>
      </c>
      <c r="CG38">
        <v>0</v>
      </c>
      <c r="CH38">
        <v>0</v>
      </c>
      <c r="CI38">
        <v>1</v>
      </c>
      <c r="CJ38">
        <v>0</v>
      </c>
      <c r="CK38">
        <v>1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</row>
    <row r="39" spans="1:103" ht="12.75">
      <c r="A39" t="s">
        <v>318</v>
      </c>
      <c r="B39" s="1">
        <v>16</v>
      </c>
      <c r="C39">
        <v>400</v>
      </c>
      <c r="D39">
        <v>370</v>
      </c>
      <c r="E39" s="1">
        <v>600</v>
      </c>
      <c r="G39" t="s">
        <v>318</v>
      </c>
      <c r="H39">
        <v>0</v>
      </c>
      <c r="I39">
        <v>0</v>
      </c>
      <c r="J39">
        <v>0</v>
      </c>
      <c r="K39">
        <v>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1</v>
      </c>
      <c r="X39">
        <v>0</v>
      </c>
      <c r="Y39">
        <v>0</v>
      </c>
      <c r="Z39">
        <v>0</v>
      </c>
      <c r="AA39">
        <v>0</v>
      </c>
      <c r="AB39">
        <v>1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1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1</v>
      </c>
      <c r="CH39">
        <v>1</v>
      </c>
      <c r="CI39">
        <v>0</v>
      </c>
      <c r="CJ39">
        <v>1</v>
      </c>
      <c r="CK39">
        <v>0</v>
      </c>
      <c r="CL39">
        <v>0</v>
      </c>
      <c r="CM39">
        <v>0</v>
      </c>
      <c r="CN39">
        <v>0</v>
      </c>
      <c r="CO39">
        <v>1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</row>
    <row r="40" spans="1:103" ht="12.75">
      <c r="A40" t="s">
        <v>319</v>
      </c>
      <c r="B40" s="1">
        <v>17</v>
      </c>
      <c r="C40">
        <v>1598</v>
      </c>
      <c r="D40">
        <v>655</v>
      </c>
      <c r="E40" s="1">
        <v>655</v>
      </c>
      <c r="G40" t="s">
        <v>319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1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1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1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1</v>
      </c>
      <c r="BV40">
        <v>1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1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</row>
    <row r="41" spans="1:103" ht="12.75">
      <c r="A41" t="s">
        <v>320</v>
      </c>
      <c r="B41" s="1">
        <v>18</v>
      </c>
      <c r="C41">
        <v>851</v>
      </c>
      <c r="D41">
        <v>515</v>
      </c>
      <c r="E41" s="1">
        <v>600</v>
      </c>
      <c r="G41" t="s">
        <v>320</v>
      </c>
      <c r="H41">
        <v>1</v>
      </c>
      <c r="I41">
        <v>0</v>
      </c>
      <c r="J41">
        <v>0</v>
      </c>
      <c r="K41">
        <v>0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1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1</v>
      </c>
      <c r="AF41">
        <v>1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1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</row>
    <row r="42" spans="1:103" ht="12.75">
      <c r="A42" t="s">
        <v>321</v>
      </c>
      <c r="B42" s="1">
        <v>19</v>
      </c>
      <c r="C42">
        <v>1187</v>
      </c>
      <c r="D42">
        <v>2100</v>
      </c>
      <c r="E42" s="1">
        <v>2100</v>
      </c>
      <c r="G42" t="s">
        <v>321</v>
      </c>
      <c r="H42">
        <v>0</v>
      </c>
      <c r="I42">
        <v>0</v>
      </c>
      <c r="J42">
        <v>1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  <c r="AA42">
        <v>1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1</v>
      </c>
      <c r="BI42">
        <v>1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1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1</v>
      </c>
      <c r="CY42">
        <v>0</v>
      </c>
    </row>
    <row r="43" spans="1:103" ht="12.75">
      <c r="A43" t="s">
        <v>322</v>
      </c>
      <c r="B43" s="1">
        <v>20</v>
      </c>
      <c r="C43">
        <v>1010</v>
      </c>
      <c r="D43">
        <v>330</v>
      </c>
      <c r="E43" s="1">
        <v>600</v>
      </c>
      <c r="G43" t="s">
        <v>322</v>
      </c>
      <c r="H43">
        <v>0</v>
      </c>
      <c r="I43">
        <v>0</v>
      </c>
      <c r="J43">
        <v>1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  <c r="AA43">
        <v>1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1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1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1</v>
      </c>
      <c r="CY43">
        <v>0</v>
      </c>
    </row>
    <row r="44" spans="1:103" ht="12.75">
      <c r="A44" t="s">
        <v>323</v>
      </c>
      <c r="B44" s="1">
        <v>21</v>
      </c>
      <c r="C44">
        <v>790</v>
      </c>
      <c r="D44">
        <v>320</v>
      </c>
      <c r="E44" s="1">
        <v>600</v>
      </c>
      <c r="G44" t="s">
        <v>323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1</v>
      </c>
      <c r="S44">
        <v>0</v>
      </c>
      <c r="T44">
        <v>0</v>
      </c>
      <c r="U44">
        <v>1</v>
      </c>
      <c r="V44">
        <v>0</v>
      </c>
      <c r="W44">
        <v>1</v>
      </c>
      <c r="X44">
        <v>0</v>
      </c>
      <c r="Y44">
        <v>0</v>
      </c>
      <c r="Z44">
        <v>0</v>
      </c>
      <c r="AA44">
        <v>0</v>
      </c>
      <c r="AB44">
        <v>1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1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1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1</v>
      </c>
      <c r="CB44">
        <v>0</v>
      </c>
      <c r="CC44">
        <v>0</v>
      </c>
      <c r="CD44">
        <v>1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1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</row>
    <row r="45" spans="1:103" ht="12.75">
      <c r="A45" t="s">
        <v>324</v>
      </c>
      <c r="B45" s="1">
        <v>22</v>
      </c>
      <c r="C45">
        <v>960</v>
      </c>
      <c r="D45">
        <v>590</v>
      </c>
      <c r="E45" s="1">
        <v>600</v>
      </c>
      <c r="G45" t="s">
        <v>324</v>
      </c>
      <c r="H45">
        <v>0</v>
      </c>
      <c r="I45">
        <v>0</v>
      </c>
      <c r="J45">
        <v>0</v>
      </c>
      <c r="K45">
        <v>0</v>
      </c>
      <c r="L45">
        <v>0</v>
      </c>
      <c r="M45">
        <v>1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1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1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1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1</v>
      </c>
      <c r="CO45">
        <v>0</v>
      </c>
      <c r="CP45">
        <v>0</v>
      </c>
      <c r="CQ45">
        <v>0</v>
      </c>
      <c r="CR45">
        <v>0</v>
      </c>
      <c r="CS45">
        <v>1</v>
      </c>
      <c r="CT45">
        <v>0</v>
      </c>
      <c r="CU45">
        <v>1</v>
      </c>
      <c r="CV45">
        <v>0</v>
      </c>
      <c r="CW45">
        <v>0</v>
      </c>
      <c r="CX45">
        <v>0</v>
      </c>
      <c r="CY45">
        <v>0</v>
      </c>
    </row>
    <row r="46" spans="1:103" ht="12.75">
      <c r="A46" t="s">
        <v>325</v>
      </c>
      <c r="B46" s="1">
        <v>23</v>
      </c>
      <c r="C46">
        <v>406</v>
      </c>
      <c r="D46">
        <v>665</v>
      </c>
      <c r="E46" s="1">
        <v>600</v>
      </c>
      <c r="G46" t="s">
        <v>325</v>
      </c>
      <c r="H46">
        <v>0</v>
      </c>
      <c r="I46">
        <v>1</v>
      </c>
      <c r="J46">
        <v>0</v>
      </c>
      <c r="K46">
        <v>0</v>
      </c>
      <c r="L46">
        <v>0</v>
      </c>
      <c r="M46">
        <v>0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1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1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1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1</v>
      </c>
      <c r="CS46">
        <v>0</v>
      </c>
      <c r="CT46">
        <v>1</v>
      </c>
      <c r="CU46">
        <v>0</v>
      </c>
      <c r="CV46">
        <v>0</v>
      </c>
      <c r="CW46">
        <v>0</v>
      </c>
      <c r="CX46">
        <v>1</v>
      </c>
      <c r="CY46">
        <v>1</v>
      </c>
    </row>
    <row r="47" spans="1:103" ht="12.75">
      <c r="A47" t="s">
        <v>326</v>
      </c>
      <c r="B47" s="1">
        <v>24</v>
      </c>
      <c r="C47">
        <v>481</v>
      </c>
      <c r="D47">
        <v>490</v>
      </c>
      <c r="E47" s="1">
        <v>600</v>
      </c>
      <c r="G47" t="s">
        <v>326</v>
      </c>
      <c r="H47">
        <v>0</v>
      </c>
      <c r="I47">
        <v>0</v>
      </c>
      <c r="J47">
        <v>0</v>
      </c>
      <c r="K47">
        <v>0</v>
      </c>
      <c r="L47">
        <v>1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</v>
      </c>
      <c r="U47">
        <v>0</v>
      </c>
      <c r="V47">
        <v>0</v>
      </c>
      <c r="W47">
        <v>0</v>
      </c>
      <c r="X47">
        <v>0</v>
      </c>
      <c r="Y47">
        <v>1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1</v>
      </c>
      <c r="AF47">
        <v>1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1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</row>
    <row r="48" spans="1:103" ht="12.75">
      <c r="A48" t="s">
        <v>327</v>
      </c>
      <c r="B48" s="1">
        <v>25</v>
      </c>
      <c r="C48">
        <v>812</v>
      </c>
      <c r="D48">
        <v>515</v>
      </c>
      <c r="E48" s="1">
        <v>600</v>
      </c>
      <c r="G48" t="s">
        <v>327</v>
      </c>
      <c r="H48">
        <v>0</v>
      </c>
      <c r="I48">
        <v>0</v>
      </c>
      <c r="J48">
        <v>0</v>
      </c>
      <c r="K48">
        <v>0</v>
      </c>
      <c r="L48">
        <v>1</v>
      </c>
      <c r="M48">
        <v>0</v>
      </c>
      <c r="N48">
        <v>0</v>
      </c>
      <c r="O48">
        <v>1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1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1</v>
      </c>
      <c r="AF48">
        <v>1</v>
      </c>
      <c r="AG48">
        <v>0</v>
      </c>
      <c r="AH48">
        <v>0</v>
      </c>
      <c r="AI48">
        <v>1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1</v>
      </c>
      <c r="BR48">
        <v>1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1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1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</row>
    <row r="49" spans="1:103" ht="12.75">
      <c r="A49" t="s">
        <v>328</v>
      </c>
      <c r="B49" s="1">
        <v>26</v>
      </c>
      <c r="C49">
        <v>747</v>
      </c>
      <c r="D49">
        <v>490</v>
      </c>
      <c r="E49" s="1">
        <v>600</v>
      </c>
      <c r="G49" t="s">
        <v>328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1</v>
      </c>
      <c r="AH49">
        <v>0</v>
      </c>
      <c r="AI49">
        <v>0</v>
      </c>
      <c r="AJ49">
        <v>0</v>
      </c>
      <c r="AK49">
        <v>0</v>
      </c>
      <c r="AL49">
        <v>1</v>
      </c>
      <c r="AM49">
        <v>1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1</v>
      </c>
      <c r="AV49">
        <v>0</v>
      </c>
      <c r="AW49">
        <v>0</v>
      </c>
      <c r="AX49">
        <v>0</v>
      </c>
      <c r="AY49">
        <v>1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1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1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</row>
    <row r="50" spans="1:103" ht="12.75">
      <c r="A50" t="s">
        <v>329</v>
      </c>
      <c r="B50" s="1">
        <v>27</v>
      </c>
      <c r="C50">
        <v>416</v>
      </c>
      <c r="D50">
        <v>365</v>
      </c>
      <c r="E50" s="1">
        <v>600</v>
      </c>
      <c r="G50" t="s">
        <v>329</v>
      </c>
      <c r="H50">
        <v>0</v>
      </c>
      <c r="I50">
        <v>0</v>
      </c>
      <c r="J50">
        <v>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1</v>
      </c>
      <c r="AS50">
        <v>0</v>
      </c>
      <c r="AT50">
        <v>0</v>
      </c>
      <c r="AU50">
        <v>0</v>
      </c>
      <c r="AV50">
        <v>0</v>
      </c>
      <c r="AW50">
        <v>1</v>
      </c>
      <c r="AX50">
        <v>0</v>
      </c>
      <c r="AY50">
        <v>0</v>
      </c>
      <c r="AZ50">
        <v>0</v>
      </c>
      <c r="BA50">
        <v>1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1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1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</row>
    <row r="51" spans="1:103" ht="12.75">
      <c r="A51" t="s">
        <v>330</v>
      </c>
      <c r="B51" s="1">
        <v>28</v>
      </c>
      <c r="C51">
        <v>755</v>
      </c>
      <c r="D51">
        <v>585</v>
      </c>
      <c r="E51" s="1">
        <v>600</v>
      </c>
      <c r="G51" t="s">
        <v>330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1</v>
      </c>
      <c r="AD51">
        <v>0</v>
      </c>
      <c r="AE51">
        <v>0</v>
      </c>
      <c r="AF51">
        <v>1</v>
      </c>
      <c r="AG51">
        <v>0</v>
      </c>
      <c r="AH51">
        <v>0</v>
      </c>
      <c r="AI51">
        <v>1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1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1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1</v>
      </c>
      <c r="CO51">
        <v>0</v>
      </c>
      <c r="CP51">
        <v>0</v>
      </c>
      <c r="CQ51">
        <v>0</v>
      </c>
      <c r="CR51">
        <v>0</v>
      </c>
      <c r="CS51">
        <v>1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</row>
    <row r="52" spans="1:103" ht="12.75">
      <c r="A52" t="s">
        <v>331</v>
      </c>
      <c r="B52" s="1">
        <v>29</v>
      </c>
      <c r="C52">
        <v>247</v>
      </c>
      <c r="D52">
        <v>645</v>
      </c>
      <c r="E52" s="1">
        <v>1125</v>
      </c>
      <c r="G52" t="s">
        <v>331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1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1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1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1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1</v>
      </c>
      <c r="BZ52">
        <v>0</v>
      </c>
      <c r="CA52">
        <v>0</v>
      </c>
      <c r="CB52">
        <v>0</v>
      </c>
      <c r="CC52">
        <v>1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</row>
    <row r="53" spans="1:103" ht="12.75">
      <c r="A53" t="s">
        <v>332</v>
      </c>
      <c r="B53" s="1">
        <v>30</v>
      </c>
      <c r="C53">
        <v>244</v>
      </c>
      <c r="D53">
        <v>415</v>
      </c>
      <c r="E53" s="1">
        <v>600</v>
      </c>
      <c r="G53" t="s">
        <v>332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1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1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1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</row>
    <row r="54" spans="1:103" ht="12.75">
      <c r="A54" t="s">
        <v>333</v>
      </c>
      <c r="B54" s="1">
        <v>31</v>
      </c>
      <c r="C54">
        <v>526</v>
      </c>
      <c r="D54">
        <v>365</v>
      </c>
      <c r="E54" s="1">
        <v>600</v>
      </c>
      <c r="G54" t="s">
        <v>333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1</v>
      </c>
      <c r="AH54">
        <v>0</v>
      </c>
      <c r="AI54">
        <v>0</v>
      </c>
      <c r="AJ54">
        <v>0</v>
      </c>
      <c r="AK54">
        <v>0</v>
      </c>
      <c r="AL54">
        <v>1</v>
      </c>
      <c r="AM54">
        <v>1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</row>
    <row r="55" spans="1:103" ht="12.75">
      <c r="A55" t="s">
        <v>334</v>
      </c>
      <c r="B55" s="1">
        <v>32</v>
      </c>
      <c r="C55">
        <v>659</v>
      </c>
      <c r="D55">
        <v>490</v>
      </c>
      <c r="E55" s="1">
        <v>600</v>
      </c>
      <c r="G55" t="s">
        <v>334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1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1</v>
      </c>
      <c r="AH55">
        <v>0</v>
      </c>
      <c r="AI55">
        <v>0</v>
      </c>
      <c r="AJ55">
        <v>0</v>
      </c>
      <c r="AK55">
        <v>0</v>
      </c>
      <c r="AL55">
        <v>1</v>
      </c>
      <c r="AM55">
        <v>1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1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1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</row>
    <row r="56" spans="1:103" ht="12.75">
      <c r="A56" t="s">
        <v>335</v>
      </c>
      <c r="B56" s="1">
        <v>33</v>
      </c>
      <c r="C56">
        <v>921</v>
      </c>
      <c r="D56">
        <v>530</v>
      </c>
      <c r="E56" s="1">
        <v>600</v>
      </c>
      <c r="G56" t="s">
        <v>335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1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1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1</v>
      </c>
      <c r="CU56">
        <v>0</v>
      </c>
      <c r="CV56">
        <v>0</v>
      </c>
      <c r="CW56">
        <v>0</v>
      </c>
      <c r="CX56">
        <v>1</v>
      </c>
      <c r="CY56">
        <v>1</v>
      </c>
    </row>
    <row r="57" spans="1:103" ht="12.75">
      <c r="A57" t="s">
        <v>336</v>
      </c>
      <c r="B57" s="1">
        <v>34</v>
      </c>
      <c r="C57">
        <v>594</v>
      </c>
      <c r="D57">
        <v>390</v>
      </c>
      <c r="E57" s="1">
        <v>600</v>
      </c>
      <c r="G57" t="s">
        <v>336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1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1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1</v>
      </c>
      <c r="BX57">
        <v>0</v>
      </c>
      <c r="BY57">
        <v>0</v>
      </c>
      <c r="BZ57">
        <v>0</v>
      </c>
      <c r="CA57">
        <v>1</v>
      </c>
      <c r="CB57">
        <v>0</v>
      </c>
      <c r="CC57">
        <v>0</v>
      </c>
      <c r="CD57">
        <v>1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1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</row>
    <row r="58" spans="1:103" ht="12.75">
      <c r="A58" t="s">
        <v>337</v>
      </c>
      <c r="B58" s="1">
        <v>35</v>
      </c>
      <c r="C58">
        <v>720</v>
      </c>
      <c r="D58">
        <v>440</v>
      </c>
      <c r="E58" s="1">
        <v>600</v>
      </c>
      <c r="G58" t="s">
        <v>337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1</v>
      </c>
      <c r="AQ58">
        <v>0</v>
      </c>
      <c r="AR58">
        <v>0</v>
      </c>
      <c r="AS58">
        <v>0</v>
      </c>
      <c r="AT58">
        <v>1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1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1</v>
      </c>
      <c r="BZ58">
        <v>0</v>
      </c>
      <c r="CA58">
        <v>0</v>
      </c>
      <c r="CB58">
        <v>0</v>
      </c>
      <c r="CC58">
        <v>1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1</v>
      </c>
      <c r="CK58">
        <v>0</v>
      </c>
      <c r="CL58">
        <v>0</v>
      </c>
      <c r="CM58">
        <v>1</v>
      </c>
      <c r="CN58">
        <v>0</v>
      </c>
      <c r="CO58">
        <v>0</v>
      </c>
      <c r="CP58">
        <v>1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1</v>
      </c>
      <c r="CW58">
        <v>0</v>
      </c>
      <c r="CX58">
        <v>0</v>
      </c>
      <c r="CY58">
        <v>0</v>
      </c>
    </row>
    <row r="59" spans="1:103" ht="12.75">
      <c r="A59" t="s">
        <v>338</v>
      </c>
      <c r="B59" s="1">
        <v>36</v>
      </c>
      <c r="C59">
        <v>806</v>
      </c>
      <c r="D59">
        <v>465</v>
      </c>
      <c r="E59" s="1">
        <v>600</v>
      </c>
      <c r="G59" t="s">
        <v>338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1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1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1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1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1</v>
      </c>
      <c r="CC59">
        <v>0</v>
      </c>
      <c r="CD59">
        <v>0</v>
      </c>
      <c r="CE59">
        <v>0</v>
      </c>
      <c r="CF59">
        <v>1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</row>
    <row r="60" spans="1:103" ht="12.75">
      <c r="A60" t="s">
        <v>339</v>
      </c>
      <c r="B60" s="1">
        <v>37</v>
      </c>
      <c r="C60">
        <v>515</v>
      </c>
      <c r="D60">
        <v>610</v>
      </c>
      <c r="E60" s="1">
        <v>610</v>
      </c>
      <c r="G60" t="s">
        <v>339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1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1</v>
      </c>
      <c r="AS60">
        <v>0</v>
      </c>
      <c r="AT60">
        <v>0</v>
      </c>
      <c r="AU60">
        <v>0</v>
      </c>
      <c r="AV60">
        <v>0</v>
      </c>
      <c r="AW60">
        <v>1</v>
      </c>
      <c r="AX60">
        <v>0</v>
      </c>
      <c r="AY60">
        <v>0</v>
      </c>
      <c r="AZ60">
        <v>0</v>
      </c>
      <c r="BA60">
        <v>1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1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1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1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</row>
    <row r="61" spans="1:103" ht="12.75">
      <c r="A61" t="s">
        <v>340</v>
      </c>
      <c r="B61" s="1">
        <v>38</v>
      </c>
      <c r="C61">
        <v>336</v>
      </c>
      <c r="D61">
        <v>290</v>
      </c>
      <c r="E61" s="1">
        <v>600</v>
      </c>
      <c r="G61" t="s">
        <v>340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1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1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1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</row>
    <row r="62" spans="1:103" ht="12.75">
      <c r="A62" t="s">
        <v>341</v>
      </c>
      <c r="B62" s="1">
        <v>39</v>
      </c>
      <c r="C62">
        <v>269</v>
      </c>
      <c r="D62">
        <v>540</v>
      </c>
      <c r="E62" s="1">
        <v>600</v>
      </c>
      <c r="G62" t="s">
        <v>341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1</v>
      </c>
      <c r="AQ62">
        <v>0</v>
      </c>
      <c r="AR62">
        <v>0</v>
      </c>
      <c r="AS62">
        <v>0</v>
      </c>
      <c r="AT62">
        <v>1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1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1</v>
      </c>
      <c r="CW62">
        <v>0</v>
      </c>
      <c r="CX62">
        <v>0</v>
      </c>
      <c r="CY62">
        <v>0</v>
      </c>
    </row>
    <row r="63" spans="1:103" ht="12.75">
      <c r="A63" t="s">
        <v>342</v>
      </c>
      <c r="B63" s="1">
        <v>40</v>
      </c>
      <c r="C63">
        <v>280</v>
      </c>
      <c r="D63">
        <v>455</v>
      </c>
      <c r="E63" s="1">
        <v>600</v>
      </c>
      <c r="G63" t="s">
        <v>342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1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1</v>
      </c>
      <c r="AV63">
        <v>0</v>
      </c>
      <c r="AW63">
        <v>0</v>
      </c>
      <c r="AX63">
        <v>0</v>
      </c>
      <c r="AY63">
        <v>1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1</v>
      </c>
      <c r="BH63">
        <v>0</v>
      </c>
      <c r="BI63">
        <v>0</v>
      </c>
      <c r="BJ63">
        <v>0</v>
      </c>
      <c r="BK63">
        <v>1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1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</row>
    <row r="64" spans="1:103" ht="12.75">
      <c r="A64" t="s">
        <v>343</v>
      </c>
      <c r="B64" s="1">
        <v>41</v>
      </c>
      <c r="C64">
        <v>630</v>
      </c>
      <c r="D64">
        <v>635</v>
      </c>
      <c r="E64" s="1">
        <v>635</v>
      </c>
      <c r="G64" t="s">
        <v>343</v>
      </c>
      <c r="H64">
        <v>1</v>
      </c>
      <c r="I64">
        <v>0</v>
      </c>
      <c r="J64">
        <v>0</v>
      </c>
      <c r="K64">
        <v>0</v>
      </c>
      <c r="L64">
        <v>1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</v>
      </c>
      <c r="U64">
        <v>0</v>
      </c>
      <c r="V64">
        <v>0</v>
      </c>
      <c r="W64">
        <v>0</v>
      </c>
      <c r="X64">
        <v>0</v>
      </c>
      <c r="Y64">
        <v>1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1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1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1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1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1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</row>
    <row r="65" spans="1:103" ht="12.75">
      <c r="A65" t="s">
        <v>344</v>
      </c>
      <c r="B65" s="1">
        <v>42</v>
      </c>
      <c r="C65">
        <v>357</v>
      </c>
      <c r="D65">
        <v>305</v>
      </c>
      <c r="E65" s="1">
        <v>600</v>
      </c>
      <c r="G65" t="s">
        <v>344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1</v>
      </c>
      <c r="AS65">
        <v>0</v>
      </c>
      <c r="AT65">
        <v>0</v>
      </c>
      <c r="AU65">
        <v>0</v>
      </c>
      <c r="AV65">
        <v>0</v>
      </c>
      <c r="AW65">
        <v>1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1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</row>
    <row r="66" spans="1:103" ht="12.75">
      <c r="A66" t="s">
        <v>345</v>
      </c>
      <c r="B66" s="1">
        <v>43</v>
      </c>
      <c r="C66">
        <v>508</v>
      </c>
      <c r="D66">
        <v>510</v>
      </c>
      <c r="E66" s="1">
        <v>600</v>
      </c>
      <c r="G66" t="s">
        <v>345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1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1</v>
      </c>
      <c r="AY66">
        <v>0</v>
      </c>
      <c r="AZ66">
        <v>0</v>
      </c>
      <c r="BA66">
        <v>0</v>
      </c>
      <c r="BB66">
        <v>0</v>
      </c>
      <c r="BC66">
        <v>1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1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1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</row>
    <row r="67" spans="1:103" ht="12.75">
      <c r="A67" t="s">
        <v>349</v>
      </c>
      <c r="B67" s="1">
        <v>44</v>
      </c>
      <c r="C67">
        <v>318</v>
      </c>
      <c r="D67">
        <v>170</v>
      </c>
      <c r="E67" s="1">
        <v>600</v>
      </c>
      <c r="G67" t="s">
        <v>349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1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1</v>
      </c>
      <c r="AV67">
        <v>0</v>
      </c>
      <c r="AW67">
        <v>0</v>
      </c>
      <c r="AX67">
        <v>0</v>
      </c>
      <c r="AY67">
        <v>1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1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1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</row>
    <row r="68" spans="1:103" ht="12.75">
      <c r="A68" t="s">
        <v>350</v>
      </c>
      <c r="B68" s="1">
        <v>45</v>
      </c>
      <c r="C68">
        <v>564</v>
      </c>
      <c r="D68">
        <v>457</v>
      </c>
      <c r="E68" s="1">
        <v>457</v>
      </c>
      <c r="G68" t="s">
        <v>350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1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1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1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1</v>
      </c>
      <c r="BU68">
        <v>0</v>
      </c>
      <c r="BV68">
        <v>0</v>
      </c>
      <c r="BW68">
        <v>0</v>
      </c>
      <c r="BX68">
        <v>1</v>
      </c>
      <c r="BY68">
        <v>0</v>
      </c>
      <c r="BZ68">
        <v>0</v>
      </c>
      <c r="CA68">
        <v>0</v>
      </c>
      <c r="CB68">
        <v>1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</row>
    <row r="69" spans="1:103" ht="12.75">
      <c r="A69" t="s">
        <v>351</v>
      </c>
      <c r="B69" s="1">
        <v>46</v>
      </c>
      <c r="C69">
        <v>771</v>
      </c>
      <c r="D69">
        <v>440</v>
      </c>
      <c r="E69" s="1">
        <v>600</v>
      </c>
      <c r="G69" t="s">
        <v>351</v>
      </c>
      <c r="H69">
        <v>0</v>
      </c>
      <c r="I69">
        <v>1</v>
      </c>
      <c r="J69">
        <v>1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1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1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1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1</v>
      </c>
      <c r="CY69">
        <v>0</v>
      </c>
    </row>
    <row r="70" spans="1:103" ht="12.75">
      <c r="A70" t="s">
        <v>352</v>
      </c>
      <c r="B70" s="1">
        <v>47</v>
      </c>
      <c r="C70">
        <v>1278</v>
      </c>
      <c r="D70">
        <v>590</v>
      </c>
      <c r="E70" s="1">
        <v>600</v>
      </c>
      <c r="G70" t="s">
        <v>352</v>
      </c>
      <c r="H70">
        <v>0</v>
      </c>
      <c r="I70">
        <v>0</v>
      </c>
      <c r="J70">
        <v>0</v>
      </c>
      <c r="K70">
        <v>0</v>
      </c>
      <c r="L70">
        <v>1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1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1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1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1</v>
      </c>
      <c r="BV70">
        <v>0</v>
      </c>
      <c r="BW70">
        <v>0</v>
      </c>
      <c r="BX70">
        <v>0</v>
      </c>
      <c r="BY70">
        <v>0</v>
      </c>
      <c r="BZ70">
        <v>1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1</v>
      </c>
      <c r="CS70">
        <v>1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</row>
    <row r="71" spans="1:103" ht="12.75">
      <c r="A71" t="s">
        <v>353</v>
      </c>
      <c r="B71" s="1">
        <v>48</v>
      </c>
      <c r="C71">
        <v>902</v>
      </c>
      <c r="D71">
        <v>555</v>
      </c>
      <c r="E71" s="1">
        <v>555</v>
      </c>
      <c r="G71" t="s">
        <v>353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1</v>
      </c>
      <c r="AY71">
        <v>0</v>
      </c>
      <c r="AZ71">
        <v>0</v>
      </c>
      <c r="BA71">
        <v>0</v>
      </c>
      <c r="BB71">
        <v>0</v>
      </c>
      <c r="BC71">
        <v>1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1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1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</row>
    <row r="72" spans="1:103" ht="12.75">
      <c r="A72" t="s">
        <v>354</v>
      </c>
      <c r="B72" s="1">
        <v>49</v>
      </c>
      <c r="C72">
        <v>687</v>
      </c>
      <c r="D72">
        <v>615</v>
      </c>
      <c r="E72" s="1">
        <v>615</v>
      </c>
      <c r="G72" t="s">
        <v>354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1</v>
      </c>
      <c r="O72">
        <v>0</v>
      </c>
      <c r="P72">
        <v>1</v>
      </c>
      <c r="Q72">
        <v>0</v>
      </c>
      <c r="R72">
        <v>0</v>
      </c>
      <c r="S72">
        <v>0</v>
      </c>
      <c r="T72">
        <v>1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1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1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1</v>
      </c>
      <c r="BP72">
        <v>0</v>
      </c>
      <c r="BQ72">
        <v>0</v>
      </c>
      <c r="BR72">
        <v>0</v>
      </c>
      <c r="BS72">
        <v>0</v>
      </c>
      <c r="BT72">
        <v>1</v>
      </c>
      <c r="BU72">
        <v>0</v>
      </c>
      <c r="BV72">
        <v>1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</row>
    <row r="73" spans="1:103" ht="12.75">
      <c r="A73" t="s">
        <v>355</v>
      </c>
      <c r="B73" s="1">
        <v>50</v>
      </c>
      <c r="C73">
        <v>501</v>
      </c>
      <c r="D73">
        <v>245</v>
      </c>
      <c r="E73" s="1">
        <v>600</v>
      </c>
      <c r="G73" t="s">
        <v>355</v>
      </c>
      <c r="H73">
        <v>0</v>
      </c>
      <c r="I73">
        <v>0</v>
      </c>
      <c r="J73">
        <v>0</v>
      </c>
      <c r="K73">
        <v>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1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1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1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1</v>
      </c>
      <c r="CW73">
        <v>0</v>
      </c>
      <c r="CX73">
        <v>0</v>
      </c>
      <c r="CY73">
        <v>0</v>
      </c>
    </row>
    <row r="74" spans="1:103" ht="12.75">
      <c r="A74" t="s">
        <v>356</v>
      </c>
      <c r="B74" s="1">
        <v>51</v>
      </c>
      <c r="C74">
        <v>247</v>
      </c>
      <c r="D74">
        <v>645</v>
      </c>
      <c r="E74" s="1">
        <v>1200</v>
      </c>
      <c r="G74" t="s">
        <v>356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1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1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1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1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</row>
    <row r="75" spans="1:103" ht="12.75">
      <c r="A75" t="s">
        <v>357</v>
      </c>
      <c r="B75" s="1">
        <v>52</v>
      </c>
      <c r="C75">
        <v>1067</v>
      </c>
      <c r="D75">
        <v>565</v>
      </c>
      <c r="E75" s="1">
        <v>600</v>
      </c>
      <c r="G75" t="s">
        <v>357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1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1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1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1</v>
      </c>
      <c r="BH75">
        <v>0</v>
      </c>
      <c r="BI75">
        <v>0</v>
      </c>
      <c r="BJ75">
        <v>1</v>
      </c>
      <c r="BK75">
        <v>1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1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1</v>
      </c>
      <c r="CX75">
        <v>0</v>
      </c>
      <c r="CY75">
        <v>0</v>
      </c>
    </row>
    <row r="76" spans="1:103" ht="12.75">
      <c r="A76" t="s">
        <v>358</v>
      </c>
      <c r="B76" s="1">
        <v>53</v>
      </c>
      <c r="C76">
        <v>1187</v>
      </c>
      <c r="D76">
        <v>530</v>
      </c>
      <c r="E76" s="1">
        <v>600</v>
      </c>
      <c r="G76" t="s">
        <v>358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1</v>
      </c>
      <c r="BI76">
        <v>1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1</v>
      </c>
      <c r="BQ76">
        <v>0</v>
      </c>
      <c r="BR76">
        <v>0</v>
      </c>
      <c r="BS76">
        <v>1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</row>
    <row r="77" spans="1:103" ht="12.75">
      <c r="A77" t="s">
        <v>359</v>
      </c>
      <c r="B77" s="1">
        <v>54</v>
      </c>
      <c r="C77">
        <v>980</v>
      </c>
      <c r="D77">
        <v>480</v>
      </c>
      <c r="E77" s="1">
        <v>600</v>
      </c>
      <c r="G77" t="s">
        <v>359</v>
      </c>
      <c r="H77">
        <v>0</v>
      </c>
      <c r="I77">
        <v>0</v>
      </c>
      <c r="J77">
        <v>1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1</v>
      </c>
      <c r="BI77">
        <v>1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1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</row>
    <row r="78" spans="1:103" ht="12.75">
      <c r="A78" t="s">
        <v>360</v>
      </c>
      <c r="B78" s="1">
        <v>55</v>
      </c>
      <c r="C78">
        <v>395</v>
      </c>
      <c r="D78">
        <v>240</v>
      </c>
      <c r="E78" s="1">
        <v>600</v>
      </c>
      <c r="G78" t="s">
        <v>360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1</v>
      </c>
      <c r="BH78">
        <v>0</v>
      </c>
      <c r="BI78">
        <v>0</v>
      </c>
      <c r="BJ78">
        <v>1</v>
      </c>
      <c r="BK78">
        <v>1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1</v>
      </c>
      <c r="BU78">
        <v>0</v>
      </c>
      <c r="BV78">
        <v>0</v>
      </c>
      <c r="BW78">
        <v>0</v>
      </c>
      <c r="BX78">
        <v>1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</row>
    <row r="79" spans="1:103" ht="12.75">
      <c r="A79" t="s">
        <v>361</v>
      </c>
      <c r="B79" s="1">
        <v>56</v>
      </c>
      <c r="C79">
        <v>826</v>
      </c>
      <c r="D79">
        <v>565</v>
      </c>
      <c r="E79" s="1">
        <v>600</v>
      </c>
      <c r="G79" t="s">
        <v>361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1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1</v>
      </c>
      <c r="BH79">
        <v>0</v>
      </c>
      <c r="BI79">
        <v>0</v>
      </c>
      <c r="BJ79">
        <v>1</v>
      </c>
      <c r="BK79">
        <v>1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1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</row>
    <row r="80" spans="1:103" ht="12.75">
      <c r="A80" t="s">
        <v>362</v>
      </c>
      <c r="B80" s="1">
        <v>57</v>
      </c>
      <c r="C80">
        <v>872</v>
      </c>
      <c r="D80">
        <v>440</v>
      </c>
      <c r="E80" s="1">
        <v>600</v>
      </c>
      <c r="G80" t="s">
        <v>362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1</v>
      </c>
      <c r="AY80">
        <v>0</v>
      </c>
      <c r="AZ80">
        <v>0</v>
      </c>
      <c r="BA80">
        <v>0</v>
      </c>
      <c r="BB80">
        <v>1</v>
      </c>
      <c r="BC80">
        <v>1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1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1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1</v>
      </c>
      <c r="CS80">
        <v>1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</row>
    <row r="81" spans="1:103" ht="12.75">
      <c r="A81" t="s">
        <v>363</v>
      </c>
      <c r="B81" s="1">
        <v>58</v>
      </c>
      <c r="C81">
        <v>370</v>
      </c>
      <c r="D81">
        <v>295</v>
      </c>
      <c r="E81" s="1">
        <v>600</v>
      </c>
      <c r="G81" t="s">
        <v>363</v>
      </c>
      <c r="H81">
        <v>0</v>
      </c>
      <c r="I81">
        <v>0</v>
      </c>
      <c r="J81">
        <v>0</v>
      </c>
      <c r="K81">
        <v>0</v>
      </c>
      <c r="L81">
        <v>0</v>
      </c>
      <c r="M81">
        <v>1</v>
      </c>
      <c r="N81">
        <v>0</v>
      </c>
      <c r="O81">
        <v>0</v>
      </c>
      <c r="P81">
        <v>0</v>
      </c>
      <c r="Q81">
        <v>0</v>
      </c>
      <c r="R81">
        <v>1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1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1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1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1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</row>
    <row r="82" spans="1:103" ht="12.75">
      <c r="A82" t="s">
        <v>364</v>
      </c>
      <c r="B82" s="1">
        <v>59</v>
      </c>
      <c r="C82">
        <v>450</v>
      </c>
      <c r="D82">
        <v>515</v>
      </c>
      <c r="E82" s="1">
        <v>600</v>
      </c>
      <c r="G82" t="s">
        <v>364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1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1</v>
      </c>
      <c r="AZ82">
        <v>1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1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1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</row>
    <row r="83" spans="1:103" ht="12.75">
      <c r="A83" t="s">
        <v>365</v>
      </c>
      <c r="B83" s="1">
        <v>60</v>
      </c>
      <c r="C83">
        <v>389</v>
      </c>
      <c r="D83">
        <v>415</v>
      </c>
      <c r="E83" s="1">
        <v>600</v>
      </c>
      <c r="G83" t="s">
        <v>365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</v>
      </c>
      <c r="U83">
        <v>0</v>
      </c>
      <c r="V83">
        <v>0</v>
      </c>
      <c r="W83">
        <v>0</v>
      </c>
      <c r="X83">
        <v>1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1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1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1</v>
      </c>
      <c r="BV83">
        <v>1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</row>
    <row r="84" spans="1:103" ht="12.75">
      <c r="A84" t="s">
        <v>366</v>
      </c>
      <c r="B84" s="1">
        <v>61</v>
      </c>
      <c r="C84">
        <v>1038</v>
      </c>
      <c r="D84">
        <v>605</v>
      </c>
      <c r="E84" s="1">
        <v>605</v>
      </c>
      <c r="G84" t="s">
        <v>366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1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1</v>
      </c>
      <c r="BQ84">
        <v>0</v>
      </c>
      <c r="BR84">
        <v>0</v>
      </c>
      <c r="BS84">
        <v>1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</row>
    <row r="85" spans="1:103" ht="12.75">
      <c r="A85" t="s">
        <v>367</v>
      </c>
      <c r="B85" s="1">
        <v>62</v>
      </c>
      <c r="C85">
        <v>402</v>
      </c>
      <c r="D85">
        <v>315</v>
      </c>
      <c r="E85" s="1">
        <v>600</v>
      </c>
      <c r="G85" t="s">
        <v>367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1</v>
      </c>
      <c r="AG85">
        <v>0</v>
      </c>
      <c r="AH85">
        <v>0</v>
      </c>
      <c r="AI85">
        <v>1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1</v>
      </c>
      <c r="BR85">
        <v>1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1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1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1</v>
      </c>
      <c r="CV85">
        <v>0</v>
      </c>
      <c r="CW85">
        <v>0</v>
      </c>
      <c r="CX85">
        <v>0</v>
      </c>
      <c r="CY85">
        <v>0</v>
      </c>
    </row>
    <row r="86" spans="1:103" ht="12.75">
      <c r="A86" t="s">
        <v>368</v>
      </c>
      <c r="B86" s="1">
        <v>63</v>
      </c>
      <c r="C86">
        <v>800</v>
      </c>
      <c r="D86">
        <v>490</v>
      </c>
      <c r="E86" s="1">
        <v>600</v>
      </c>
      <c r="G86" t="s">
        <v>368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1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1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1</v>
      </c>
      <c r="BR86">
        <v>1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1</v>
      </c>
      <c r="CJ86">
        <v>0</v>
      </c>
      <c r="CK86">
        <v>1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</row>
    <row r="87" spans="1:103" ht="12.75">
      <c r="A87" t="s">
        <v>369</v>
      </c>
      <c r="B87" s="1">
        <v>64</v>
      </c>
      <c r="C87">
        <v>643</v>
      </c>
      <c r="D87">
        <v>515</v>
      </c>
      <c r="E87" s="1">
        <v>600</v>
      </c>
      <c r="G87" t="s">
        <v>369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1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1</v>
      </c>
      <c r="AS87">
        <v>0</v>
      </c>
      <c r="AT87">
        <v>0</v>
      </c>
      <c r="AU87">
        <v>0</v>
      </c>
      <c r="AV87">
        <v>0</v>
      </c>
      <c r="AW87">
        <v>1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1</v>
      </c>
      <c r="BI87">
        <v>1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1</v>
      </c>
      <c r="BQ87">
        <v>0</v>
      </c>
      <c r="BR87">
        <v>0</v>
      </c>
      <c r="BS87">
        <v>1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</row>
    <row r="88" spans="1:103" ht="12.75">
      <c r="A88" t="s">
        <v>370</v>
      </c>
      <c r="B88" s="1">
        <v>65</v>
      </c>
      <c r="C88">
        <v>1183</v>
      </c>
      <c r="D88">
        <v>610</v>
      </c>
      <c r="E88" s="1">
        <v>600</v>
      </c>
      <c r="G88" t="s">
        <v>370</v>
      </c>
      <c r="H88">
        <v>1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1</v>
      </c>
      <c r="AR88">
        <v>0</v>
      </c>
      <c r="AS88">
        <v>0</v>
      </c>
      <c r="AT88">
        <v>0</v>
      </c>
      <c r="AU88">
        <v>0</v>
      </c>
      <c r="AV88">
        <v>1</v>
      </c>
      <c r="AW88">
        <v>0</v>
      </c>
      <c r="AX88">
        <v>0</v>
      </c>
      <c r="AY88">
        <v>0</v>
      </c>
      <c r="AZ88">
        <v>1</v>
      </c>
      <c r="BA88">
        <v>0</v>
      </c>
      <c r="BB88">
        <v>0</v>
      </c>
      <c r="BC88">
        <v>0</v>
      </c>
      <c r="BD88">
        <v>1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1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1</v>
      </c>
      <c r="BU88">
        <v>0</v>
      </c>
      <c r="BV88">
        <v>0</v>
      </c>
      <c r="BW88">
        <v>0</v>
      </c>
      <c r="BX88">
        <v>1</v>
      </c>
      <c r="BY88">
        <v>0</v>
      </c>
      <c r="BZ88">
        <v>0</v>
      </c>
      <c r="CA88">
        <v>0</v>
      </c>
      <c r="CB88">
        <v>1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</row>
    <row r="89" spans="1:103" ht="12.75">
      <c r="A89" t="s">
        <v>371</v>
      </c>
      <c r="B89" s="1">
        <v>66</v>
      </c>
      <c r="C89">
        <v>400</v>
      </c>
      <c r="D89">
        <v>565</v>
      </c>
      <c r="E89" s="1">
        <v>600</v>
      </c>
      <c r="G89" t="s">
        <v>371</v>
      </c>
      <c r="H89">
        <v>0</v>
      </c>
      <c r="I89">
        <v>0</v>
      </c>
      <c r="J89">
        <v>0</v>
      </c>
      <c r="K89">
        <v>0</v>
      </c>
      <c r="L89">
        <v>1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1</v>
      </c>
      <c r="U89">
        <v>0</v>
      </c>
      <c r="V89">
        <v>0</v>
      </c>
      <c r="W89">
        <v>0</v>
      </c>
      <c r="X89">
        <v>1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1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1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1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</row>
    <row r="90" spans="1:103" ht="12.75">
      <c r="A90" t="s">
        <v>372</v>
      </c>
      <c r="B90" s="1">
        <v>67</v>
      </c>
      <c r="C90">
        <v>680</v>
      </c>
      <c r="D90">
        <v>490</v>
      </c>
      <c r="E90" s="1">
        <v>600</v>
      </c>
      <c r="G90" t="s">
        <v>372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1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1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1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1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</row>
    <row r="91" spans="1:103" ht="12.75">
      <c r="A91" t="s">
        <v>373</v>
      </c>
      <c r="B91" s="1">
        <v>68</v>
      </c>
      <c r="C91">
        <v>433</v>
      </c>
      <c r="D91">
        <v>465</v>
      </c>
      <c r="E91" s="1">
        <v>600</v>
      </c>
      <c r="G91" t="s">
        <v>373</v>
      </c>
      <c r="H91">
        <v>0</v>
      </c>
      <c r="I91">
        <v>0</v>
      </c>
      <c r="J91">
        <v>0</v>
      </c>
      <c r="K91">
        <v>0</v>
      </c>
      <c r="L91">
        <v>0</v>
      </c>
      <c r="M91">
        <v>1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1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1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1</v>
      </c>
      <c r="BX91">
        <v>0</v>
      </c>
      <c r="BY91">
        <v>0</v>
      </c>
      <c r="BZ91">
        <v>0</v>
      </c>
      <c r="CA91">
        <v>1</v>
      </c>
      <c r="CB91">
        <v>0</v>
      </c>
      <c r="CC91">
        <v>0</v>
      </c>
      <c r="CD91">
        <v>1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1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</row>
    <row r="92" spans="1:103" ht="12.75">
      <c r="A92" t="s">
        <v>374</v>
      </c>
      <c r="B92" s="1">
        <v>69</v>
      </c>
      <c r="C92">
        <v>717</v>
      </c>
      <c r="D92">
        <v>440</v>
      </c>
      <c r="E92" s="1">
        <v>600</v>
      </c>
      <c r="G92" t="s">
        <v>374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1</v>
      </c>
      <c r="AV92">
        <v>0</v>
      </c>
      <c r="AW92">
        <v>0</v>
      </c>
      <c r="AX92">
        <v>0</v>
      </c>
      <c r="AY92">
        <v>1</v>
      </c>
      <c r="AZ92">
        <v>1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1</v>
      </c>
      <c r="BK92">
        <v>1</v>
      </c>
      <c r="BL92">
        <v>0</v>
      </c>
      <c r="BM92">
        <v>0</v>
      </c>
      <c r="BN92">
        <v>1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1</v>
      </c>
      <c r="BU92">
        <v>0</v>
      </c>
      <c r="BV92">
        <v>0</v>
      </c>
      <c r="BW92">
        <v>0</v>
      </c>
      <c r="BX92">
        <v>1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</row>
    <row r="93" spans="1:103" ht="12.75">
      <c r="A93" t="s">
        <v>375</v>
      </c>
      <c r="B93" s="1">
        <v>70</v>
      </c>
      <c r="C93">
        <v>839</v>
      </c>
      <c r="D93">
        <v>435</v>
      </c>
      <c r="E93" s="1">
        <v>435</v>
      </c>
      <c r="G93" t="s">
        <v>375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1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1</v>
      </c>
      <c r="AQ93">
        <v>0</v>
      </c>
      <c r="AR93">
        <v>1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1</v>
      </c>
      <c r="BZ93">
        <v>0</v>
      </c>
      <c r="CA93">
        <v>0</v>
      </c>
      <c r="CB93">
        <v>0</v>
      </c>
      <c r="CC93">
        <v>1</v>
      </c>
      <c r="CD93">
        <v>0</v>
      </c>
      <c r="CE93">
        <v>0</v>
      </c>
      <c r="CF93">
        <v>0</v>
      </c>
      <c r="CG93">
        <v>0</v>
      </c>
      <c r="CH93">
        <v>1</v>
      </c>
      <c r="CI93">
        <v>0</v>
      </c>
      <c r="CJ93">
        <v>1</v>
      </c>
      <c r="CK93">
        <v>0</v>
      </c>
      <c r="CL93">
        <v>0</v>
      </c>
      <c r="CM93">
        <v>0</v>
      </c>
      <c r="CN93">
        <v>0</v>
      </c>
      <c r="CO93">
        <v>1</v>
      </c>
      <c r="CP93">
        <v>1</v>
      </c>
      <c r="CQ93">
        <v>1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</row>
    <row r="94" spans="1:103" ht="12.75">
      <c r="A94" t="s">
        <v>376</v>
      </c>
      <c r="B94" s="1">
        <v>71</v>
      </c>
      <c r="C94">
        <v>804</v>
      </c>
      <c r="D94">
        <v>590</v>
      </c>
      <c r="E94" s="1">
        <v>600</v>
      </c>
      <c r="G94" t="s">
        <v>376</v>
      </c>
      <c r="H94">
        <v>0</v>
      </c>
      <c r="I94">
        <v>0</v>
      </c>
      <c r="J94">
        <v>0</v>
      </c>
      <c r="K94">
        <v>0</v>
      </c>
      <c r="L94">
        <v>1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1</v>
      </c>
      <c r="AG94">
        <v>0</v>
      </c>
      <c r="AH94">
        <v>0</v>
      </c>
      <c r="AI94">
        <v>1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1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1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1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1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</row>
    <row r="95" spans="1:103" ht="12.75">
      <c r="A95" t="s">
        <v>377</v>
      </c>
      <c r="B95" s="1">
        <v>72</v>
      </c>
      <c r="C95">
        <v>798</v>
      </c>
      <c r="D95">
        <v>444</v>
      </c>
      <c r="E95" s="1">
        <v>600</v>
      </c>
      <c r="G95" t="s">
        <v>377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1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1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1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1</v>
      </c>
      <c r="BX95">
        <v>0</v>
      </c>
      <c r="BY95">
        <v>0</v>
      </c>
      <c r="BZ95">
        <v>0</v>
      </c>
      <c r="CA95">
        <v>1</v>
      </c>
      <c r="CB95">
        <v>0</v>
      </c>
      <c r="CC95">
        <v>0</v>
      </c>
      <c r="CD95">
        <v>1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</row>
    <row r="96" spans="1:103" ht="12.75">
      <c r="A96" t="s">
        <v>378</v>
      </c>
      <c r="B96" s="1">
        <v>73</v>
      </c>
      <c r="C96">
        <v>640</v>
      </c>
      <c r="D96">
        <v>415</v>
      </c>
      <c r="E96" s="1">
        <v>600</v>
      </c>
      <c r="G96" t="s">
        <v>378</v>
      </c>
      <c r="H96">
        <v>1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1</v>
      </c>
      <c r="AR96">
        <v>0</v>
      </c>
      <c r="AS96">
        <v>0</v>
      </c>
      <c r="AT96">
        <v>0</v>
      </c>
      <c r="AU96">
        <v>0</v>
      </c>
      <c r="AV96">
        <v>1</v>
      </c>
      <c r="AW96">
        <v>0</v>
      </c>
      <c r="AX96">
        <v>0</v>
      </c>
      <c r="AY96">
        <v>0</v>
      </c>
      <c r="AZ96">
        <v>1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1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1</v>
      </c>
      <c r="CC96">
        <v>0</v>
      </c>
      <c r="CD96">
        <v>0</v>
      </c>
      <c r="CE96">
        <v>0</v>
      </c>
      <c r="CF96">
        <v>1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</row>
    <row r="97" spans="1:103" ht="12.75">
      <c r="A97" t="s">
        <v>379</v>
      </c>
      <c r="B97" s="1">
        <v>74</v>
      </c>
      <c r="C97">
        <v>494</v>
      </c>
      <c r="D97">
        <v>975</v>
      </c>
      <c r="E97" s="1">
        <v>975</v>
      </c>
      <c r="G97" t="s">
        <v>379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1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1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1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1</v>
      </c>
      <c r="BZ97">
        <v>0</v>
      </c>
      <c r="CA97">
        <v>0</v>
      </c>
      <c r="CB97">
        <v>0</v>
      </c>
      <c r="CC97">
        <v>1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1</v>
      </c>
      <c r="CN97">
        <v>0</v>
      </c>
      <c r="CO97">
        <v>0</v>
      </c>
      <c r="CP97">
        <v>1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</row>
    <row r="98" spans="1:103" ht="12.75">
      <c r="A98" t="s">
        <v>380</v>
      </c>
      <c r="B98" s="1">
        <v>75</v>
      </c>
      <c r="C98">
        <v>459</v>
      </c>
      <c r="D98">
        <v>315</v>
      </c>
      <c r="E98" s="1">
        <v>600</v>
      </c>
      <c r="G98" t="s">
        <v>380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1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1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1</v>
      </c>
      <c r="BX98">
        <v>0</v>
      </c>
      <c r="BY98">
        <v>0</v>
      </c>
      <c r="BZ98">
        <v>0</v>
      </c>
      <c r="CA98">
        <v>1</v>
      </c>
      <c r="CB98">
        <v>0</v>
      </c>
      <c r="CC98">
        <v>0</v>
      </c>
      <c r="CD98">
        <v>1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</row>
    <row r="99" spans="1:103" ht="12.75">
      <c r="A99" t="s">
        <v>381</v>
      </c>
      <c r="B99" s="1">
        <v>76</v>
      </c>
      <c r="C99">
        <v>158</v>
      </c>
      <c r="D99">
        <v>1220</v>
      </c>
      <c r="E99" s="1">
        <v>1650</v>
      </c>
      <c r="G99" t="s">
        <v>381</v>
      </c>
      <c r="H99" s="1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1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  <c r="AA99">
        <v>1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1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1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</row>
    <row r="100" spans="1:103" ht="12.75">
      <c r="A100" t="s">
        <v>382</v>
      </c>
      <c r="B100" s="1">
        <v>77</v>
      </c>
      <c r="C100">
        <v>829</v>
      </c>
      <c r="D100">
        <v>440</v>
      </c>
      <c r="E100" s="1">
        <v>600</v>
      </c>
      <c r="G100" t="s">
        <v>382</v>
      </c>
      <c r="H100">
        <v>1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1</v>
      </c>
      <c r="T100">
        <v>0</v>
      </c>
      <c r="U100">
        <v>0</v>
      </c>
      <c r="V100">
        <v>1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1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1</v>
      </c>
      <c r="CC100">
        <v>0</v>
      </c>
      <c r="CD100">
        <v>0</v>
      </c>
      <c r="CE100">
        <v>0</v>
      </c>
      <c r="CF100">
        <v>1</v>
      </c>
      <c r="CG100">
        <v>0</v>
      </c>
      <c r="CH100">
        <v>0</v>
      </c>
      <c r="CI100">
        <v>1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</row>
    <row r="101" spans="1:103" ht="12.75">
      <c r="A101" t="s">
        <v>383</v>
      </c>
      <c r="B101" s="1">
        <v>78</v>
      </c>
      <c r="C101">
        <v>862</v>
      </c>
      <c r="D101">
        <v>395</v>
      </c>
      <c r="E101" s="1">
        <v>600</v>
      </c>
      <c r="G101" t="s">
        <v>383</v>
      </c>
      <c r="H101">
        <v>0</v>
      </c>
      <c r="I101">
        <v>0</v>
      </c>
      <c r="J101">
        <v>0</v>
      </c>
      <c r="K101">
        <v>1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1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1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1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1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</row>
    <row r="102" spans="1:103" ht="12.75">
      <c r="A102" t="s">
        <v>384</v>
      </c>
      <c r="B102" s="1">
        <v>79</v>
      </c>
      <c r="C102">
        <v>676</v>
      </c>
      <c r="D102">
        <v>510</v>
      </c>
      <c r="E102" s="1">
        <v>600</v>
      </c>
      <c r="G102" t="s">
        <v>384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1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1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1</v>
      </c>
      <c r="CI102">
        <v>0</v>
      </c>
      <c r="CJ102">
        <v>1</v>
      </c>
      <c r="CK102">
        <v>0</v>
      </c>
      <c r="CL102">
        <v>0</v>
      </c>
      <c r="CM102">
        <v>0</v>
      </c>
      <c r="CN102">
        <v>0</v>
      </c>
      <c r="CO102">
        <v>1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</row>
    <row r="103" spans="1:103" ht="12.75">
      <c r="A103" t="s">
        <v>385</v>
      </c>
      <c r="B103" s="1">
        <v>80</v>
      </c>
      <c r="C103">
        <v>405</v>
      </c>
      <c r="D103">
        <v>390</v>
      </c>
      <c r="E103" s="1">
        <v>600</v>
      </c>
      <c r="G103" t="s">
        <v>385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1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1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1</v>
      </c>
      <c r="CG103">
        <v>0</v>
      </c>
      <c r="CH103">
        <v>0</v>
      </c>
      <c r="CI103">
        <v>1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</row>
    <row r="104" spans="1:103" ht="12.75">
      <c r="A104" t="s">
        <v>386</v>
      </c>
      <c r="B104" s="1">
        <v>81</v>
      </c>
      <c r="C104">
        <v>693</v>
      </c>
      <c r="D104">
        <v>295</v>
      </c>
      <c r="E104" s="1">
        <v>600</v>
      </c>
      <c r="G104" t="s">
        <v>386</v>
      </c>
      <c r="H104">
        <v>0</v>
      </c>
      <c r="I104">
        <v>0</v>
      </c>
      <c r="J104">
        <v>0</v>
      </c>
      <c r="K104">
        <v>1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1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1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1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1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1</v>
      </c>
      <c r="CI104">
        <v>0</v>
      </c>
      <c r="CJ104">
        <v>1</v>
      </c>
      <c r="CK104">
        <v>0</v>
      </c>
      <c r="CL104">
        <v>0</v>
      </c>
      <c r="CM104">
        <v>0</v>
      </c>
      <c r="CN104">
        <v>0</v>
      </c>
      <c r="CO104">
        <v>1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</row>
    <row r="105" spans="1:103" ht="12.75">
      <c r="A105" t="s">
        <v>387</v>
      </c>
      <c r="B105" s="1">
        <v>82</v>
      </c>
      <c r="C105">
        <v>664</v>
      </c>
      <c r="D105">
        <v>540</v>
      </c>
      <c r="E105" s="1">
        <v>600</v>
      </c>
      <c r="G105" t="s">
        <v>387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1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1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1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1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1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</row>
    <row r="106" spans="1:103" ht="12.75">
      <c r="A106" t="s">
        <v>388</v>
      </c>
      <c r="B106" s="1">
        <v>83</v>
      </c>
      <c r="C106">
        <v>1042</v>
      </c>
      <c r="D106">
        <v>990</v>
      </c>
      <c r="E106" s="1">
        <v>1125</v>
      </c>
      <c r="G106" t="s">
        <v>388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1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1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1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1</v>
      </c>
      <c r="AN106">
        <v>1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1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1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1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1</v>
      </c>
      <c r="CX106">
        <v>0</v>
      </c>
      <c r="CY106">
        <v>1</v>
      </c>
    </row>
    <row r="107" spans="1:103" ht="12.75">
      <c r="A107" t="s">
        <v>389</v>
      </c>
      <c r="B107" s="1">
        <v>84</v>
      </c>
      <c r="C107">
        <v>794</v>
      </c>
      <c r="D107">
        <v>265</v>
      </c>
      <c r="E107" s="1">
        <v>600</v>
      </c>
      <c r="G107" t="s">
        <v>389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1</v>
      </c>
      <c r="AQ107">
        <v>0</v>
      </c>
      <c r="AR107">
        <v>0</v>
      </c>
      <c r="AS107">
        <v>0</v>
      </c>
      <c r="AT107">
        <v>1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1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1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1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</row>
    <row r="108" spans="1:103" ht="12.75">
      <c r="A108" t="s">
        <v>390</v>
      </c>
      <c r="B108" s="1">
        <v>85</v>
      </c>
      <c r="C108">
        <v>790</v>
      </c>
      <c r="D108">
        <v>610</v>
      </c>
      <c r="E108" s="1">
        <v>610</v>
      </c>
      <c r="G108" t="s">
        <v>390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1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1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1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1</v>
      </c>
      <c r="CV108">
        <v>0</v>
      </c>
      <c r="CW108">
        <v>0</v>
      </c>
      <c r="CX108">
        <v>0</v>
      </c>
      <c r="CY108">
        <v>0</v>
      </c>
    </row>
    <row r="109" spans="1:103" ht="12.75">
      <c r="A109" t="s">
        <v>391</v>
      </c>
      <c r="B109" s="1">
        <v>86</v>
      </c>
      <c r="C109">
        <v>276</v>
      </c>
      <c r="D109">
        <v>215</v>
      </c>
      <c r="E109" s="1">
        <v>600</v>
      </c>
      <c r="G109" t="s">
        <v>391</v>
      </c>
      <c r="H109">
        <v>0</v>
      </c>
      <c r="I109">
        <v>1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</v>
      </c>
      <c r="V109">
        <v>0</v>
      </c>
      <c r="W109">
        <v>1</v>
      </c>
      <c r="X109">
        <v>0</v>
      </c>
      <c r="Y109">
        <v>0</v>
      </c>
      <c r="Z109">
        <v>0</v>
      </c>
      <c r="AA109">
        <v>0</v>
      </c>
      <c r="AB109">
        <v>1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1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1</v>
      </c>
      <c r="CI109">
        <v>0</v>
      </c>
      <c r="CJ109">
        <v>1</v>
      </c>
      <c r="CK109">
        <v>0</v>
      </c>
      <c r="CL109">
        <v>0</v>
      </c>
      <c r="CM109">
        <v>0</v>
      </c>
      <c r="CN109">
        <v>0</v>
      </c>
      <c r="CO109">
        <v>1</v>
      </c>
      <c r="CP109">
        <v>0</v>
      </c>
      <c r="CQ109">
        <v>1</v>
      </c>
      <c r="CR109">
        <v>1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</row>
    <row r="110" spans="1:103" ht="12.75">
      <c r="A110" t="s">
        <v>392</v>
      </c>
      <c r="B110" s="1">
        <v>87</v>
      </c>
      <c r="C110">
        <v>1058</v>
      </c>
      <c r="D110" s="1">
        <v>975</v>
      </c>
      <c r="E110" s="1">
        <v>975</v>
      </c>
      <c r="G110" t="s">
        <v>392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1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1</v>
      </c>
      <c r="BZ110">
        <v>0</v>
      </c>
      <c r="CA110">
        <v>0</v>
      </c>
      <c r="CB110">
        <v>0</v>
      </c>
      <c r="CC110">
        <v>1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1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</row>
    <row r="111" spans="1:103" ht="12.75">
      <c r="A111" t="s">
        <v>393</v>
      </c>
      <c r="B111" s="1">
        <v>88</v>
      </c>
      <c r="C111">
        <v>816</v>
      </c>
      <c r="D111">
        <v>405</v>
      </c>
      <c r="E111" s="1">
        <v>600</v>
      </c>
      <c r="G111" t="s">
        <v>393</v>
      </c>
      <c r="H111">
        <v>0</v>
      </c>
      <c r="I111">
        <v>1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1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1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1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1</v>
      </c>
      <c r="CP111">
        <v>0</v>
      </c>
      <c r="CQ111">
        <v>1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</row>
    <row r="112" spans="1:103" ht="12.75">
      <c r="A112" t="s">
        <v>394</v>
      </c>
      <c r="B112" s="1">
        <v>89</v>
      </c>
      <c r="C112">
        <v>1505</v>
      </c>
      <c r="D112">
        <v>475</v>
      </c>
      <c r="E112" s="1">
        <v>600</v>
      </c>
      <c r="G112" t="s">
        <v>394</v>
      </c>
      <c r="H112">
        <v>0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</v>
      </c>
      <c r="V112">
        <v>0</v>
      </c>
      <c r="W112">
        <v>0</v>
      </c>
      <c r="X112">
        <v>1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1</v>
      </c>
      <c r="BC112">
        <v>1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1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1</v>
      </c>
      <c r="CP112">
        <v>0</v>
      </c>
      <c r="CQ112">
        <v>0</v>
      </c>
      <c r="CR112">
        <v>1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</row>
    <row r="113" spans="1:103" ht="12.75">
      <c r="A113" t="s">
        <v>395</v>
      </c>
      <c r="B113" s="1">
        <v>90</v>
      </c>
      <c r="C113">
        <v>644</v>
      </c>
      <c r="D113">
        <v>490</v>
      </c>
      <c r="E113" s="1">
        <v>600</v>
      </c>
      <c r="G113" t="s">
        <v>395</v>
      </c>
      <c r="H113">
        <v>0</v>
      </c>
      <c r="I113">
        <v>0</v>
      </c>
      <c r="J113">
        <v>0</v>
      </c>
      <c r="K113">
        <v>0</v>
      </c>
      <c r="L113">
        <v>1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1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1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1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1</v>
      </c>
      <c r="BX113">
        <v>0</v>
      </c>
      <c r="BY113">
        <v>0</v>
      </c>
      <c r="BZ113">
        <v>1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1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</row>
    <row r="114" spans="1:103" ht="12.75">
      <c r="A114" t="s">
        <v>396</v>
      </c>
      <c r="B114" s="1">
        <v>91</v>
      </c>
      <c r="C114">
        <v>1116</v>
      </c>
      <c r="D114">
        <v>580</v>
      </c>
      <c r="E114" s="1">
        <v>600</v>
      </c>
      <c r="G114" t="s">
        <v>396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1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1</v>
      </c>
      <c r="CU114">
        <v>0</v>
      </c>
      <c r="CV114">
        <v>0</v>
      </c>
      <c r="CW114">
        <v>0</v>
      </c>
      <c r="CX114">
        <v>1</v>
      </c>
      <c r="CY114">
        <v>1</v>
      </c>
    </row>
    <row r="115" spans="1:103" ht="12.75">
      <c r="A115" t="s">
        <v>397</v>
      </c>
      <c r="B115" s="1">
        <v>92</v>
      </c>
      <c r="C115">
        <v>736</v>
      </c>
      <c r="D115">
        <v>515</v>
      </c>
      <c r="E115" s="1">
        <v>600</v>
      </c>
      <c r="G115" t="s">
        <v>397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1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1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1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1</v>
      </c>
      <c r="CV115">
        <v>0</v>
      </c>
      <c r="CW115">
        <v>0</v>
      </c>
      <c r="CX115">
        <v>0</v>
      </c>
      <c r="CY115">
        <v>0</v>
      </c>
    </row>
    <row r="116" spans="1:103" ht="12.75">
      <c r="A116" t="s">
        <v>398</v>
      </c>
      <c r="B116" s="1">
        <v>93</v>
      </c>
      <c r="C116">
        <v>406</v>
      </c>
      <c r="D116">
        <v>460</v>
      </c>
      <c r="E116" s="1">
        <v>600</v>
      </c>
      <c r="G116" t="s">
        <v>398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1</v>
      </c>
      <c r="AQ116">
        <v>0</v>
      </c>
      <c r="AR116">
        <v>0</v>
      </c>
      <c r="AS116">
        <v>0</v>
      </c>
      <c r="AT116">
        <v>1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1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1</v>
      </c>
      <c r="CW116">
        <v>0</v>
      </c>
      <c r="CX116">
        <v>0</v>
      </c>
      <c r="CY116">
        <v>0</v>
      </c>
    </row>
    <row r="117" spans="1:103" ht="12.75">
      <c r="A117" t="s">
        <v>399</v>
      </c>
      <c r="B117" s="1">
        <v>94</v>
      </c>
      <c r="C117">
        <v>674</v>
      </c>
      <c r="D117">
        <v>565</v>
      </c>
      <c r="E117" s="1">
        <v>600</v>
      </c>
      <c r="G117" t="s">
        <v>399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1</v>
      </c>
      <c r="O117">
        <v>0</v>
      </c>
      <c r="P117">
        <v>1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1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1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1</v>
      </c>
      <c r="CX117">
        <v>0</v>
      </c>
      <c r="CY117">
        <v>1</v>
      </c>
    </row>
    <row r="118" spans="1:103" ht="12.75">
      <c r="A118" t="s">
        <v>400</v>
      </c>
      <c r="B118" s="1">
        <v>95</v>
      </c>
      <c r="C118">
        <v>474</v>
      </c>
      <c r="D118">
        <v>508</v>
      </c>
      <c r="E118" s="1">
        <v>508</v>
      </c>
      <c r="G118" t="s">
        <v>400</v>
      </c>
      <c r="H118">
        <v>0</v>
      </c>
      <c r="I118">
        <v>1</v>
      </c>
      <c r="J118">
        <v>1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  <c r="AA118">
        <v>1</v>
      </c>
      <c r="AB118">
        <v>0</v>
      </c>
      <c r="AC118">
        <v>0</v>
      </c>
      <c r="AD118">
        <v>1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1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1</v>
      </c>
      <c r="CU118">
        <v>0</v>
      </c>
      <c r="CV118">
        <v>0</v>
      </c>
      <c r="CW118">
        <v>0</v>
      </c>
      <c r="CX118">
        <v>1</v>
      </c>
      <c r="CY118">
        <v>0</v>
      </c>
    </row>
    <row r="119" spans="1:103" ht="12.75">
      <c r="A119" t="s">
        <v>401</v>
      </c>
      <c r="B119" s="1">
        <v>96</v>
      </c>
      <c r="C119">
        <v>826</v>
      </c>
      <c r="D119">
        <v>490</v>
      </c>
      <c r="E119" s="1">
        <v>600</v>
      </c>
      <c r="G119" t="s">
        <v>401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1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1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1</v>
      </c>
      <c r="CU119">
        <v>0</v>
      </c>
      <c r="CV119">
        <v>0</v>
      </c>
      <c r="CW119">
        <v>1</v>
      </c>
      <c r="CX119">
        <v>0</v>
      </c>
      <c r="CY119">
        <v>1</v>
      </c>
    </row>
    <row r="120" spans="1:103" ht="12.75">
      <c r="D120">
        <f>SUM(D24:D119)</f>
        <v>49264</v>
      </c>
    </row>
    <row r="121" spans="1:103" ht="12.75">
      <c r="B121" s="1" t="s">
        <v>514</v>
      </c>
      <c r="C121" s="1" t="s">
        <v>515</v>
      </c>
      <c r="D121" s="1" t="s">
        <v>516</v>
      </c>
      <c r="E121" s="1" t="s">
        <v>514</v>
      </c>
      <c r="F121" t="s">
        <v>515</v>
      </c>
      <c r="G121" t="s">
        <v>516</v>
      </c>
      <c r="H121" s="1" t="s">
        <v>514</v>
      </c>
      <c r="I121" t="s">
        <v>515</v>
      </c>
      <c r="J121" t="s">
        <v>516</v>
      </c>
      <c r="K121" s="1" t="s">
        <v>514</v>
      </c>
      <c r="L121" t="s">
        <v>515</v>
      </c>
      <c r="M121" t="s">
        <v>516</v>
      </c>
    </row>
    <row r="122" spans="1:103" ht="12.75">
      <c r="A122" t="s">
        <v>288</v>
      </c>
      <c r="B122" s="1">
        <v>191.03</v>
      </c>
      <c r="C122" s="1">
        <v>0.5</v>
      </c>
      <c r="D122">
        <v>333</v>
      </c>
      <c r="E122" s="1">
        <v>191.04</v>
      </c>
      <c r="F122" s="1">
        <v>0.5</v>
      </c>
      <c r="G122">
        <v>307</v>
      </c>
      <c r="J122">
        <v>0</v>
      </c>
      <c r="M122">
        <v>0</v>
      </c>
    </row>
    <row r="123" spans="1:103" ht="12.75">
      <c r="A123" t="s">
        <v>291</v>
      </c>
      <c r="B123" s="1">
        <v>182.02</v>
      </c>
      <c r="C123" s="1">
        <v>0.5</v>
      </c>
      <c r="D123">
        <v>816</v>
      </c>
      <c r="G123">
        <v>0</v>
      </c>
      <c r="J123">
        <v>0</v>
      </c>
      <c r="M123">
        <v>0</v>
      </c>
    </row>
    <row r="124" spans="1:103" ht="12.75">
      <c r="A124" t="s">
        <v>294</v>
      </c>
      <c r="B124" s="1">
        <v>183.05</v>
      </c>
      <c r="C124" s="1">
        <v>0.5</v>
      </c>
      <c r="D124">
        <v>980</v>
      </c>
      <c r="G124">
        <v>0</v>
      </c>
      <c r="J124">
        <v>0</v>
      </c>
      <c r="M124">
        <v>0</v>
      </c>
    </row>
    <row r="125" spans="1:103" ht="12.75">
      <c r="A125" t="s">
        <v>296</v>
      </c>
      <c r="B125" s="1">
        <v>181.1</v>
      </c>
      <c r="C125" s="1">
        <v>0.5</v>
      </c>
      <c r="D125">
        <v>167</v>
      </c>
      <c r="E125" s="1">
        <v>170.04</v>
      </c>
      <c r="F125" s="1">
        <v>0.75</v>
      </c>
      <c r="G125">
        <v>260</v>
      </c>
      <c r="J125">
        <v>0</v>
      </c>
      <c r="M125">
        <v>0</v>
      </c>
    </row>
    <row r="126" spans="1:103" ht="12.75">
      <c r="A126" t="s">
        <v>297</v>
      </c>
      <c r="B126" s="1">
        <v>184.02</v>
      </c>
      <c r="C126" s="1">
        <v>1</v>
      </c>
      <c r="D126">
        <v>869</v>
      </c>
      <c r="E126" s="1">
        <v>184.16</v>
      </c>
      <c r="F126" s="1">
        <v>0.25</v>
      </c>
      <c r="G126">
        <v>167</v>
      </c>
      <c r="J126">
        <v>0</v>
      </c>
      <c r="M126">
        <v>0</v>
      </c>
    </row>
    <row r="127" spans="1:103" ht="12.75">
      <c r="A127" t="s">
        <v>298</v>
      </c>
      <c r="B127" s="1">
        <v>185.19</v>
      </c>
      <c r="C127" s="1">
        <v>1</v>
      </c>
      <c r="D127">
        <v>874</v>
      </c>
      <c r="E127" s="1">
        <v>185.2</v>
      </c>
      <c r="F127" s="1">
        <v>1</v>
      </c>
      <c r="G127">
        <v>823</v>
      </c>
      <c r="J127">
        <v>0</v>
      </c>
      <c r="M127">
        <v>0</v>
      </c>
    </row>
    <row r="128" spans="1:103" ht="12.75">
      <c r="A128" t="s">
        <v>301</v>
      </c>
      <c r="B128" s="1">
        <v>187.12</v>
      </c>
      <c r="C128" s="1">
        <v>1</v>
      </c>
      <c r="D128">
        <v>503</v>
      </c>
      <c r="G128">
        <v>0</v>
      </c>
      <c r="J128">
        <v>0</v>
      </c>
      <c r="M128">
        <v>0</v>
      </c>
    </row>
    <row r="129" spans="1:13" ht="12.75">
      <c r="A129" t="s">
        <v>303</v>
      </c>
      <c r="B129" s="1">
        <v>186.05</v>
      </c>
      <c r="C129" s="1">
        <v>0.5</v>
      </c>
      <c r="D129">
        <v>527</v>
      </c>
      <c r="E129" s="1">
        <v>186.06</v>
      </c>
      <c r="F129" s="1">
        <v>0.25</v>
      </c>
      <c r="G129">
        <v>137</v>
      </c>
      <c r="J129">
        <v>0</v>
      </c>
      <c r="M129">
        <v>0</v>
      </c>
    </row>
    <row r="130" spans="1:13" ht="12.75">
      <c r="A130" t="s">
        <v>304</v>
      </c>
      <c r="B130" s="1">
        <v>187.03</v>
      </c>
      <c r="C130" s="1">
        <v>0.25</v>
      </c>
      <c r="D130">
        <v>224</v>
      </c>
      <c r="E130" s="1">
        <v>189.05</v>
      </c>
      <c r="F130" s="1">
        <v>0.66700000000000004</v>
      </c>
      <c r="G130">
        <v>470</v>
      </c>
      <c r="J130">
        <v>0</v>
      </c>
      <c r="M130">
        <v>0</v>
      </c>
    </row>
    <row r="131" spans="1:13" ht="12.75">
      <c r="A131" t="s">
        <v>311</v>
      </c>
      <c r="B131" s="1">
        <v>188.05</v>
      </c>
      <c r="C131" s="1">
        <v>1</v>
      </c>
      <c r="D131">
        <v>332</v>
      </c>
      <c r="E131" s="1">
        <v>188.06</v>
      </c>
      <c r="F131" s="1">
        <v>0.8</v>
      </c>
      <c r="G131">
        <v>152</v>
      </c>
      <c r="J131">
        <v>0</v>
      </c>
      <c r="M131">
        <v>0</v>
      </c>
    </row>
    <row r="132" spans="1:13" ht="12.75">
      <c r="A132" t="s">
        <v>313</v>
      </c>
      <c r="B132" s="1">
        <v>185.17</v>
      </c>
      <c r="C132" s="1">
        <v>1</v>
      </c>
      <c r="D132">
        <v>341</v>
      </c>
      <c r="G132">
        <v>0</v>
      </c>
      <c r="J132">
        <v>0</v>
      </c>
      <c r="M132">
        <v>0</v>
      </c>
    </row>
    <row r="133" spans="1:13" ht="12.75">
      <c r="A133" t="s">
        <v>314</v>
      </c>
      <c r="B133" s="1">
        <v>192</v>
      </c>
      <c r="C133" s="1">
        <v>0.66700000000000004</v>
      </c>
      <c r="D133">
        <v>277</v>
      </c>
      <c r="G133">
        <v>0</v>
      </c>
      <c r="J133">
        <v>0</v>
      </c>
      <c r="M133">
        <v>0</v>
      </c>
    </row>
    <row r="134" spans="1:13" ht="12.75">
      <c r="A134" t="s">
        <v>315</v>
      </c>
      <c r="B134" s="1">
        <v>184.16</v>
      </c>
      <c r="C134" s="1">
        <v>0.15</v>
      </c>
      <c r="D134">
        <v>100</v>
      </c>
      <c r="E134" s="1">
        <v>184.15</v>
      </c>
      <c r="F134" s="1">
        <v>1</v>
      </c>
      <c r="G134">
        <v>347</v>
      </c>
      <c r="H134" s="1">
        <v>184.09</v>
      </c>
      <c r="I134" s="1">
        <v>0.5</v>
      </c>
      <c r="J134">
        <v>291</v>
      </c>
      <c r="M134">
        <v>0</v>
      </c>
    </row>
    <row r="135" spans="1:13" ht="12.75">
      <c r="A135" t="s">
        <v>316</v>
      </c>
      <c r="B135" s="1">
        <v>184.14</v>
      </c>
      <c r="C135" s="1">
        <v>0.8</v>
      </c>
      <c r="D135">
        <v>1276</v>
      </c>
      <c r="E135" s="1">
        <v>184.13</v>
      </c>
      <c r="F135" s="1">
        <v>0.2</v>
      </c>
      <c r="G135">
        <v>132</v>
      </c>
      <c r="J135">
        <v>0</v>
      </c>
      <c r="M135">
        <v>0</v>
      </c>
    </row>
    <row r="136" spans="1:13" ht="12.75">
      <c r="A136" t="s">
        <v>317</v>
      </c>
      <c r="B136" s="1">
        <v>186.01</v>
      </c>
      <c r="C136" s="1">
        <v>0.25</v>
      </c>
      <c r="D136">
        <v>202</v>
      </c>
      <c r="E136" s="1">
        <v>186.02</v>
      </c>
      <c r="F136" s="1">
        <v>0.25</v>
      </c>
      <c r="G136">
        <v>163</v>
      </c>
      <c r="J136">
        <v>0</v>
      </c>
      <c r="M136">
        <v>0</v>
      </c>
    </row>
    <row r="137" spans="1:13" ht="12.75">
      <c r="A137" t="s">
        <v>318</v>
      </c>
      <c r="B137" s="1">
        <v>181.12</v>
      </c>
      <c r="C137" s="1">
        <v>0.5</v>
      </c>
      <c r="D137">
        <v>156</v>
      </c>
      <c r="E137" s="1">
        <v>181.03</v>
      </c>
      <c r="F137" s="1">
        <v>0.5</v>
      </c>
      <c r="G137">
        <v>244</v>
      </c>
      <c r="J137">
        <v>0</v>
      </c>
      <c r="M137">
        <v>0</v>
      </c>
    </row>
    <row r="138" spans="1:13" ht="12.75">
      <c r="A138" t="s">
        <v>319</v>
      </c>
      <c r="B138" s="1">
        <v>184.11</v>
      </c>
      <c r="C138" s="1">
        <v>1</v>
      </c>
      <c r="D138">
        <v>1598</v>
      </c>
      <c r="G138">
        <v>0</v>
      </c>
      <c r="J138">
        <v>0</v>
      </c>
      <c r="M138">
        <v>0</v>
      </c>
    </row>
    <row r="139" spans="1:13" ht="12.75">
      <c r="A139" t="s">
        <v>320</v>
      </c>
      <c r="B139" s="1">
        <v>186.08</v>
      </c>
      <c r="C139" s="1">
        <v>0.5</v>
      </c>
      <c r="D139">
        <v>448</v>
      </c>
      <c r="E139" s="1">
        <v>186.07</v>
      </c>
      <c r="F139" s="1">
        <v>0.5</v>
      </c>
      <c r="G139">
        <v>403</v>
      </c>
      <c r="J139">
        <v>0</v>
      </c>
      <c r="M139">
        <v>0</v>
      </c>
    </row>
    <row r="140" spans="1:13" ht="12.75">
      <c r="A140" t="s">
        <v>321</v>
      </c>
      <c r="B140" s="1">
        <v>183.09</v>
      </c>
      <c r="C140" s="1">
        <v>0.5</v>
      </c>
      <c r="D140">
        <v>1187</v>
      </c>
      <c r="G140">
        <v>0</v>
      </c>
      <c r="J140">
        <v>0</v>
      </c>
      <c r="M140">
        <v>0</v>
      </c>
    </row>
    <row r="141" spans="1:13" ht="12.75">
      <c r="A141" t="s">
        <v>322</v>
      </c>
      <c r="B141" s="1">
        <v>182.05</v>
      </c>
      <c r="C141" s="1">
        <v>1</v>
      </c>
      <c r="D141">
        <v>1010</v>
      </c>
      <c r="G141">
        <v>0</v>
      </c>
      <c r="J141">
        <v>0</v>
      </c>
      <c r="M141">
        <v>0</v>
      </c>
    </row>
    <row r="142" spans="1:13" ht="12.75">
      <c r="A142" t="s">
        <v>323</v>
      </c>
      <c r="B142" s="1">
        <v>185.18</v>
      </c>
      <c r="C142" s="1">
        <v>0.33300000000000002</v>
      </c>
      <c r="D142">
        <v>184</v>
      </c>
      <c r="E142" s="1">
        <v>185.08</v>
      </c>
      <c r="F142" s="1">
        <v>1</v>
      </c>
      <c r="G142">
        <v>147</v>
      </c>
      <c r="H142" s="1">
        <v>185.07</v>
      </c>
      <c r="I142" s="1">
        <v>0.33300000000000002</v>
      </c>
      <c r="J142">
        <v>459</v>
      </c>
      <c r="M142">
        <v>0</v>
      </c>
    </row>
    <row r="143" spans="1:13" ht="12.75">
      <c r="A143" t="s">
        <v>324</v>
      </c>
      <c r="B143" s="1">
        <v>185.21</v>
      </c>
      <c r="C143" s="1">
        <v>1</v>
      </c>
      <c r="D143">
        <v>466</v>
      </c>
      <c r="E143" s="1">
        <v>185.22</v>
      </c>
      <c r="F143" s="1">
        <v>1</v>
      </c>
      <c r="G143">
        <v>494</v>
      </c>
      <c r="J143">
        <v>0</v>
      </c>
      <c r="M143">
        <v>0</v>
      </c>
    </row>
    <row r="144" spans="1:13" ht="12.75">
      <c r="A144" t="s">
        <v>325</v>
      </c>
      <c r="B144" s="1">
        <v>187.13</v>
      </c>
      <c r="C144" s="1">
        <v>1</v>
      </c>
      <c r="D144">
        <v>262</v>
      </c>
      <c r="E144" s="1">
        <v>182.03</v>
      </c>
      <c r="F144" s="1">
        <v>0.4</v>
      </c>
      <c r="G144">
        <v>144</v>
      </c>
      <c r="J144">
        <v>0</v>
      </c>
      <c r="M144">
        <v>0</v>
      </c>
    </row>
    <row r="145" spans="1:13" ht="12.75">
      <c r="A145" t="s">
        <v>326</v>
      </c>
      <c r="B145" s="1">
        <v>187.05</v>
      </c>
      <c r="C145" s="1">
        <v>0.5</v>
      </c>
      <c r="D145">
        <v>481</v>
      </c>
      <c r="G145">
        <v>0</v>
      </c>
      <c r="J145">
        <v>0</v>
      </c>
      <c r="M145">
        <v>0</v>
      </c>
    </row>
    <row r="146" spans="1:13" ht="12.75">
      <c r="A146" t="s">
        <v>327</v>
      </c>
      <c r="B146" s="1">
        <v>186.06</v>
      </c>
      <c r="C146" s="1">
        <v>0.25</v>
      </c>
      <c r="D146">
        <v>137</v>
      </c>
      <c r="E146" s="1">
        <v>185.09</v>
      </c>
      <c r="F146" s="1">
        <v>0.33300000000000002</v>
      </c>
      <c r="G146">
        <v>182</v>
      </c>
      <c r="H146" s="1">
        <v>186.07</v>
      </c>
      <c r="I146" s="1">
        <v>0.5</v>
      </c>
      <c r="J146">
        <v>403</v>
      </c>
      <c r="K146" s="1">
        <v>185.15</v>
      </c>
      <c r="L146" s="1">
        <v>0.33300000000000002</v>
      </c>
      <c r="M146">
        <v>90</v>
      </c>
    </row>
    <row r="147" spans="1:13" ht="12.75">
      <c r="A147" t="s">
        <v>328</v>
      </c>
      <c r="B147" s="1">
        <v>188.01</v>
      </c>
      <c r="C147" s="1">
        <v>1</v>
      </c>
      <c r="D147">
        <v>436</v>
      </c>
      <c r="E147" s="1">
        <v>188.02</v>
      </c>
      <c r="F147" s="1">
        <v>0.75</v>
      </c>
      <c r="G147">
        <v>311</v>
      </c>
      <c r="J147">
        <v>0</v>
      </c>
      <c r="M147">
        <v>0</v>
      </c>
    </row>
    <row r="148" spans="1:13" ht="12.75">
      <c r="A148" t="s">
        <v>329</v>
      </c>
      <c r="B148" s="1">
        <v>183.03</v>
      </c>
      <c r="C148" s="1">
        <v>0.5</v>
      </c>
      <c r="D148">
        <v>287</v>
      </c>
      <c r="E148" s="1">
        <v>183.07</v>
      </c>
      <c r="F148" s="1">
        <v>0.2</v>
      </c>
      <c r="G148">
        <v>129</v>
      </c>
      <c r="J148">
        <v>0</v>
      </c>
      <c r="M148">
        <v>0</v>
      </c>
    </row>
    <row r="149" spans="1:13" ht="12.75">
      <c r="A149" t="s">
        <v>330</v>
      </c>
      <c r="B149" s="1">
        <v>185.16</v>
      </c>
      <c r="C149" s="1">
        <v>0.5</v>
      </c>
      <c r="D149">
        <v>332</v>
      </c>
      <c r="E149" s="1">
        <v>185.1</v>
      </c>
      <c r="F149" s="1">
        <v>0.5</v>
      </c>
      <c r="G149">
        <v>423</v>
      </c>
      <c r="J149">
        <v>0</v>
      </c>
      <c r="M149">
        <v>0</v>
      </c>
    </row>
    <row r="150" spans="1:13" ht="12.75">
      <c r="A150" t="s">
        <v>331</v>
      </c>
      <c r="B150" s="1">
        <v>180.03</v>
      </c>
      <c r="C150" s="1">
        <v>0.25</v>
      </c>
      <c r="D150">
        <v>247</v>
      </c>
      <c r="G150">
        <v>0</v>
      </c>
      <c r="J150">
        <v>0</v>
      </c>
      <c r="M150">
        <v>0</v>
      </c>
    </row>
    <row r="151" spans="1:13" ht="12.75">
      <c r="A151" t="s">
        <v>332</v>
      </c>
      <c r="B151" s="1">
        <v>181.03</v>
      </c>
      <c r="C151" s="1">
        <v>0.5</v>
      </c>
      <c r="D151">
        <v>244</v>
      </c>
      <c r="G151">
        <v>0</v>
      </c>
      <c r="J151">
        <v>0</v>
      </c>
      <c r="M151">
        <v>0</v>
      </c>
    </row>
    <row r="152" spans="1:13" ht="12.75">
      <c r="A152" t="s">
        <v>333</v>
      </c>
      <c r="B152" s="1">
        <v>188.02</v>
      </c>
      <c r="C152" s="1">
        <v>0.25</v>
      </c>
      <c r="D152">
        <v>104</v>
      </c>
      <c r="E152" s="1">
        <v>188.08</v>
      </c>
      <c r="F152" s="1">
        <v>0.5</v>
      </c>
      <c r="G152">
        <v>303</v>
      </c>
      <c r="H152" s="1">
        <v>188.07</v>
      </c>
      <c r="I152" s="1">
        <v>0.25</v>
      </c>
      <c r="J152">
        <v>119</v>
      </c>
      <c r="M152">
        <v>0</v>
      </c>
    </row>
    <row r="153" spans="1:13" ht="12.75">
      <c r="A153" t="s">
        <v>334</v>
      </c>
      <c r="B153" s="1">
        <v>188.07</v>
      </c>
      <c r="C153" s="1">
        <v>0.75</v>
      </c>
      <c r="D153">
        <v>356</v>
      </c>
      <c r="E153" s="1">
        <v>188.08</v>
      </c>
      <c r="F153" s="1">
        <v>0.5</v>
      </c>
      <c r="G153">
        <v>303</v>
      </c>
      <c r="J153">
        <v>0</v>
      </c>
      <c r="M153">
        <v>0</v>
      </c>
    </row>
    <row r="154" spans="1:13" ht="12.75">
      <c r="A154" t="s">
        <v>335</v>
      </c>
      <c r="B154" s="1">
        <v>187.11</v>
      </c>
      <c r="C154" s="1">
        <v>0.66700000000000004</v>
      </c>
      <c r="D154">
        <v>674</v>
      </c>
      <c r="E154" s="1">
        <v>187.07</v>
      </c>
      <c r="F154" s="1">
        <v>1</v>
      </c>
      <c r="G154">
        <v>247</v>
      </c>
      <c r="J154">
        <v>0</v>
      </c>
      <c r="M154">
        <v>0</v>
      </c>
    </row>
    <row r="155" spans="1:13" ht="12.75">
      <c r="A155" t="s">
        <v>336</v>
      </c>
      <c r="B155" s="1">
        <v>185.12</v>
      </c>
      <c r="C155" s="1">
        <v>0.5</v>
      </c>
      <c r="D155">
        <v>433</v>
      </c>
      <c r="E155" s="1">
        <v>185.05</v>
      </c>
      <c r="F155" s="1">
        <v>0.2</v>
      </c>
      <c r="G155">
        <v>161</v>
      </c>
      <c r="J155">
        <v>0</v>
      </c>
      <c r="M155">
        <v>0</v>
      </c>
    </row>
    <row r="156" spans="1:13" ht="12.75">
      <c r="A156" t="s">
        <v>337</v>
      </c>
      <c r="B156" s="1">
        <v>181.14</v>
      </c>
      <c r="C156" s="1">
        <v>0.5</v>
      </c>
      <c r="D156">
        <v>196</v>
      </c>
      <c r="E156" s="1">
        <v>181.05</v>
      </c>
      <c r="F156" s="1">
        <v>1</v>
      </c>
      <c r="G156">
        <v>524</v>
      </c>
      <c r="J156">
        <v>0</v>
      </c>
      <c r="M156">
        <v>0</v>
      </c>
    </row>
    <row r="157" spans="1:13" ht="12.75">
      <c r="A157" t="s">
        <v>338</v>
      </c>
      <c r="B157" s="1">
        <v>191.05</v>
      </c>
      <c r="C157" s="1">
        <v>1</v>
      </c>
      <c r="D157">
        <v>400</v>
      </c>
      <c r="E157" s="1">
        <v>191.07</v>
      </c>
      <c r="F157" s="1">
        <v>1</v>
      </c>
      <c r="G157">
        <v>311</v>
      </c>
      <c r="H157" s="1">
        <v>191.06</v>
      </c>
      <c r="I157" s="1">
        <v>0.5</v>
      </c>
      <c r="J157">
        <v>95</v>
      </c>
      <c r="M157">
        <v>0</v>
      </c>
    </row>
    <row r="158" spans="1:13" ht="12.75">
      <c r="A158" t="s">
        <v>339</v>
      </c>
      <c r="B158" s="1">
        <v>183.03</v>
      </c>
      <c r="C158" s="1">
        <v>0.5</v>
      </c>
      <c r="D158">
        <v>287</v>
      </c>
      <c r="E158" s="1">
        <v>183.07</v>
      </c>
      <c r="F158" s="1">
        <v>0.1</v>
      </c>
      <c r="G158">
        <v>65</v>
      </c>
      <c r="H158" s="1">
        <v>182.01</v>
      </c>
      <c r="I158" s="1">
        <v>0.25</v>
      </c>
      <c r="J158">
        <v>163</v>
      </c>
      <c r="M158">
        <v>0</v>
      </c>
    </row>
    <row r="159" spans="1:13" ht="12.75">
      <c r="A159" t="s">
        <v>340</v>
      </c>
      <c r="B159" s="1">
        <v>181.07</v>
      </c>
      <c r="C159" s="1">
        <v>1</v>
      </c>
      <c r="D159">
        <v>336</v>
      </c>
      <c r="G159">
        <v>0</v>
      </c>
      <c r="J159">
        <v>0</v>
      </c>
      <c r="M159">
        <v>0</v>
      </c>
    </row>
    <row r="160" spans="1:13" ht="12.75">
      <c r="A160" t="s">
        <v>341</v>
      </c>
      <c r="B160" s="1">
        <v>170.07</v>
      </c>
      <c r="C160" s="1">
        <v>0.5</v>
      </c>
      <c r="D160">
        <v>167</v>
      </c>
      <c r="E160" s="1">
        <v>170.08</v>
      </c>
      <c r="F160" s="1">
        <v>0.5</v>
      </c>
      <c r="G160">
        <v>102</v>
      </c>
      <c r="J160">
        <v>0</v>
      </c>
      <c r="M160">
        <v>0</v>
      </c>
    </row>
    <row r="161" spans="1:13" ht="12.75">
      <c r="A161" t="s">
        <v>342</v>
      </c>
      <c r="B161" s="1">
        <v>189.03</v>
      </c>
      <c r="C161" s="1">
        <v>0.75</v>
      </c>
      <c r="D161">
        <v>280</v>
      </c>
      <c r="G161">
        <v>0</v>
      </c>
      <c r="J161">
        <v>0</v>
      </c>
      <c r="M161">
        <v>0</v>
      </c>
    </row>
    <row r="162" spans="1:13" ht="12.75">
      <c r="A162" t="s">
        <v>343</v>
      </c>
      <c r="B162" s="1">
        <v>187.04</v>
      </c>
      <c r="C162" s="1">
        <v>1</v>
      </c>
      <c r="D162">
        <v>186</v>
      </c>
      <c r="E162" s="1">
        <v>187.05</v>
      </c>
      <c r="F162" s="1">
        <v>0.25</v>
      </c>
      <c r="G162">
        <v>240</v>
      </c>
      <c r="H162" s="1">
        <v>190.01</v>
      </c>
      <c r="I162" s="1">
        <v>0.25</v>
      </c>
      <c r="J162">
        <v>204</v>
      </c>
      <c r="M162">
        <v>0</v>
      </c>
    </row>
    <row r="163" spans="1:13" ht="12.75">
      <c r="A163" t="s">
        <v>344</v>
      </c>
      <c r="B163" s="1">
        <v>182.01</v>
      </c>
      <c r="C163" s="1">
        <v>0.25</v>
      </c>
      <c r="D163">
        <v>163</v>
      </c>
      <c r="E163" s="1">
        <v>183.07</v>
      </c>
      <c r="F163" s="1">
        <v>0.3</v>
      </c>
      <c r="G163">
        <v>194</v>
      </c>
      <c r="J163">
        <v>0</v>
      </c>
      <c r="M163">
        <v>0</v>
      </c>
    </row>
    <row r="164" spans="1:13" ht="12.75">
      <c r="A164" t="s">
        <v>345</v>
      </c>
      <c r="B164" s="1">
        <v>184.13</v>
      </c>
      <c r="C164" s="1">
        <v>0.3</v>
      </c>
      <c r="D164">
        <v>198</v>
      </c>
      <c r="E164" s="1">
        <v>184.12</v>
      </c>
      <c r="F164" s="1">
        <v>0.3</v>
      </c>
      <c r="G164">
        <v>310</v>
      </c>
      <c r="J164">
        <v>0</v>
      </c>
      <c r="M164">
        <v>0</v>
      </c>
    </row>
    <row r="165" spans="1:13" ht="12.75">
      <c r="A165" t="s">
        <v>349</v>
      </c>
      <c r="B165" s="1">
        <v>190.04</v>
      </c>
      <c r="C165" s="1">
        <v>0.3</v>
      </c>
      <c r="D165">
        <v>225</v>
      </c>
      <c r="E165" s="1">
        <v>189.03</v>
      </c>
      <c r="F165" s="1">
        <v>0.25</v>
      </c>
      <c r="G165">
        <v>93</v>
      </c>
      <c r="J165">
        <v>0</v>
      </c>
      <c r="M165">
        <v>0</v>
      </c>
    </row>
    <row r="166" spans="1:13" ht="12.75">
      <c r="A166" t="s">
        <v>350</v>
      </c>
      <c r="B166" s="1">
        <v>191.06</v>
      </c>
      <c r="C166" s="1">
        <v>0.5</v>
      </c>
      <c r="D166">
        <v>95</v>
      </c>
      <c r="E166" s="1">
        <v>190.05</v>
      </c>
      <c r="F166" s="1">
        <v>1</v>
      </c>
      <c r="G166">
        <v>202</v>
      </c>
      <c r="H166" s="1">
        <v>190.03</v>
      </c>
      <c r="I166" s="1">
        <v>0.33300000000000002</v>
      </c>
      <c r="J166">
        <v>267</v>
      </c>
      <c r="M166">
        <v>0</v>
      </c>
    </row>
    <row r="167" spans="1:13" ht="12.75">
      <c r="A167" t="s">
        <v>351</v>
      </c>
      <c r="B167" s="1">
        <v>183.01</v>
      </c>
      <c r="C167" s="1">
        <v>1</v>
      </c>
      <c r="D167">
        <v>771</v>
      </c>
      <c r="E167" s="1"/>
      <c r="F167" s="1"/>
      <c r="G167">
        <v>0</v>
      </c>
      <c r="H167" s="1"/>
      <c r="J167">
        <v>0</v>
      </c>
      <c r="M167">
        <v>0</v>
      </c>
    </row>
    <row r="168" spans="1:13" ht="12.75">
      <c r="A168" t="s">
        <v>352</v>
      </c>
      <c r="B168" s="1">
        <v>184.06</v>
      </c>
      <c r="C168" s="1">
        <v>0.33300000000000002</v>
      </c>
      <c r="D168">
        <v>716</v>
      </c>
      <c r="E168" s="1">
        <v>184.07</v>
      </c>
      <c r="F168" s="1">
        <v>1</v>
      </c>
      <c r="G168">
        <v>562</v>
      </c>
      <c r="J168">
        <v>0</v>
      </c>
      <c r="M168">
        <v>0</v>
      </c>
    </row>
    <row r="169" spans="1:13" ht="12.75">
      <c r="A169" t="s">
        <v>353</v>
      </c>
      <c r="B169" s="1">
        <v>184.12</v>
      </c>
      <c r="C169" s="1">
        <v>0.5</v>
      </c>
      <c r="D169">
        <v>517</v>
      </c>
      <c r="E169" s="1">
        <v>184.13</v>
      </c>
      <c r="F169" s="1">
        <v>0.1</v>
      </c>
      <c r="G169">
        <v>66</v>
      </c>
      <c r="H169" s="1">
        <v>184.14</v>
      </c>
      <c r="I169" s="1">
        <v>0.2</v>
      </c>
      <c r="J169">
        <v>319</v>
      </c>
      <c r="M169">
        <v>0</v>
      </c>
    </row>
    <row r="170" spans="1:13" ht="12.75">
      <c r="A170" t="s">
        <v>354</v>
      </c>
      <c r="B170" s="1">
        <v>187.03</v>
      </c>
      <c r="C170" s="1">
        <v>0.5</v>
      </c>
      <c r="D170">
        <v>447</v>
      </c>
      <c r="E170" s="1">
        <v>187.05</v>
      </c>
      <c r="F170" s="1">
        <v>0.25</v>
      </c>
      <c r="G170">
        <v>240</v>
      </c>
      <c r="J170">
        <v>0</v>
      </c>
      <c r="M170">
        <v>0</v>
      </c>
    </row>
    <row r="171" spans="1:13" ht="12.75">
      <c r="A171" t="s">
        <v>355</v>
      </c>
      <c r="B171" s="1">
        <v>170.03</v>
      </c>
      <c r="C171" s="1">
        <v>0.25</v>
      </c>
      <c r="D171">
        <v>21</v>
      </c>
      <c r="E171" s="1">
        <v>170.04</v>
      </c>
      <c r="F171" s="1">
        <v>0.25</v>
      </c>
      <c r="G171">
        <v>87</v>
      </c>
      <c r="H171" s="1">
        <v>181.11</v>
      </c>
      <c r="I171" s="1">
        <v>1</v>
      </c>
      <c r="J171">
        <v>226</v>
      </c>
      <c r="K171" s="1">
        <v>181.1</v>
      </c>
      <c r="L171" s="1">
        <v>0.5</v>
      </c>
      <c r="M171">
        <v>167</v>
      </c>
    </row>
    <row r="172" spans="1:13" ht="12.75">
      <c r="A172" t="s">
        <v>356</v>
      </c>
      <c r="B172" s="1">
        <v>180.03</v>
      </c>
      <c r="C172" s="1">
        <v>0.25</v>
      </c>
      <c r="D172">
        <v>247</v>
      </c>
      <c r="G172">
        <v>0</v>
      </c>
      <c r="J172">
        <v>0</v>
      </c>
      <c r="M172">
        <v>0</v>
      </c>
    </row>
    <row r="173" spans="1:13" ht="12.75">
      <c r="A173" t="s">
        <v>357</v>
      </c>
      <c r="B173" s="1">
        <v>189.07</v>
      </c>
      <c r="C173" s="1">
        <v>1</v>
      </c>
      <c r="D173">
        <v>393</v>
      </c>
      <c r="E173" s="1">
        <v>189.1</v>
      </c>
      <c r="F173" s="1">
        <v>0.5</v>
      </c>
      <c r="G173">
        <v>452</v>
      </c>
      <c r="H173" s="1">
        <v>189.09</v>
      </c>
      <c r="I173" s="1">
        <v>0.5</v>
      </c>
      <c r="J173">
        <v>222</v>
      </c>
      <c r="M173">
        <v>0</v>
      </c>
    </row>
    <row r="174" spans="1:13" ht="12.75">
      <c r="A174" t="s">
        <v>358</v>
      </c>
      <c r="B174" s="1">
        <v>183.09</v>
      </c>
      <c r="C174" s="1">
        <v>0.5</v>
      </c>
      <c r="D174">
        <v>1187</v>
      </c>
      <c r="E174" s="1"/>
      <c r="F174" s="1"/>
      <c r="G174">
        <v>0</v>
      </c>
      <c r="J174">
        <v>0</v>
      </c>
      <c r="M174">
        <v>0</v>
      </c>
    </row>
    <row r="175" spans="1:13" ht="12.75">
      <c r="A175" t="s">
        <v>359</v>
      </c>
      <c r="B175" s="1">
        <v>183.05</v>
      </c>
      <c r="C175" s="1">
        <v>0.5</v>
      </c>
      <c r="D175">
        <v>980</v>
      </c>
      <c r="G175">
        <v>0</v>
      </c>
      <c r="J175">
        <v>0</v>
      </c>
      <c r="M175">
        <v>0</v>
      </c>
    </row>
    <row r="176" spans="1:13" ht="12.75">
      <c r="A176" t="s">
        <v>360</v>
      </c>
      <c r="B176" s="1">
        <v>189.05</v>
      </c>
      <c r="C176" s="1">
        <v>0.33300000000000002</v>
      </c>
      <c r="D176">
        <v>234</v>
      </c>
      <c r="E176" s="1">
        <v>190.03</v>
      </c>
      <c r="F176" s="1">
        <v>0.2</v>
      </c>
      <c r="G176">
        <v>161</v>
      </c>
      <c r="J176">
        <v>0</v>
      </c>
      <c r="M176">
        <v>0</v>
      </c>
    </row>
    <row r="177" spans="1:13" ht="12.75">
      <c r="A177" t="s">
        <v>361</v>
      </c>
      <c r="B177" s="1">
        <v>189.08</v>
      </c>
      <c r="C177" s="1">
        <v>1</v>
      </c>
      <c r="D177">
        <v>826</v>
      </c>
      <c r="G177">
        <v>0</v>
      </c>
      <c r="J177">
        <v>0</v>
      </c>
      <c r="M177">
        <v>0</v>
      </c>
    </row>
    <row r="178" spans="1:13" ht="12.75">
      <c r="A178" t="s">
        <v>362</v>
      </c>
      <c r="B178" s="1">
        <v>184.08</v>
      </c>
      <c r="C178" s="1">
        <v>1</v>
      </c>
      <c r="D178">
        <v>872</v>
      </c>
      <c r="G178">
        <v>0</v>
      </c>
      <c r="J178">
        <v>0</v>
      </c>
      <c r="M178">
        <v>0</v>
      </c>
    </row>
    <row r="179" spans="1:13" ht="12.75">
      <c r="A179" t="s">
        <v>363</v>
      </c>
      <c r="B179" s="1">
        <v>185.18</v>
      </c>
      <c r="C179" s="1">
        <v>0.66700000000000004</v>
      </c>
      <c r="D179">
        <v>370</v>
      </c>
      <c r="G179">
        <v>0</v>
      </c>
      <c r="J179">
        <v>0</v>
      </c>
      <c r="M179">
        <v>0</v>
      </c>
    </row>
    <row r="180" spans="1:13" ht="12.75">
      <c r="A180" t="s">
        <v>364</v>
      </c>
      <c r="B180" s="1">
        <v>190.04</v>
      </c>
      <c r="C180" s="1">
        <v>0.6</v>
      </c>
      <c r="D180">
        <v>450</v>
      </c>
      <c r="G180">
        <v>0</v>
      </c>
      <c r="J180">
        <v>0</v>
      </c>
      <c r="M180">
        <v>0</v>
      </c>
    </row>
    <row r="181" spans="1:13" ht="12.75">
      <c r="A181" t="s">
        <v>365</v>
      </c>
      <c r="B181" s="1">
        <v>184.1</v>
      </c>
      <c r="C181" s="1">
        <v>0.5</v>
      </c>
      <c r="D181">
        <v>389</v>
      </c>
      <c r="G181">
        <v>0</v>
      </c>
      <c r="J181">
        <v>0</v>
      </c>
      <c r="M181">
        <v>0</v>
      </c>
    </row>
    <row r="182" spans="1:13" ht="12.75">
      <c r="A182" t="s">
        <v>366</v>
      </c>
      <c r="B182" s="1">
        <v>183.08</v>
      </c>
      <c r="C182" s="1">
        <v>1</v>
      </c>
      <c r="D182">
        <v>1038</v>
      </c>
      <c r="G182">
        <v>0</v>
      </c>
      <c r="J182">
        <v>0</v>
      </c>
      <c r="M182">
        <v>0</v>
      </c>
    </row>
    <row r="183" spans="1:13" ht="12.75">
      <c r="A183" t="s">
        <v>367</v>
      </c>
      <c r="B183" s="1">
        <v>185.09</v>
      </c>
      <c r="C183" s="1">
        <v>0.66700000000000004</v>
      </c>
      <c r="D183">
        <v>402</v>
      </c>
      <c r="G183">
        <v>0</v>
      </c>
      <c r="J183">
        <v>0</v>
      </c>
      <c r="M183">
        <v>0</v>
      </c>
    </row>
    <row r="184" spans="1:13" ht="12.75">
      <c r="A184" t="s">
        <v>368</v>
      </c>
      <c r="B184" s="1">
        <v>186.05</v>
      </c>
      <c r="C184" s="1">
        <v>0.5</v>
      </c>
      <c r="D184">
        <v>527</v>
      </c>
      <c r="E184" s="1">
        <v>186.06</v>
      </c>
      <c r="F184" s="1">
        <v>0.5</v>
      </c>
      <c r="G184">
        <v>273</v>
      </c>
      <c r="J184">
        <v>0</v>
      </c>
      <c r="M184">
        <v>0</v>
      </c>
    </row>
    <row r="185" spans="1:13" ht="12.75">
      <c r="A185" t="s">
        <v>369</v>
      </c>
      <c r="B185" s="1">
        <v>183.07</v>
      </c>
      <c r="C185" s="1">
        <v>0.4</v>
      </c>
      <c r="D185">
        <v>258</v>
      </c>
      <c r="E185" s="1">
        <v>183.06</v>
      </c>
      <c r="F185" s="1">
        <v>1</v>
      </c>
      <c r="G185">
        <v>222</v>
      </c>
      <c r="H185" s="1">
        <v>182.01</v>
      </c>
      <c r="I185" s="1">
        <v>0.25</v>
      </c>
      <c r="J185">
        <v>163</v>
      </c>
      <c r="M185">
        <v>0</v>
      </c>
    </row>
    <row r="186" spans="1:13" ht="12.75">
      <c r="A186" t="s">
        <v>370</v>
      </c>
      <c r="B186" s="1">
        <v>190.01</v>
      </c>
      <c r="C186" s="1">
        <v>0.75</v>
      </c>
      <c r="D186">
        <v>611</v>
      </c>
      <c r="E186" s="1">
        <v>189.06</v>
      </c>
      <c r="F186" s="1">
        <v>1</v>
      </c>
      <c r="G186">
        <v>348</v>
      </c>
      <c r="H186" s="1">
        <v>187.03</v>
      </c>
      <c r="I186" s="1">
        <v>0.25</v>
      </c>
      <c r="J186">
        <v>224</v>
      </c>
      <c r="M186">
        <v>0</v>
      </c>
    </row>
    <row r="187" spans="1:13" ht="12.75">
      <c r="A187" t="s">
        <v>371</v>
      </c>
      <c r="B187" s="1">
        <v>184.16</v>
      </c>
      <c r="C187" s="1">
        <v>0.6</v>
      </c>
      <c r="D187">
        <v>400</v>
      </c>
      <c r="G187">
        <v>0</v>
      </c>
      <c r="J187">
        <v>0</v>
      </c>
      <c r="M187">
        <v>0</v>
      </c>
    </row>
    <row r="188" spans="1:13" ht="12.75">
      <c r="A188" t="s">
        <v>372</v>
      </c>
      <c r="B188" s="1">
        <v>184.09</v>
      </c>
      <c r="C188" s="1">
        <v>0.5</v>
      </c>
      <c r="D188">
        <v>291</v>
      </c>
      <c r="E188" s="1">
        <v>184.1</v>
      </c>
      <c r="F188" s="1">
        <v>0.5</v>
      </c>
      <c r="G188">
        <v>389</v>
      </c>
      <c r="J188">
        <v>0</v>
      </c>
      <c r="M188">
        <v>0</v>
      </c>
    </row>
    <row r="189" spans="1:13" ht="12.75">
      <c r="A189" t="s">
        <v>373</v>
      </c>
      <c r="B189" s="1">
        <v>185.12</v>
      </c>
      <c r="C189" s="1">
        <v>0.5</v>
      </c>
      <c r="D189">
        <v>433</v>
      </c>
      <c r="G189">
        <v>0</v>
      </c>
      <c r="J189">
        <v>0</v>
      </c>
      <c r="M189">
        <v>0</v>
      </c>
    </row>
    <row r="190" spans="1:13" ht="12.75">
      <c r="A190" t="s">
        <v>374</v>
      </c>
      <c r="B190" s="1">
        <v>190.03</v>
      </c>
      <c r="C190" s="1">
        <v>0.8</v>
      </c>
      <c r="D190">
        <v>642</v>
      </c>
      <c r="E190" s="1">
        <v>190.04</v>
      </c>
      <c r="F190" s="1">
        <v>0.1</v>
      </c>
      <c r="G190">
        <v>75</v>
      </c>
      <c r="J190">
        <v>0</v>
      </c>
      <c r="M190">
        <v>0</v>
      </c>
    </row>
    <row r="191" spans="1:13" ht="12.75">
      <c r="A191" t="s">
        <v>375</v>
      </c>
      <c r="B191" s="1">
        <v>182.01</v>
      </c>
      <c r="C191" s="1">
        <v>0.25</v>
      </c>
      <c r="D191">
        <v>163</v>
      </c>
      <c r="E191" s="1">
        <v>180.01</v>
      </c>
      <c r="F191" s="1">
        <v>0.5</v>
      </c>
      <c r="G191">
        <v>676</v>
      </c>
      <c r="J191">
        <v>0</v>
      </c>
      <c r="M191">
        <v>0</v>
      </c>
    </row>
    <row r="192" spans="1:13" ht="12.75">
      <c r="A192" t="s">
        <v>376</v>
      </c>
      <c r="B192" s="1">
        <v>185.15</v>
      </c>
      <c r="C192" s="1">
        <v>0.66700000000000004</v>
      </c>
      <c r="D192">
        <v>472</v>
      </c>
      <c r="E192" s="1">
        <v>185.16</v>
      </c>
      <c r="F192" s="1">
        <v>0.5</v>
      </c>
      <c r="G192">
        <v>332</v>
      </c>
      <c r="J192">
        <v>0</v>
      </c>
      <c r="M192">
        <v>0</v>
      </c>
    </row>
    <row r="193" spans="1:13" ht="12.75">
      <c r="A193" t="s">
        <v>377</v>
      </c>
      <c r="B193" s="1">
        <v>185.07</v>
      </c>
      <c r="C193" s="1">
        <v>0.33300000000000002</v>
      </c>
      <c r="D193">
        <v>459</v>
      </c>
      <c r="E193" s="1">
        <v>184.12</v>
      </c>
      <c r="F193" s="1">
        <v>0.2</v>
      </c>
      <c r="G193">
        <v>207</v>
      </c>
      <c r="H193" s="1">
        <v>184.13</v>
      </c>
      <c r="I193" s="1">
        <v>0.2</v>
      </c>
      <c r="J193">
        <v>132</v>
      </c>
      <c r="M193">
        <v>0</v>
      </c>
    </row>
    <row r="194" spans="1:13" ht="12.75">
      <c r="A194" t="s">
        <v>378</v>
      </c>
      <c r="B194" s="1">
        <v>191.03</v>
      </c>
      <c r="C194" s="1">
        <v>0.5</v>
      </c>
      <c r="D194">
        <v>333</v>
      </c>
      <c r="E194" s="1">
        <v>191.04</v>
      </c>
      <c r="F194" s="1">
        <v>0.5</v>
      </c>
      <c r="G194">
        <v>307</v>
      </c>
      <c r="J194">
        <v>0</v>
      </c>
      <c r="M194">
        <v>0</v>
      </c>
    </row>
    <row r="195" spans="1:13" ht="12.75">
      <c r="A195" t="s">
        <v>379</v>
      </c>
      <c r="B195" s="1">
        <v>180.03</v>
      </c>
      <c r="C195" s="1">
        <v>0.5</v>
      </c>
      <c r="D195">
        <v>494</v>
      </c>
      <c r="G195">
        <v>0</v>
      </c>
      <c r="J195">
        <v>0</v>
      </c>
      <c r="M195">
        <v>0</v>
      </c>
    </row>
    <row r="196" spans="1:13" ht="12.75">
      <c r="A196" t="s">
        <v>380</v>
      </c>
      <c r="B196" s="1">
        <v>185.07</v>
      </c>
      <c r="C196" s="1">
        <v>0.33300000000000002</v>
      </c>
      <c r="D196">
        <v>459</v>
      </c>
      <c r="G196">
        <v>0</v>
      </c>
      <c r="J196">
        <v>0</v>
      </c>
      <c r="M196">
        <v>0</v>
      </c>
    </row>
    <row r="197" spans="1:13" ht="12.75">
      <c r="A197" t="s">
        <v>381</v>
      </c>
      <c r="B197" s="1">
        <v>188.06</v>
      </c>
      <c r="C197" s="1">
        <v>0.2</v>
      </c>
      <c r="D197">
        <v>38</v>
      </c>
      <c r="E197" s="1">
        <v>182.06</v>
      </c>
      <c r="F197" s="1">
        <v>1</v>
      </c>
      <c r="G197">
        <v>120</v>
      </c>
      <c r="J197">
        <v>0</v>
      </c>
      <c r="M197">
        <v>0</v>
      </c>
    </row>
    <row r="198" spans="1:13" ht="12.75">
      <c r="A198" t="s">
        <v>382</v>
      </c>
      <c r="B198" s="1">
        <v>186.01</v>
      </c>
      <c r="C198" s="1">
        <v>0.25</v>
      </c>
      <c r="D198">
        <v>202</v>
      </c>
      <c r="E198" s="1">
        <v>186.02</v>
      </c>
      <c r="F198" s="1">
        <v>0.75</v>
      </c>
      <c r="G198">
        <v>490</v>
      </c>
      <c r="H198" s="1">
        <v>192</v>
      </c>
      <c r="I198" s="1">
        <v>0.33</v>
      </c>
      <c r="J198">
        <v>137</v>
      </c>
      <c r="M198">
        <v>0</v>
      </c>
    </row>
    <row r="199" spans="1:13" ht="12.75">
      <c r="A199" t="s">
        <v>383</v>
      </c>
      <c r="B199" s="1">
        <v>181.08</v>
      </c>
      <c r="C199" s="1">
        <v>1</v>
      </c>
      <c r="D199">
        <v>248</v>
      </c>
      <c r="E199" s="1">
        <v>181.09</v>
      </c>
      <c r="F199" s="1">
        <v>1</v>
      </c>
      <c r="G199">
        <v>614</v>
      </c>
      <c r="J199">
        <v>0</v>
      </c>
      <c r="M199">
        <v>0</v>
      </c>
    </row>
    <row r="200" spans="1:13" ht="12.75">
      <c r="A200" t="s">
        <v>384</v>
      </c>
      <c r="B200" s="1">
        <v>180.01</v>
      </c>
      <c r="C200" s="1">
        <v>0.5</v>
      </c>
      <c r="D200">
        <v>676</v>
      </c>
      <c r="G200">
        <v>0</v>
      </c>
      <c r="J200">
        <v>0</v>
      </c>
      <c r="M200">
        <v>0</v>
      </c>
    </row>
    <row r="201" spans="1:13" ht="12.75">
      <c r="A201" t="s">
        <v>385</v>
      </c>
      <c r="B201" s="1">
        <v>186.01</v>
      </c>
      <c r="C201" s="1">
        <v>0.5</v>
      </c>
      <c r="D201">
        <v>405</v>
      </c>
      <c r="G201">
        <v>0</v>
      </c>
      <c r="J201">
        <v>0</v>
      </c>
      <c r="M201">
        <v>0</v>
      </c>
    </row>
    <row r="202" spans="1:13" ht="12.75">
      <c r="A202" t="s">
        <v>386</v>
      </c>
      <c r="B202" s="1">
        <v>181.13</v>
      </c>
      <c r="C202" s="1">
        <v>1</v>
      </c>
      <c r="D202">
        <v>341</v>
      </c>
      <c r="E202" s="1">
        <v>181.12</v>
      </c>
      <c r="F202" s="1">
        <v>0.5</v>
      </c>
      <c r="G202">
        <v>156</v>
      </c>
      <c r="H202" s="1">
        <v>181.14</v>
      </c>
      <c r="I202" s="1">
        <v>0.5</v>
      </c>
      <c r="J202">
        <v>196</v>
      </c>
      <c r="M202">
        <v>0</v>
      </c>
    </row>
    <row r="203" spans="1:13" ht="12.75">
      <c r="A203" t="s">
        <v>387</v>
      </c>
      <c r="B203" s="1">
        <v>186.05</v>
      </c>
      <c r="C203" s="1">
        <v>0.5</v>
      </c>
      <c r="D203">
        <v>527</v>
      </c>
      <c r="E203" s="1">
        <v>186.06</v>
      </c>
      <c r="F203" s="1">
        <v>0.25</v>
      </c>
      <c r="G203">
        <v>137</v>
      </c>
      <c r="J203">
        <v>0</v>
      </c>
      <c r="M203">
        <v>0</v>
      </c>
    </row>
    <row r="204" spans="1:13" ht="12.75">
      <c r="A204" t="s">
        <v>388</v>
      </c>
      <c r="B204" s="1">
        <v>187.06</v>
      </c>
      <c r="C204" s="1">
        <v>0.5</v>
      </c>
      <c r="D204">
        <v>490</v>
      </c>
      <c r="E204" s="1">
        <v>188.04</v>
      </c>
      <c r="F204" s="1">
        <v>1</v>
      </c>
      <c r="G204">
        <v>552</v>
      </c>
      <c r="J204">
        <v>0</v>
      </c>
      <c r="M204">
        <v>0</v>
      </c>
    </row>
    <row r="205" spans="1:13" ht="12.75">
      <c r="A205" t="s">
        <v>389</v>
      </c>
      <c r="B205" s="1">
        <v>181.16</v>
      </c>
      <c r="C205" s="1">
        <v>1</v>
      </c>
      <c r="D205">
        <v>270</v>
      </c>
      <c r="E205" s="1">
        <v>181.15</v>
      </c>
      <c r="F205" s="1">
        <v>1</v>
      </c>
      <c r="G205">
        <v>524</v>
      </c>
      <c r="J205">
        <v>0</v>
      </c>
      <c r="M205">
        <v>0</v>
      </c>
    </row>
    <row r="206" spans="1:13" ht="12.75">
      <c r="A206" t="s">
        <v>390</v>
      </c>
      <c r="B206" s="1">
        <v>185.1</v>
      </c>
      <c r="C206" s="1">
        <v>0.5</v>
      </c>
      <c r="D206">
        <v>423</v>
      </c>
      <c r="E206" s="1">
        <v>185.11</v>
      </c>
      <c r="F206" s="1">
        <v>0.33300000000000002</v>
      </c>
      <c r="G206">
        <v>367</v>
      </c>
      <c r="J206">
        <v>0</v>
      </c>
      <c r="M206">
        <v>0</v>
      </c>
    </row>
    <row r="207" spans="1:13" ht="12.75">
      <c r="A207" t="s">
        <v>391</v>
      </c>
      <c r="B207" s="1">
        <v>184.13</v>
      </c>
      <c r="C207" s="1">
        <v>0.2</v>
      </c>
      <c r="D207">
        <v>132</v>
      </c>
      <c r="E207" s="1">
        <v>182.03</v>
      </c>
      <c r="F207" s="1">
        <v>0.4</v>
      </c>
      <c r="G207">
        <v>144</v>
      </c>
      <c r="J207">
        <v>0</v>
      </c>
      <c r="M207">
        <v>0</v>
      </c>
    </row>
    <row r="208" spans="1:13" ht="12.75">
      <c r="A208" t="s">
        <v>392</v>
      </c>
      <c r="B208" s="1">
        <v>180.04</v>
      </c>
      <c r="C208" s="1">
        <v>1</v>
      </c>
      <c r="D208">
        <v>1058</v>
      </c>
      <c r="G208">
        <v>0</v>
      </c>
      <c r="J208">
        <v>0</v>
      </c>
      <c r="M208">
        <v>0</v>
      </c>
    </row>
    <row r="209" spans="1:13" ht="12.75">
      <c r="A209" t="s">
        <v>393</v>
      </c>
      <c r="B209" s="1">
        <v>182.02</v>
      </c>
      <c r="C209" s="1">
        <v>0.5</v>
      </c>
      <c r="D209">
        <v>816</v>
      </c>
      <c r="G209">
        <v>0</v>
      </c>
      <c r="J209">
        <v>0</v>
      </c>
      <c r="M209">
        <v>0</v>
      </c>
    </row>
    <row r="210" spans="1:13" ht="12.75">
      <c r="A210" t="s">
        <v>394</v>
      </c>
      <c r="B210" s="1">
        <v>184.06</v>
      </c>
      <c r="C210" s="1">
        <v>0.66700000000000004</v>
      </c>
      <c r="D210">
        <v>1433</v>
      </c>
      <c r="E210" s="1">
        <v>182.03</v>
      </c>
      <c r="F210" s="1">
        <v>0.2</v>
      </c>
      <c r="G210">
        <v>72</v>
      </c>
      <c r="J210">
        <v>0</v>
      </c>
      <c r="M210">
        <v>0</v>
      </c>
    </row>
    <row r="211" spans="1:13" ht="12.75">
      <c r="A211" t="s">
        <v>395</v>
      </c>
      <c r="B211" s="1">
        <v>185.05</v>
      </c>
      <c r="C211" s="1">
        <v>0.8</v>
      </c>
      <c r="D211">
        <v>644</v>
      </c>
      <c r="G211">
        <v>0</v>
      </c>
      <c r="J211">
        <v>0</v>
      </c>
      <c r="M211">
        <v>0</v>
      </c>
    </row>
    <row r="212" spans="1:13" ht="12.75">
      <c r="A212" t="s">
        <v>396</v>
      </c>
      <c r="B212" s="1">
        <v>187.16</v>
      </c>
      <c r="C212" s="1">
        <v>0.33300000000000002</v>
      </c>
      <c r="D212">
        <v>133</v>
      </c>
      <c r="E212" s="1">
        <v>187.14</v>
      </c>
      <c r="F212" s="1">
        <v>1</v>
      </c>
      <c r="G212">
        <v>443</v>
      </c>
      <c r="H212" s="1">
        <v>187.15</v>
      </c>
      <c r="I212" s="1">
        <v>1</v>
      </c>
      <c r="J212">
        <v>540</v>
      </c>
      <c r="M212">
        <v>0</v>
      </c>
    </row>
    <row r="213" spans="1:13" ht="12.75">
      <c r="A213" t="s">
        <v>397</v>
      </c>
      <c r="B213" s="1">
        <v>185.11</v>
      </c>
      <c r="C213" s="1">
        <v>0.66700000000000004</v>
      </c>
      <c r="D213">
        <v>736</v>
      </c>
      <c r="G213">
        <v>0</v>
      </c>
      <c r="J213">
        <v>0</v>
      </c>
      <c r="M213">
        <v>0</v>
      </c>
    </row>
    <row r="214" spans="1:13" ht="12.75">
      <c r="A214" t="s">
        <v>398</v>
      </c>
      <c r="B214" s="1">
        <v>170.08</v>
      </c>
      <c r="C214" s="1">
        <v>0.5</v>
      </c>
      <c r="D214">
        <v>102</v>
      </c>
      <c r="E214" s="1">
        <v>170.07</v>
      </c>
      <c r="F214" s="1">
        <v>0.5</v>
      </c>
      <c r="G214">
        <v>167</v>
      </c>
      <c r="H214" s="1">
        <v>170.05</v>
      </c>
      <c r="I214" s="1">
        <v>1</v>
      </c>
      <c r="J214">
        <v>73</v>
      </c>
      <c r="K214" s="1">
        <v>170.03</v>
      </c>
      <c r="L214" s="1">
        <v>0.75</v>
      </c>
      <c r="M214">
        <v>64</v>
      </c>
    </row>
    <row r="215" spans="1:13" ht="12.75">
      <c r="A215" t="s">
        <v>399</v>
      </c>
      <c r="B215" s="1">
        <v>189.1</v>
      </c>
      <c r="C215" s="1">
        <v>0.5</v>
      </c>
      <c r="D215">
        <v>452</v>
      </c>
      <c r="E215" s="1">
        <v>189.09</v>
      </c>
      <c r="F215" s="1">
        <v>0.5</v>
      </c>
      <c r="G215">
        <v>222</v>
      </c>
      <c r="J215">
        <v>0</v>
      </c>
      <c r="M215">
        <v>0</v>
      </c>
    </row>
    <row r="216" spans="1:13" ht="12.75">
      <c r="A216" t="s">
        <v>400</v>
      </c>
      <c r="B216" s="1">
        <v>182.04</v>
      </c>
      <c r="C216" s="1">
        <v>1</v>
      </c>
      <c r="D216">
        <v>208</v>
      </c>
      <c r="E216" s="1">
        <v>187.16</v>
      </c>
      <c r="F216" s="1">
        <v>0.66700000000000004</v>
      </c>
      <c r="G216">
        <v>266</v>
      </c>
      <c r="J216">
        <v>0</v>
      </c>
      <c r="M216">
        <v>0</v>
      </c>
    </row>
    <row r="217" spans="1:13" ht="12.75">
      <c r="A217" t="s">
        <v>401</v>
      </c>
      <c r="B217" s="1">
        <v>187.06</v>
      </c>
      <c r="C217" s="1">
        <v>0.5</v>
      </c>
      <c r="D217">
        <v>490</v>
      </c>
      <c r="E217" s="1">
        <v>187.11</v>
      </c>
      <c r="F217" s="1">
        <v>0.33300000000000002</v>
      </c>
      <c r="G217">
        <v>336</v>
      </c>
      <c r="J217">
        <v>0</v>
      </c>
      <c r="M217">
        <v>0</v>
      </c>
    </row>
    <row r="219" spans="1:13" ht="12.75">
      <c r="A219" s="1" t="s">
        <v>54</v>
      </c>
      <c r="B219" s="1" t="s">
        <v>517</v>
      </c>
      <c r="C219" s="1" t="s">
        <v>518</v>
      </c>
      <c r="D219" s="1" t="s">
        <v>519</v>
      </c>
    </row>
    <row r="220" spans="1:13" ht="12.75">
      <c r="A220" s="1" t="s">
        <v>520</v>
      </c>
      <c r="B220" s="1"/>
      <c r="C220" s="1"/>
      <c r="D220" s="1">
        <v>270</v>
      </c>
    </row>
    <row r="221" spans="1:13" ht="12.75">
      <c r="A221" s="1" t="s">
        <v>521</v>
      </c>
      <c r="D221">
        <v>157</v>
      </c>
    </row>
    <row r="222" spans="1:13" ht="12.75">
      <c r="A222" s="1" t="s">
        <v>522</v>
      </c>
      <c r="D222">
        <v>194</v>
      </c>
    </row>
    <row r="223" spans="1:13" ht="12.75">
      <c r="A223" s="1" t="s">
        <v>523</v>
      </c>
      <c r="D223">
        <v>599</v>
      </c>
    </row>
    <row r="224" spans="1:13" ht="12.75">
      <c r="A224" s="1" t="s">
        <v>524</v>
      </c>
      <c r="D224">
        <v>187</v>
      </c>
    </row>
    <row r="225" spans="1:4" ht="12.75">
      <c r="A225" s="1" t="s">
        <v>525</v>
      </c>
      <c r="D225">
        <v>374</v>
      </c>
    </row>
    <row r="226" spans="1:4" ht="12.75">
      <c r="A226" s="1" t="s">
        <v>526</v>
      </c>
      <c r="D226">
        <v>187</v>
      </c>
    </row>
    <row r="227" spans="1:4" ht="12.75">
      <c r="A227" s="1" t="s">
        <v>527</v>
      </c>
      <c r="D227">
        <v>487</v>
      </c>
    </row>
    <row r="228" spans="1:4" ht="12.75">
      <c r="A228" s="1" t="s">
        <v>528</v>
      </c>
      <c r="D228">
        <v>371</v>
      </c>
    </row>
    <row r="229" spans="1:4" ht="12.75">
      <c r="A229" s="1" t="s">
        <v>529</v>
      </c>
      <c r="D229">
        <v>2826</v>
      </c>
    </row>
    <row r="231" spans="1:4" ht="12.75">
      <c r="A231" s="1" t="s">
        <v>59</v>
      </c>
      <c r="B231" s="1" t="s">
        <v>517</v>
      </c>
      <c r="C231" s="1" t="s">
        <v>518</v>
      </c>
      <c r="D231" s="1" t="s">
        <v>519</v>
      </c>
    </row>
    <row r="232" spans="1:4" ht="12.75">
      <c r="A232" s="1" t="s">
        <v>530</v>
      </c>
      <c r="B232" s="1">
        <v>181.07</v>
      </c>
      <c r="C232" s="1">
        <v>1</v>
      </c>
      <c r="D232">
        <v>266</v>
      </c>
    </row>
    <row r="233" spans="1:4" ht="12.75">
      <c r="A233" s="1" t="s">
        <v>531</v>
      </c>
      <c r="B233" s="1">
        <v>181.03</v>
      </c>
      <c r="C233" s="1">
        <v>0.5</v>
      </c>
      <c r="D233" s="1">
        <v>205</v>
      </c>
    </row>
    <row r="234" spans="1:4" ht="12.75">
      <c r="A234" s="1" t="s">
        <v>532</v>
      </c>
      <c r="B234" s="1">
        <v>181.12</v>
      </c>
      <c r="C234" s="1">
        <v>0.5</v>
      </c>
      <c r="D234" s="1">
        <v>119</v>
      </c>
    </row>
    <row r="235" spans="1:4" ht="12.75">
      <c r="A235" s="1" t="s">
        <v>533</v>
      </c>
      <c r="B235" s="1">
        <v>181.08</v>
      </c>
      <c r="C235" s="1">
        <v>1</v>
      </c>
      <c r="D235" s="1">
        <v>169</v>
      </c>
    </row>
    <row r="236" spans="1:4" ht="12.75">
      <c r="B236" s="1">
        <v>181.03</v>
      </c>
      <c r="C236" s="1">
        <v>0.5</v>
      </c>
      <c r="D236" s="1">
        <v>205</v>
      </c>
    </row>
    <row r="237" spans="1:4" ht="12.75">
      <c r="B237" s="1">
        <v>181.09</v>
      </c>
      <c r="C237" s="1">
        <v>1</v>
      </c>
      <c r="D237" s="1">
        <v>540</v>
      </c>
    </row>
    <row r="238" spans="1:4" ht="12.75">
      <c r="A238" s="1" t="s">
        <v>529</v>
      </c>
      <c r="D238">
        <v>1504</v>
      </c>
    </row>
    <row r="239" spans="1:4" ht="12.75">
      <c r="A239" s="1"/>
      <c r="B239" s="1"/>
      <c r="C239" s="1"/>
      <c r="D239" s="1"/>
    </row>
    <row r="240" spans="1:4" ht="12.75">
      <c r="A240" s="1"/>
    </row>
    <row r="241" spans="1:4" ht="12.75">
      <c r="A241" s="1" t="s">
        <v>78</v>
      </c>
      <c r="B241" s="1" t="s">
        <v>517</v>
      </c>
      <c r="C241" s="1" t="s">
        <v>518</v>
      </c>
      <c r="D241" s="1" t="s">
        <v>519</v>
      </c>
    </row>
    <row r="242" spans="1:4" ht="12.75">
      <c r="A242" s="1" t="s">
        <v>534</v>
      </c>
      <c r="B242" s="1">
        <v>188.01</v>
      </c>
      <c r="C242" s="1">
        <v>1</v>
      </c>
      <c r="D242" s="1">
        <v>337</v>
      </c>
    </row>
    <row r="243" spans="1:4" ht="12.75">
      <c r="A243" s="1"/>
      <c r="B243" s="1">
        <v>188.02</v>
      </c>
      <c r="C243" s="1">
        <v>0.75</v>
      </c>
      <c r="D243" s="1">
        <v>263</v>
      </c>
    </row>
    <row r="244" spans="1:4" ht="12.75">
      <c r="A244" s="1" t="s">
        <v>535</v>
      </c>
      <c r="B244" s="1">
        <v>188.02</v>
      </c>
      <c r="C244" s="1">
        <v>0.25</v>
      </c>
      <c r="D244" s="1">
        <v>88</v>
      </c>
    </row>
    <row r="245" spans="1:4" ht="12.75">
      <c r="A245" s="1"/>
      <c r="B245" s="1">
        <v>188.08</v>
      </c>
      <c r="C245" s="1">
        <v>0.5</v>
      </c>
      <c r="D245" s="1">
        <v>278</v>
      </c>
    </row>
    <row r="246" spans="1:4" ht="12.75">
      <c r="A246" s="1"/>
      <c r="B246" s="1">
        <v>188.07</v>
      </c>
      <c r="C246" s="1">
        <v>0.25</v>
      </c>
      <c r="D246" s="1">
        <v>116</v>
      </c>
    </row>
    <row r="247" spans="1:4" ht="12.75">
      <c r="A247" s="1" t="s">
        <v>536</v>
      </c>
      <c r="B247" s="1">
        <v>188.07</v>
      </c>
      <c r="C247" s="1">
        <v>0.75</v>
      </c>
      <c r="D247" s="1">
        <v>347</v>
      </c>
    </row>
    <row r="248" spans="1:4" ht="12.75">
      <c r="A248" s="1"/>
      <c r="B248" s="1">
        <v>188.08</v>
      </c>
      <c r="C248" s="1">
        <v>0.5</v>
      </c>
      <c r="D248" s="1">
        <v>278</v>
      </c>
    </row>
    <row r="249" spans="1:4" ht="12.75">
      <c r="A249" s="1" t="s">
        <v>537</v>
      </c>
      <c r="B249" s="1">
        <v>188.05</v>
      </c>
      <c r="C249" s="1">
        <v>1</v>
      </c>
      <c r="D249" s="1">
        <v>298</v>
      </c>
    </row>
    <row r="250" spans="1:4" ht="12.75">
      <c r="B250" s="1">
        <v>188.06</v>
      </c>
      <c r="C250" s="1">
        <v>0.8</v>
      </c>
      <c r="D250" s="1">
        <v>110</v>
      </c>
    </row>
    <row r="251" spans="1:4" ht="12.75">
      <c r="A251" s="1" t="s">
        <v>529</v>
      </c>
      <c r="D251">
        <v>2115</v>
      </c>
    </row>
    <row r="253" spans="1:4" ht="12.75">
      <c r="A253" s="1"/>
    </row>
    <row r="254" spans="1:4" ht="12.75">
      <c r="A254" s="1" t="s">
        <v>81</v>
      </c>
      <c r="B254" s="1" t="s">
        <v>517</v>
      </c>
      <c r="C254" s="1" t="s">
        <v>518</v>
      </c>
      <c r="D254" s="1" t="s">
        <v>519</v>
      </c>
    </row>
    <row r="255" spans="1:4" ht="12.75">
      <c r="A255" s="1" t="s">
        <v>538</v>
      </c>
      <c r="B255" s="1">
        <v>192</v>
      </c>
      <c r="C255" s="1">
        <v>0.66700000000000004</v>
      </c>
      <c r="D255" s="1">
        <v>185</v>
      </c>
    </row>
    <row r="256" spans="1:4" ht="12.75">
      <c r="A256" s="1" t="s">
        <v>539</v>
      </c>
      <c r="B256" s="1">
        <v>191.05</v>
      </c>
      <c r="C256" s="1">
        <v>1</v>
      </c>
      <c r="D256" s="1">
        <v>295</v>
      </c>
    </row>
    <row r="257" spans="1:4" ht="12.75">
      <c r="A257" s="1"/>
      <c r="B257" s="1">
        <v>191.07</v>
      </c>
      <c r="C257" s="1">
        <v>1</v>
      </c>
      <c r="D257" s="1">
        <v>245</v>
      </c>
    </row>
    <row r="258" spans="1:4" ht="12.75">
      <c r="A258" s="1"/>
      <c r="B258" s="1">
        <v>191.06</v>
      </c>
      <c r="C258" s="1">
        <v>0.5</v>
      </c>
      <c r="D258" s="1">
        <v>72</v>
      </c>
    </row>
    <row r="259" spans="1:4" ht="12.75">
      <c r="A259" s="1" t="s">
        <v>540</v>
      </c>
      <c r="B259" s="1">
        <v>191.03</v>
      </c>
      <c r="C259" s="1">
        <v>0.5</v>
      </c>
      <c r="D259" s="1">
        <v>217</v>
      </c>
    </row>
    <row r="260" spans="1:4" ht="12.75">
      <c r="A260" s="1"/>
      <c r="B260" s="1">
        <v>191.04</v>
      </c>
      <c r="C260" s="1">
        <v>0.5</v>
      </c>
      <c r="D260" s="1">
        <v>203</v>
      </c>
    </row>
    <row r="261" spans="1:4" ht="12.75">
      <c r="A261" s="1" t="s">
        <v>541</v>
      </c>
      <c r="B261" s="1">
        <v>191.06</v>
      </c>
      <c r="C261" s="1">
        <v>0.5</v>
      </c>
      <c r="D261" s="1">
        <v>72</v>
      </c>
    </row>
    <row r="262" spans="1:4" ht="12.75">
      <c r="A262" s="1"/>
      <c r="B262" s="1">
        <v>190.05</v>
      </c>
      <c r="C262" s="1">
        <v>1</v>
      </c>
      <c r="D262" s="1">
        <v>139</v>
      </c>
    </row>
    <row r="263" spans="1:4" ht="12.75">
      <c r="A263" s="1"/>
      <c r="B263" s="1">
        <v>190.03</v>
      </c>
      <c r="C263" s="1">
        <v>0.33300000000000002</v>
      </c>
      <c r="D263" s="1">
        <v>194</v>
      </c>
    </row>
    <row r="264" spans="1:4" ht="12.75">
      <c r="A264" s="1" t="s">
        <v>542</v>
      </c>
      <c r="B264" s="1">
        <v>190.04</v>
      </c>
      <c r="C264" s="1">
        <v>0.6</v>
      </c>
      <c r="D264" s="1">
        <v>325</v>
      </c>
    </row>
    <row r="265" spans="1:4" ht="12.75">
      <c r="A265" s="1" t="s">
        <v>529</v>
      </c>
      <c r="D265">
        <v>1947</v>
      </c>
    </row>
    <row r="267" spans="1:4" ht="12.75">
      <c r="A267" s="1"/>
    </row>
    <row r="268" spans="1:4" ht="12.75">
      <c r="A268" s="1" t="s">
        <v>82</v>
      </c>
      <c r="B268" s="1" t="s">
        <v>517</v>
      </c>
      <c r="C268" s="1" t="s">
        <v>518</v>
      </c>
      <c r="D268" s="1" t="s">
        <v>519</v>
      </c>
    </row>
    <row r="269" spans="1:4" ht="12.75">
      <c r="A269" t="s">
        <v>543</v>
      </c>
      <c r="B269">
        <v>182.02</v>
      </c>
      <c r="C269">
        <v>0.5</v>
      </c>
      <c r="D269" s="1">
        <v>371</v>
      </c>
    </row>
    <row r="270" spans="1:4" ht="12.75">
      <c r="A270" t="s">
        <v>544</v>
      </c>
      <c r="B270">
        <v>182.02</v>
      </c>
      <c r="C270">
        <v>0.5</v>
      </c>
      <c r="D270">
        <v>371</v>
      </c>
    </row>
    <row r="271" spans="1:4" ht="12.75">
      <c r="A271" t="s">
        <v>545</v>
      </c>
      <c r="B271" s="1">
        <v>183.01</v>
      </c>
      <c r="C271" s="1">
        <v>1</v>
      </c>
      <c r="D271">
        <v>533</v>
      </c>
    </row>
    <row r="272" spans="1:4" ht="12.75">
      <c r="A272" s="1" t="s">
        <v>546</v>
      </c>
      <c r="B272" s="1">
        <v>183.05</v>
      </c>
      <c r="C272" s="1">
        <v>0.5</v>
      </c>
      <c r="D272" s="1">
        <v>520</v>
      </c>
    </row>
    <row r="273" spans="1:4" ht="12.75">
      <c r="A273" s="1" t="s">
        <v>547</v>
      </c>
      <c r="B273" s="1">
        <v>183.03</v>
      </c>
      <c r="C273" s="1">
        <v>0.5</v>
      </c>
      <c r="D273" s="1">
        <v>199</v>
      </c>
    </row>
    <row r="274" spans="1:4" ht="12.75">
      <c r="A274" s="1"/>
      <c r="B274" s="1">
        <v>183.07</v>
      </c>
      <c r="C274" s="1">
        <v>0.2</v>
      </c>
      <c r="D274" s="1">
        <v>96</v>
      </c>
    </row>
    <row r="275" spans="1:4" ht="12.75">
      <c r="A275" s="1" t="s">
        <v>548</v>
      </c>
      <c r="B275" s="1">
        <v>183.03</v>
      </c>
      <c r="C275" s="1">
        <v>0.5</v>
      </c>
      <c r="D275" s="1">
        <v>199</v>
      </c>
    </row>
    <row r="276" spans="1:4" ht="12.75">
      <c r="A276" s="1"/>
      <c r="B276" s="1">
        <v>183.07</v>
      </c>
      <c r="C276" s="1">
        <v>0.1</v>
      </c>
      <c r="D276" s="1">
        <v>48</v>
      </c>
    </row>
    <row r="277" spans="1:4" ht="12.75">
      <c r="A277" s="1"/>
      <c r="B277" s="1">
        <v>182.01</v>
      </c>
      <c r="C277" s="1">
        <v>0.25</v>
      </c>
      <c r="D277" s="1">
        <v>116</v>
      </c>
    </row>
    <row r="278" spans="1:4" ht="12.75">
      <c r="A278" s="1" t="s">
        <v>549</v>
      </c>
      <c r="B278" s="1">
        <v>182.01</v>
      </c>
      <c r="C278" s="1">
        <v>0.25</v>
      </c>
      <c r="D278" s="1">
        <v>116</v>
      </c>
    </row>
    <row r="279" spans="1:4" ht="12.75">
      <c r="B279" s="1">
        <v>183.07</v>
      </c>
      <c r="C279" s="1">
        <v>0.3</v>
      </c>
      <c r="D279" s="1">
        <v>145</v>
      </c>
    </row>
    <row r="280" spans="1:4" ht="12.75">
      <c r="A280" s="1" t="s">
        <v>529</v>
      </c>
      <c r="D280">
        <v>2714</v>
      </c>
    </row>
    <row r="282" spans="1:4" ht="12.75">
      <c r="A282" s="1"/>
    </row>
    <row r="283" spans="1:4" ht="12.75">
      <c r="A283" s="1" t="s">
        <v>148</v>
      </c>
      <c r="B283" s="1" t="s">
        <v>517</v>
      </c>
      <c r="C283" s="1" t="s">
        <v>518</v>
      </c>
      <c r="D283" s="1" t="s">
        <v>519</v>
      </c>
    </row>
    <row r="284" spans="1:4" ht="12.75">
      <c r="A284" s="1" t="s">
        <v>550</v>
      </c>
      <c r="B284" s="1">
        <v>185.18</v>
      </c>
      <c r="C284" s="1">
        <v>0.33300000000000002</v>
      </c>
      <c r="D284" s="1">
        <v>128</v>
      </c>
    </row>
    <row r="285" spans="1:4" ht="12.75">
      <c r="A285" s="1"/>
      <c r="B285" s="1">
        <v>185.08</v>
      </c>
      <c r="C285" s="1">
        <v>1</v>
      </c>
      <c r="D285" s="1">
        <v>124</v>
      </c>
    </row>
    <row r="286" spans="1:4" ht="12.75">
      <c r="A286" s="1"/>
      <c r="B286" s="1">
        <v>185.07</v>
      </c>
      <c r="C286" s="1">
        <v>0.33300000000000002</v>
      </c>
      <c r="D286" s="1">
        <v>306</v>
      </c>
    </row>
    <row r="287" spans="1:4" ht="12.75">
      <c r="A287" s="1" t="s">
        <v>551</v>
      </c>
      <c r="B287" s="1">
        <v>185.07</v>
      </c>
      <c r="C287" s="1">
        <v>0.33300000000000002</v>
      </c>
      <c r="D287">
        <v>306</v>
      </c>
    </row>
    <row r="288" spans="1:4" ht="12.75">
      <c r="A288" s="1" t="s">
        <v>552</v>
      </c>
      <c r="B288" s="1">
        <v>185.12</v>
      </c>
      <c r="C288" s="1">
        <v>0.5</v>
      </c>
      <c r="D288" s="1">
        <v>266</v>
      </c>
    </row>
    <row r="289" spans="1:4" ht="12.75">
      <c r="A289" s="1"/>
      <c r="B289" s="1">
        <v>185.05</v>
      </c>
      <c r="C289" s="1">
        <v>0.2</v>
      </c>
      <c r="D289" s="1">
        <v>117</v>
      </c>
    </row>
    <row r="290" spans="1:4" ht="12.75">
      <c r="A290" s="1" t="s">
        <v>553</v>
      </c>
      <c r="B290" s="1">
        <v>185.07</v>
      </c>
      <c r="C290" s="1">
        <v>0.33300000000000002</v>
      </c>
      <c r="D290" s="1">
        <v>306</v>
      </c>
    </row>
    <row r="291" spans="1:4" ht="12.75">
      <c r="B291" s="1">
        <v>184.12</v>
      </c>
      <c r="C291" s="1">
        <v>0.2</v>
      </c>
      <c r="D291" s="1">
        <v>135</v>
      </c>
    </row>
    <row r="292" spans="1:4" ht="12.75">
      <c r="B292" s="1">
        <v>184.13</v>
      </c>
      <c r="C292" s="1">
        <v>0.2</v>
      </c>
      <c r="D292" s="1">
        <v>83</v>
      </c>
    </row>
    <row r="293" spans="1:4" ht="12.75">
      <c r="A293" s="1" t="s">
        <v>529</v>
      </c>
      <c r="D293">
        <v>1771</v>
      </c>
    </row>
    <row r="295" spans="1:4" ht="12.75">
      <c r="A295" s="1"/>
    </row>
    <row r="296" spans="1:4" ht="12.75">
      <c r="A296" s="1" t="s">
        <v>205</v>
      </c>
      <c r="B296" s="1" t="s">
        <v>517</v>
      </c>
      <c r="C296" s="1" t="s">
        <v>518</v>
      </c>
      <c r="D296" s="1" t="s">
        <v>519</v>
      </c>
    </row>
    <row r="297" spans="1:4" ht="12.75">
      <c r="A297" s="1" t="s">
        <v>554</v>
      </c>
      <c r="B297" s="1">
        <v>184.16</v>
      </c>
      <c r="C297" s="1">
        <v>0.15</v>
      </c>
      <c r="D297" s="1">
        <v>69</v>
      </c>
    </row>
    <row r="298" spans="1:4" ht="12.75">
      <c r="A298" s="1"/>
      <c r="B298" s="1">
        <v>184.15</v>
      </c>
      <c r="C298" s="1">
        <v>1</v>
      </c>
      <c r="D298" s="1">
        <v>305</v>
      </c>
    </row>
    <row r="299" spans="1:4" ht="12.75">
      <c r="A299" s="1"/>
      <c r="B299" s="1">
        <v>184.09</v>
      </c>
      <c r="C299" s="1">
        <v>0.5</v>
      </c>
      <c r="D299" s="1">
        <v>193</v>
      </c>
    </row>
    <row r="300" spans="1:4" ht="12.75">
      <c r="A300" s="1" t="s">
        <v>555</v>
      </c>
      <c r="B300" s="1">
        <v>187.03</v>
      </c>
      <c r="C300" s="1">
        <v>0.5</v>
      </c>
      <c r="D300" s="1">
        <v>291</v>
      </c>
    </row>
    <row r="301" spans="1:4" ht="12.75">
      <c r="A301" s="1"/>
      <c r="B301" s="1">
        <v>187.05</v>
      </c>
      <c r="C301" s="1">
        <v>0.25</v>
      </c>
      <c r="D301" s="1">
        <v>144</v>
      </c>
    </row>
    <row r="302" spans="1:4" ht="12.75">
      <c r="A302" s="1" t="s">
        <v>556</v>
      </c>
      <c r="B302" s="1">
        <v>184.1</v>
      </c>
      <c r="C302" s="1">
        <v>0.5</v>
      </c>
      <c r="D302" s="1">
        <v>288</v>
      </c>
    </row>
    <row r="303" spans="1:4" ht="12.75">
      <c r="A303" s="1" t="s">
        <v>557</v>
      </c>
      <c r="B303" s="1">
        <v>184.09</v>
      </c>
      <c r="C303" s="1">
        <v>0.5</v>
      </c>
      <c r="D303" s="1">
        <v>193</v>
      </c>
    </row>
    <row r="304" spans="1:4" ht="12.75">
      <c r="B304" s="1">
        <v>184.1</v>
      </c>
      <c r="C304" s="1">
        <v>0.5</v>
      </c>
      <c r="D304" s="1">
        <v>288</v>
      </c>
    </row>
    <row r="305" spans="1:4" ht="12.75">
      <c r="A305" s="1" t="s">
        <v>529</v>
      </c>
      <c r="D305">
        <v>1771</v>
      </c>
    </row>
    <row r="307" spans="1:4" ht="12.75">
      <c r="A307" s="1"/>
    </row>
    <row r="308" spans="1:4" ht="12.75">
      <c r="A308" s="1" t="s">
        <v>208</v>
      </c>
      <c r="B308" s="1" t="s">
        <v>517</v>
      </c>
      <c r="C308" s="1" t="s">
        <v>518</v>
      </c>
      <c r="D308" s="1" t="s">
        <v>519</v>
      </c>
    </row>
    <row r="309" spans="1:4" ht="12.75">
      <c r="A309" s="1" t="s">
        <v>558</v>
      </c>
      <c r="B309" s="1">
        <v>182.04</v>
      </c>
      <c r="C309" s="1">
        <v>1</v>
      </c>
      <c r="D309" s="1">
        <v>381</v>
      </c>
    </row>
    <row r="310" spans="1:4" ht="12.75">
      <c r="A310" s="1"/>
      <c r="B310" s="1">
        <v>187.16</v>
      </c>
      <c r="C310" s="1">
        <v>0.66700000000000004</v>
      </c>
      <c r="D310" s="1"/>
    </row>
    <row r="311" spans="1:4" ht="12.75">
      <c r="A311" s="1" t="s">
        <v>559</v>
      </c>
      <c r="B311" s="1">
        <v>187.13</v>
      </c>
      <c r="C311" s="1">
        <v>1</v>
      </c>
      <c r="D311" s="1">
        <v>342</v>
      </c>
    </row>
    <row r="312" spans="1:4" ht="12.75">
      <c r="A312" s="1"/>
      <c r="B312" s="1">
        <v>182.03</v>
      </c>
      <c r="C312" s="1">
        <v>0.4</v>
      </c>
      <c r="D312" s="1"/>
    </row>
    <row r="313" spans="1:4" ht="12.75">
      <c r="A313" s="1" t="s">
        <v>560</v>
      </c>
      <c r="B313" s="1">
        <v>187.16</v>
      </c>
      <c r="C313" s="1">
        <v>0.33300000000000002</v>
      </c>
      <c r="D313" s="1">
        <v>754</v>
      </c>
    </row>
    <row r="314" spans="1:4" ht="12.75">
      <c r="B314" s="1">
        <v>187.14</v>
      </c>
      <c r="C314" s="1">
        <v>1</v>
      </c>
      <c r="D314" s="1"/>
    </row>
    <row r="315" spans="1:4" ht="12.75">
      <c r="B315" s="1">
        <v>187.15</v>
      </c>
      <c r="C315" s="1">
        <v>1</v>
      </c>
      <c r="D315" s="1"/>
    </row>
    <row r="316" spans="1:4" ht="12.75">
      <c r="A316" s="1" t="s">
        <v>529</v>
      </c>
      <c r="B316" s="1"/>
      <c r="C316" s="1"/>
      <c r="D316" s="1">
        <v>1477</v>
      </c>
    </row>
    <row r="317" spans="1:4" ht="12.75">
      <c r="B317" s="1"/>
      <c r="C317" s="1"/>
      <c r="D317" s="1"/>
    </row>
    <row r="318" spans="1:4" ht="12.75">
      <c r="A318" s="1"/>
    </row>
    <row r="319" spans="1:4" ht="12.75">
      <c r="A319" s="1" t="s">
        <v>212</v>
      </c>
      <c r="B319" s="1" t="s">
        <v>517</v>
      </c>
      <c r="C319" s="1" t="s">
        <v>518</v>
      </c>
      <c r="D319" s="1" t="s">
        <v>519</v>
      </c>
    </row>
    <row r="320" spans="1:4" ht="12.75">
      <c r="A320" s="1" t="s">
        <v>561</v>
      </c>
      <c r="B320" s="1">
        <v>184.02</v>
      </c>
      <c r="C320" s="1">
        <v>1</v>
      </c>
      <c r="D320" s="1">
        <v>635</v>
      </c>
    </row>
    <row r="321" spans="1:4" ht="12.75">
      <c r="A321" s="1"/>
      <c r="B321" s="1">
        <v>184.16</v>
      </c>
      <c r="C321" s="1">
        <v>0.25</v>
      </c>
      <c r="D321" s="1"/>
    </row>
    <row r="322" spans="1:4" ht="12.75">
      <c r="A322" s="1" t="s">
        <v>562</v>
      </c>
      <c r="B322" s="1">
        <v>184.16</v>
      </c>
      <c r="C322" s="1">
        <v>0.6</v>
      </c>
      <c r="D322" s="1">
        <v>274</v>
      </c>
    </row>
    <row r="323" spans="1:4" ht="12.75">
      <c r="A323" s="1" t="s">
        <v>563</v>
      </c>
      <c r="B323" s="1">
        <v>184.06</v>
      </c>
      <c r="C323" s="1">
        <v>0.33300000000000002</v>
      </c>
      <c r="D323" s="1">
        <v>741</v>
      </c>
    </row>
    <row r="324" spans="1:4" ht="12.75">
      <c r="A324" s="1"/>
      <c r="B324" s="1">
        <v>184.07</v>
      </c>
      <c r="C324" s="1">
        <v>1</v>
      </c>
      <c r="D324" s="1"/>
    </row>
    <row r="325" spans="1:4" ht="12.75">
      <c r="A325" s="1" t="s">
        <v>564</v>
      </c>
      <c r="B325" s="1">
        <v>184.06</v>
      </c>
      <c r="C325" s="1">
        <v>0.66700000000000004</v>
      </c>
      <c r="D325" s="1">
        <v>835</v>
      </c>
    </row>
    <row r="326" spans="1:4" ht="12.75">
      <c r="A326" s="1"/>
      <c r="B326" s="1">
        <v>182.03</v>
      </c>
      <c r="C326" s="1">
        <v>0.2</v>
      </c>
      <c r="D326" s="1"/>
    </row>
    <row r="327" spans="1:4" ht="12.75">
      <c r="A327" s="1" t="s">
        <v>565</v>
      </c>
      <c r="B327" s="1">
        <v>184.11</v>
      </c>
      <c r="C327" s="1">
        <v>1</v>
      </c>
      <c r="D327" s="1">
        <v>1016</v>
      </c>
    </row>
    <row r="328" spans="1:4" ht="12.75">
      <c r="A328" s="1" t="s">
        <v>529</v>
      </c>
      <c r="D328">
        <v>3501</v>
      </c>
    </row>
    <row r="330" spans="1:4" ht="12.75">
      <c r="A330" s="1"/>
    </row>
    <row r="331" spans="1:4" ht="12.75">
      <c r="A331" s="1" t="s">
        <v>216</v>
      </c>
      <c r="B331" s="1" t="s">
        <v>517</v>
      </c>
      <c r="C331" s="1" t="s">
        <v>518</v>
      </c>
      <c r="D331" s="1" t="s">
        <v>519</v>
      </c>
    </row>
    <row r="332" spans="1:4" ht="12.75">
      <c r="A332" s="1" t="s">
        <v>566</v>
      </c>
      <c r="B332" s="1">
        <v>190.01</v>
      </c>
      <c r="C332" s="1">
        <v>0.75</v>
      </c>
      <c r="D332" s="1">
        <v>789</v>
      </c>
    </row>
    <row r="333" spans="1:4" ht="12.75">
      <c r="A333" s="1"/>
      <c r="B333" s="1">
        <v>189.06</v>
      </c>
      <c r="C333" s="1">
        <v>1</v>
      </c>
      <c r="D333" s="1"/>
    </row>
    <row r="334" spans="1:4" ht="12.75">
      <c r="A334" s="1"/>
      <c r="B334" s="1">
        <v>187.03</v>
      </c>
      <c r="C334" s="1">
        <v>0.25</v>
      </c>
      <c r="D334" s="1"/>
    </row>
    <row r="335" spans="1:4" ht="12.75">
      <c r="A335" s="1" t="s">
        <v>567</v>
      </c>
      <c r="B335" s="1">
        <v>190.03</v>
      </c>
      <c r="C335" s="1">
        <v>0.8</v>
      </c>
      <c r="D335" s="1">
        <v>521</v>
      </c>
    </row>
    <row r="336" spans="1:4" ht="12.75">
      <c r="A336" s="1"/>
      <c r="B336" s="1">
        <v>190.04</v>
      </c>
      <c r="C336" s="1">
        <v>0.1</v>
      </c>
      <c r="D336" s="1"/>
    </row>
    <row r="337" spans="1:4" ht="12.75">
      <c r="A337" s="1" t="s">
        <v>568</v>
      </c>
      <c r="B337" s="1">
        <v>189.05</v>
      </c>
      <c r="C337" s="1">
        <v>0.33300000000000002</v>
      </c>
      <c r="D337" s="1">
        <v>277</v>
      </c>
    </row>
    <row r="338" spans="1:4" ht="12.75">
      <c r="A338" s="1"/>
      <c r="B338" s="1">
        <v>190.03</v>
      </c>
      <c r="C338" s="1">
        <v>0.2</v>
      </c>
      <c r="D338" s="1"/>
    </row>
    <row r="339" spans="1:4" ht="12.75">
      <c r="A339" s="1" t="s">
        <v>569</v>
      </c>
      <c r="B339" s="1">
        <v>189.08</v>
      </c>
      <c r="C339" s="1">
        <v>1</v>
      </c>
      <c r="D339" s="1">
        <v>511</v>
      </c>
    </row>
    <row r="340" spans="1:4" ht="12.75">
      <c r="A340" s="1" t="s">
        <v>570</v>
      </c>
      <c r="B340" s="1">
        <v>189.03</v>
      </c>
      <c r="C340" s="1">
        <v>0.75</v>
      </c>
      <c r="D340" s="1">
        <v>204</v>
      </c>
    </row>
    <row r="341" spans="1:4" ht="12.75">
      <c r="A341" s="1" t="s">
        <v>571</v>
      </c>
      <c r="B341" s="1">
        <v>190.04</v>
      </c>
      <c r="C341" s="1">
        <v>0.3</v>
      </c>
      <c r="D341" s="1">
        <v>230</v>
      </c>
    </row>
    <row r="342" spans="1:4" ht="12.75">
      <c r="B342" s="1">
        <v>189.03</v>
      </c>
      <c r="C342" s="1">
        <v>0.25</v>
      </c>
      <c r="D342" s="1"/>
    </row>
    <row r="343" spans="1:4" ht="12.75">
      <c r="A343" s="1" t="s">
        <v>529</v>
      </c>
      <c r="D343">
        <v>2532</v>
      </c>
    </row>
    <row r="344" spans="1:4" ht="12.75">
      <c r="A344" s="1"/>
    </row>
    <row r="345" spans="1:4" ht="12.75">
      <c r="A345" s="1"/>
    </row>
    <row r="346" spans="1:4" ht="12.75">
      <c r="A346" s="1" t="s">
        <v>220</v>
      </c>
      <c r="B346" s="1" t="s">
        <v>517</v>
      </c>
      <c r="C346" s="1" t="s">
        <v>518</v>
      </c>
      <c r="D346" s="1" t="s">
        <v>519</v>
      </c>
    </row>
    <row r="347" spans="1:4" ht="12.75">
      <c r="A347" s="1" t="s">
        <v>572</v>
      </c>
      <c r="D347">
        <v>270</v>
      </c>
    </row>
    <row r="348" spans="1:4" ht="12.75">
      <c r="A348" s="1" t="s">
        <v>573</v>
      </c>
      <c r="D348">
        <v>353</v>
      </c>
    </row>
    <row r="349" spans="1:4" ht="12.75">
      <c r="A349" s="1" t="s">
        <v>574</v>
      </c>
      <c r="D349">
        <v>465</v>
      </c>
    </row>
    <row r="350" spans="1:4" ht="12.75">
      <c r="A350" s="1" t="s">
        <v>575</v>
      </c>
      <c r="D350">
        <v>778</v>
      </c>
    </row>
    <row r="351" spans="1:4" ht="12.75">
      <c r="A351" s="1" t="s">
        <v>529</v>
      </c>
      <c r="D351">
        <v>1866</v>
      </c>
    </row>
    <row r="353" spans="1:4" ht="12.75">
      <c r="A353" s="1"/>
    </row>
    <row r="354" spans="1:4" ht="12.75">
      <c r="A354" s="1" t="s">
        <v>222</v>
      </c>
      <c r="B354" s="1" t="s">
        <v>517</v>
      </c>
      <c r="C354" s="1" t="s">
        <v>518</v>
      </c>
      <c r="D354" s="1" t="s">
        <v>519</v>
      </c>
    </row>
    <row r="355" spans="1:4" ht="12.75">
      <c r="A355" s="1" t="s">
        <v>576</v>
      </c>
      <c r="D355">
        <v>557</v>
      </c>
    </row>
    <row r="356" spans="1:4" ht="12.75">
      <c r="A356" s="1" t="s">
        <v>577</v>
      </c>
      <c r="D356">
        <v>275</v>
      </c>
    </row>
    <row r="357" spans="1:4" ht="12.75">
      <c r="A357" s="1" t="s">
        <v>578</v>
      </c>
      <c r="D357">
        <v>246</v>
      </c>
    </row>
    <row r="358" spans="1:4" ht="12.75">
      <c r="A358" s="1" t="s">
        <v>579</v>
      </c>
      <c r="D358">
        <v>414</v>
      </c>
    </row>
    <row r="359" spans="1:4" ht="12.75">
      <c r="A359" s="1" t="s">
        <v>580</v>
      </c>
      <c r="D359">
        <v>494</v>
      </c>
    </row>
    <row r="360" spans="1:4" ht="12.75">
      <c r="A360" s="1" t="s">
        <v>581</v>
      </c>
      <c r="D360">
        <v>237</v>
      </c>
    </row>
    <row r="361" spans="1:4" ht="12.75">
      <c r="A361" s="1" t="s">
        <v>529</v>
      </c>
      <c r="D361">
        <v>2223</v>
      </c>
    </row>
    <row r="363" spans="1:4" ht="12.75">
      <c r="A363" s="1" t="s">
        <v>225</v>
      </c>
      <c r="B363" s="1" t="s">
        <v>517</v>
      </c>
      <c r="C363" s="1" t="s">
        <v>518</v>
      </c>
      <c r="D363" s="1" t="s">
        <v>519</v>
      </c>
    </row>
    <row r="364" spans="1:4" ht="12.75">
      <c r="A364" s="1" t="s">
        <v>582</v>
      </c>
      <c r="D364">
        <v>815</v>
      </c>
    </row>
    <row r="365" spans="1:4" ht="12.75">
      <c r="A365" s="1" t="s">
        <v>583</v>
      </c>
      <c r="D365">
        <v>575</v>
      </c>
    </row>
    <row r="366" spans="1:4" ht="12.75">
      <c r="A366" s="1" t="s">
        <v>584</v>
      </c>
      <c r="D366">
        <v>615</v>
      </c>
    </row>
    <row r="367" spans="1:4" ht="12.75">
      <c r="A367" s="1" t="s">
        <v>585</v>
      </c>
      <c r="D367">
        <v>686</v>
      </c>
    </row>
    <row r="368" spans="1:4" ht="12.75">
      <c r="A368" s="1" t="s">
        <v>572</v>
      </c>
      <c r="D368">
        <v>270</v>
      </c>
    </row>
    <row r="369" spans="1:4" ht="12.75">
      <c r="A369" s="1" t="s">
        <v>529</v>
      </c>
      <c r="D369">
        <v>2961</v>
      </c>
    </row>
    <row r="371" spans="1:4" ht="12.75">
      <c r="A371" s="1" t="s">
        <v>228</v>
      </c>
      <c r="B371" s="1" t="s">
        <v>517</v>
      </c>
      <c r="C371" s="1" t="s">
        <v>518</v>
      </c>
      <c r="D371" s="1" t="s">
        <v>519</v>
      </c>
    </row>
    <row r="372" spans="1:4" ht="12.75">
      <c r="A372" s="1" t="s">
        <v>586</v>
      </c>
      <c r="D372">
        <v>393</v>
      </c>
    </row>
    <row r="373" spans="1:4" ht="12.75">
      <c r="A373" s="1" t="s">
        <v>587</v>
      </c>
      <c r="D373">
        <v>435</v>
      </c>
    </row>
    <row r="374" spans="1:4" ht="12.75">
      <c r="A374" s="1" t="s">
        <v>588</v>
      </c>
      <c r="D374">
        <v>448</v>
      </c>
    </row>
    <row r="375" spans="1:4" ht="12.75">
      <c r="A375" s="1" t="s">
        <v>589</v>
      </c>
      <c r="D375">
        <v>474</v>
      </c>
    </row>
    <row r="376" spans="1:4" ht="12.75">
      <c r="A376" s="1" t="s">
        <v>590</v>
      </c>
      <c r="D376">
        <v>470</v>
      </c>
    </row>
    <row r="377" spans="1:4" ht="12.75">
      <c r="A377" s="1" t="s">
        <v>529</v>
      </c>
      <c r="D377">
        <v>2220</v>
      </c>
    </row>
    <row r="379" spans="1:4" ht="12.75">
      <c r="A379" s="1" t="s">
        <v>232</v>
      </c>
      <c r="B379" s="1" t="s">
        <v>517</v>
      </c>
      <c r="C379" s="1" t="s">
        <v>518</v>
      </c>
      <c r="D379" s="1" t="s">
        <v>519</v>
      </c>
    </row>
    <row r="380" spans="1:4" ht="12.75">
      <c r="A380" s="1" t="s">
        <v>591</v>
      </c>
      <c r="D380">
        <v>420</v>
      </c>
    </row>
    <row r="381" spans="1:4" ht="12.75">
      <c r="A381" s="1" t="s">
        <v>592</v>
      </c>
      <c r="D381">
        <v>414</v>
      </c>
    </row>
    <row r="382" spans="1:4" ht="12.75">
      <c r="A382" s="1" t="s">
        <v>593</v>
      </c>
      <c r="D382">
        <v>494</v>
      </c>
    </row>
    <row r="383" spans="1:4" ht="12.75">
      <c r="A383" s="1" t="s">
        <v>594</v>
      </c>
      <c r="D383">
        <v>530</v>
      </c>
    </row>
    <row r="384" spans="1:4" ht="12.75">
      <c r="A384" s="1" t="s">
        <v>595</v>
      </c>
      <c r="D384">
        <v>289</v>
      </c>
    </row>
    <row r="385" spans="1:4" ht="12.75">
      <c r="A385" s="1" t="s">
        <v>596</v>
      </c>
      <c r="D385">
        <v>392</v>
      </c>
    </row>
    <row r="386" spans="1:4" ht="12.75">
      <c r="A386" s="1" t="s">
        <v>529</v>
      </c>
      <c r="D386">
        <v>2539</v>
      </c>
    </row>
    <row r="388" spans="1:4" ht="12.75">
      <c r="A388" s="1" t="s">
        <v>234</v>
      </c>
      <c r="B388" s="1" t="s">
        <v>517</v>
      </c>
      <c r="C388" s="1" t="s">
        <v>518</v>
      </c>
      <c r="D388" s="1" t="s">
        <v>519</v>
      </c>
    </row>
    <row r="389" spans="1:4" ht="12.75">
      <c r="A389" s="1" t="s">
        <v>597</v>
      </c>
      <c r="D389">
        <v>358</v>
      </c>
    </row>
    <row r="390" spans="1:4" ht="12.75">
      <c r="A390" s="1" t="s">
        <v>598</v>
      </c>
      <c r="D390">
        <v>535</v>
      </c>
    </row>
    <row r="391" spans="1:4" ht="12.75">
      <c r="A391" s="1" t="s">
        <v>520</v>
      </c>
      <c r="D391">
        <v>270</v>
      </c>
    </row>
    <row r="392" spans="1:4" ht="12.75">
      <c r="A392" s="1" t="s">
        <v>521</v>
      </c>
      <c r="D392">
        <v>157</v>
      </c>
    </row>
    <row r="393" spans="1:4" ht="12.75">
      <c r="A393" s="1" t="s">
        <v>529</v>
      </c>
      <c r="D393">
        <v>1320</v>
      </c>
    </row>
    <row r="395" spans="1:4" ht="12.75">
      <c r="A395" s="1" t="s">
        <v>235</v>
      </c>
      <c r="B395" s="1" t="s">
        <v>517</v>
      </c>
      <c r="C395" s="1" t="s">
        <v>518</v>
      </c>
      <c r="D395" s="1" t="s">
        <v>519</v>
      </c>
    </row>
    <row r="396" spans="1:4" ht="12.75">
      <c r="A396" s="1" t="s">
        <v>599</v>
      </c>
      <c r="D396">
        <v>327</v>
      </c>
    </row>
    <row r="397" spans="1:4" ht="12.75">
      <c r="A397" s="1" t="s">
        <v>600</v>
      </c>
      <c r="D397">
        <v>522</v>
      </c>
    </row>
    <row r="398" spans="1:4" ht="12.75">
      <c r="A398" s="1" t="s">
        <v>601</v>
      </c>
      <c r="D398">
        <v>657</v>
      </c>
    </row>
    <row r="399" spans="1:4" ht="12.75">
      <c r="A399" s="1" t="s">
        <v>602</v>
      </c>
      <c r="D399">
        <v>226</v>
      </c>
    </row>
    <row r="400" spans="1:4" ht="12.75">
      <c r="A400" s="1" t="s">
        <v>529</v>
      </c>
      <c r="D400">
        <v>1732</v>
      </c>
    </row>
    <row r="402" spans="1:4" ht="12.75">
      <c r="A402" s="1" t="s">
        <v>238</v>
      </c>
      <c r="B402" s="1" t="s">
        <v>517</v>
      </c>
      <c r="C402" s="1" t="s">
        <v>518</v>
      </c>
      <c r="D402" s="1" t="s">
        <v>519</v>
      </c>
    </row>
    <row r="403" spans="1:4" ht="12.75">
      <c r="A403" s="1" t="s">
        <v>603</v>
      </c>
      <c r="D403">
        <v>580</v>
      </c>
    </row>
    <row r="404" spans="1:4" ht="12.75">
      <c r="A404" s="1" t="s">
        <v>604</v>
      </c>
      <c r="D404">
        <v>1036</v>
      </c>
    </row>
    <row r="405" spans="1:4" ht="12.75">
      <c r="A405" s="1" t="s">
        <v>605</v>
      </c>
      <c r="D405">
        <v>267</v>
      </c>
    </row>
    <row r="406" spans="1:4" ht="12.75">
      <c r="A406" s="1" t="s">
        <v>606</v>
      </c>
      <c r="D406">
        <v>266</v>
      </c>
    </row>
    <row r="407" spans="1:4" ht="12.75">
      <c r="A407" s="1" t="s">
        <v>607</v>
      </c>
      <c r="D407">
        <v>257</v>
      </c>
    </row>
    <row r="408" spans="1:4" ht="12.75">
      <c r="A408" s="1" t="s">
        <v>529</v>
      </c>
      <c r="D408">
        <v>2406</v>
      </c>
    </row>
    <row r="410" spans="1:4" ht="12.75">
      <c r="A410" s="1" t="s">
        <v>45</v>
      </c>
      <c r="B410" s="1" t="s">
        <v>517</v>
      </c>
      <c r="C410" s="1" t="s">
        <v>518</v>
      </c>
      <c r="D410" s="1" t="s">
        <v>519</v>
      </c>
    </row>
    <row r="411" spans="1:4" ht="12.75">
      <c r="A411" s="1" t="s">
        <v>608</v>
      </c>
      <c r="D411">
        <v>120</v>
      </c>
    </row>
    <row r="412" spans="1:4" ht="12.75">
      <c r="A412" s="1" t="s">
        <v>609</v>
      </c>
      <c r="D412">
        <v>703</v>
      </c>
    </row>
    <row r="413" spans="1:4" ht="12.75">
      <c r="A413" s="1" t="s">
        <v>610</v>
      </c>
      <c r="D413">
        <v>703</v>
      </c>
    </row>
    <row r="414" spans="1:4" ht="12.75">
      <c r="A414" s="1" t="s">
        <v>611</v>
      </c>
      <c r="D414">
        <v>556</v>
      </c>
    </row>
    <row r="415" spans="1:4" ht="12.75">
      <c r="A415" s="1" t="s">
        <v>612</v>
      </c>
      <c r="D415">
        <v>520</v>
      </c>
    </row>
    <row r="416" spans="1:4" ht="12.75">
      <c r="A416" s="1" t="s">
        <v>613</v>
      </c>
      <c r="D416">
        <v>447</v>
      </c>
    </row>
    <row r="417" spans="1:7" ht="12.75">
      <c r="A417" s="1" t="s">
        <v>529</v>
      </c>
      <c r="D417">
        <v>3049</v>
      </c>
    </row>
    <row r="419" spans="1:7" ht="12.75">
      <c r="A419" s="1" t="s">
        <v>614</v>
      </c>
      <c r="B419" s="1" t="s">
        <v>507</v>
      </c>
      <c r="C419" s="10">
        <v>42864</v>
      </c>
      <c r="D419" s="10">
        <v>43022</v>
      </c>
      <c r="E419" s="1" t="s">
        <v>508</v>
      </c>
      <c r="F419" s="1" t="s">
        <v>512</v>
      </c>
      <c r="G419" s="1" t="s">
        <v>513</v>
      </c>
    </row>
    <row r="420" spans="1:7" ht="12.75">
      <c r="A420" s="11">
        <v>9330192</v>
      </c>
      <c r="B420" s="13">
        <v>225</v>
      </c>
      <c r="C420" s="13">
        <v>268</v>
      </c>
      <c r="D420" s="13">
        <v>245</v>
      </c>
      <c r="E420" s="13">
        <v>300</v>
      </c>
      <c r="F420">
        <f>ROUND(C420+D420*0.6,0)</f>
        <v>415</v>
      </c>
      <c r="G420">
        <f>ROUND(D420*0.4+E420*0.6,0)</f>
        <v>278</v>
      </c>
    </row>
    <row r="421" spans="1:7" ht="12.75">
      <c r="A421" s="11">
        <v>9330186.0099999998</v>
      </c>
      <c r="B421" s="13">
        <v>528</v>
      </c>
      <c r="C421" s="13">
        <v>501</v>
      </c>
      <c r="D421" s="13">
        <v>513</v>
      </c>
      <c r="E421" s="13">
        <v>573</v>
      </c>
      <c r="F421">
        <f t="shared" ref="F421:F484" si="1">ROUND(C421+D421*0.6,0)</f>
        <v>809</v>
      </c>
      <c r="G421">
        <f t="shared" ref="G421:G484" si="2">ROUND(D421*0.4+E421*0.6,0)</f>
        <v>549</v>
      </c>
    </row>
    <row r="422" spans="1:7" ht="12.75">
      <c r="A422" s="11">
        <v>186.02</v>
      </c>
      <c r="B422" s="13">
        <v>411</v>
      </c>
      <c r="C422" s="13">
        <v>406</v>
      </c>
      <c r="D422" s="13">
        <v>412</v>
      </c>
      <c r="E422" s="13">
        <v>453</v>
      </c>
      <c r="F422">
        <f t="shared" si="1"/>
        <v>653</v>
      </c>
      <c r="G422">
        <f t="shared" si="2"/>
        <v>437</v>
      </c>
    </row>
    <row r="423" spans="1:7" ht="12.75">
      <c r="A423" s="11">
        <v>186.05</v>
      </c>
      <c r="B423" s="13">
        <v>571</v>
      </c>
      <c r="C423" s="13">
        <v>647</v>
      </c>
      <c r="D423" s="13">
        <v>677</v>
      </c>
      <c r="E423" s="13">
        <v>665</v>
      </c>
      <c r="F423">
        <f t="shared" si="1"/>
        <v>1053</v>
      </c>
      <c r="G423">
        <f t="shared" si="2"/>
        <v>670</v>
      </c>
    </row>
    <row r="424" spans="1:7" ht="12.75">
      <c r="A424" s="11">
        <v>186.06</v>
      </c>
      <c r="B424" s="13">
        <v>352</v>
      </c>
      <c r="C424" s="13">
        <v>340</v>
      </c>
      <c r="D424" s="13">
        <v>344</v>
      </c>
      <c r="E424" s="13">
        <v>299</v>
      </c>
      <c r="F424">
        <f t="shared" si="1"/>
        <v>546</v>
      </c>
      <c r="G424">
        <f t="shared" si="2"/>
        <v>317</v>
      </c>
    </row>
    <row r="425" spans="1:7" ht="12.75">
      <c r="A425" s="11">
        <v>185.09</v>
      </c>
      <c r="B425" s="13">
        <v>475</v>
      </c>
      <c r="C425" s="13">
        <v>373</v>
      </c>
      <c r="D425" s="13">
        <v>381</v>
      </c>
      <c r="E425" s="13">
        <v>339</v>
      </c>
      <c r="F425">
        <f t="shared" si="1"/>
        <v>602</v>
      </c>
      <c r="G425">
        <f t="shared" si="2"/>
        <v>356</v>
      </c>
    </row>
    <row r="426" spans="1:7" ht="12.75">
      <c r="A426" s="11">
        <v>185.11</v>
      </c>
      <c r="B426" s="13">
        <v>693</v>
      </c>
      <c r="C426" s="13">
        <v>718</v>
      </c>
      <c r="D426" s="13">
        <v>642</v>
      </c>
      <c r="E426" s="13">
        <v>554</v>
      </c>
      <c r="F426">
        <f t="shared" si="1"/>
        <v>1103</v>
      </c>
      <c r="G426">
        <f t="shared" si="2"/>
        <v>589</v>
      </c>
    </row>
    <row r="427" spans="1:7" ht="12.75">
      <c r="A427" s="11">
        <v>185.1</v>
      </c>
      <c r="B427" s="13">
        <v>554</v>
      </c>
      <c r="C427" s="13">
        <v>556</v>
      </c>
      <c r="D427" s="13">
        <v>482</v>
      </c>
      <c r="E427" s="13">
        <v>473</v>
      </c>
      <c r="F427">
        <f t="shared" si="1"/>
        <v>845</v>
      </c>
      <c r="G427">
        <f t="shared" si="2"/>
        <v>477</v>
      </c>
    </row>
    <row r="428" spans="1:7" ht="12.75">
      <c r="A428" s="11">
        <v>185.21</v>
      </c>
      <c r="B428" s="13">
        <v>270</v>
      </c>
      <c r="C428" s="13">
        <v>287</v>
      </c>
      <c r="D428" s="13">
        <v>299</v>
      </c>
      <c r="E428" s="13">
        <v>264</v>
      </c>
      <c r="F428">
        <f t="shared" si="1"/>
        <v>466</v>
      </c>
      <c r="G428">
        <f t="shared" si="2"/>
        <v>278</v>
      </c>
    </row>
    <row r="429" spans="1:7" ht="12.75">
      <c r="A429" s="11">
        <v>185.22</v>
      </c>
      <c r="B429" s="13">
        <v>375</v>
      </c>
      <c r="C429" s="13">
        <v>320</v>
      </c>
      <c r="D429" s="13">
        <v>290</v>
      </c>
      <c r="E429" s="13">
        <v>310</v>
      </c>
      <c r="F429">
        <f t="shared" si="1"/>
        <v>494</v>
      </c>
      <c r="G429">
        <f t="shared" si="2"/>
        <v>302</v>
      </c>
    </row>
    <row r="430" spans="1:7" ht="12.75">
      <c r="A430" s="11">
        <v>185.17</v>
      </c>
      <c r="B430" s="13">
        <v>218</v>
      </c>
      <c r="C430" s="13">
        <v>202</v>
      </c>
      <c r="D430" s="13">
        <v>232</v>
      </c>
      <c r="E430" s="13">
        <v>291</v>
      </c>
      <c r="F430">
        <f t="shared" si="1"/>
        <v>341</v>
      </c>
      <c r="G430">
        <f t="shared" si="2"/>
        <v>267</v>
      </c>
    </row>
    <row r="431" spans="1:7" ht="12.75">
      <c r="A431" s="11">
        <v>185.18</v>
      </c>
      <c r="B431" s="13">
        <v>334</v>
      </c>
      <c r="C431" s="13">
        <v>339</v>
      </c>
      <c r="D431" s="13">
        <v>359</v>
      </c>
      <c r="E431" s="13">
        <v>403</v>
      </c>
      <c r="F431">
        <f t="shared" si="1"/>
        <v>554</v>
      </c>
      <c r="G431">
        <f t="shared" si="2"/>
        <v>385</v>
      </c>
    </row>
    <row r="432" spans="1:7" ht="12.75">
      <c r="A432" s="11">
        <v>185.19</v>
      </c>
      <c r="B432" s="13">
        <v>635</v>
      </c>
      <c r="C432" s="13">
        <v>542</v>
      </c>
      <c r="D432" s="13">
        <v>554</v>
      </c>
      <c r="E432" s="13">
        <v>541</v>
      </c>
      <c r="F432">
        <f t="shared" si="1"/>
        <v>874</v>
      </c>
      <c r="G432">
        <f t="shared" si="2"/>
        <v>546</v>
      </c>
    </row>
    <row r="433" spans="1:7" ht="12.75">
      <c r="A433" s="11">
        <v>185.2</v>
      </c>
      <c r="B433" s="13">
        <v>552</v>
      </c>
      <c r="C433" s="13">
        <v>526</v>
      </c>
      <c r="D433" s="13">
        <v>495</v>
      </c>
      <c r="E433" s="13">
        <v>487</v>
      </c>
      <c r="F433">
        <f t="shared" si="1"/>
        <v>823</v>
      </c>
      <c r="G433">
        <f t="shared" si="2"/>
        <v>490</v>
      </c>
    </row>
    <row r="434" spans="1:7" ht="12.75">
      <c r="A434" s="11">
        <v>185.08</v>
      </c>
      <c r="B434" s="13">
        <v>70</v>
      </c>
      <c r="C434" s="13">
        <v>86</v>
      </c>
      <c r="D434" s="13">
        <v>101</v>
      </c>
      <c r="E434" s="13">
        <v>140</v>
      </c>
      <c r="F434">
        <f t="shared" si="1"/>
        <v>147</v>
      </c>
      <c r="G434">
        <f t="shared" si="2"/>
        <v>124</v>
      </c>
    </row>
    <row r="435" spans="1:7" ht="12.75">
      <c r="A435" s="11">
        <v>185.07</v>
      </c>
      <c r="B435" s="13">
        <v>789</v>
      </c>
      <c r="C435" s="13">
        <v>832</v>
      </c>
      <c r="D435" s="13">
        <v>911</v>
      </c>
      <c r="E435" s="13">
        <v>925</v>
      </c>
      <c r="F435">
        <f t="shared" si="1"/>
        <v>1379</v>
      </c>
      <c r="G435">
        <f t="shared" si="2"/>
        <v>919</v>
      </c>
    </row>
    <row r="436" spans="1:7" ht="12.75">
      <c r="A436" s="11">
        <v>185.12</v>
      </c>
      <c r="B436" s="13">
        <v>450</v>
      </c>
      <c r="C436" s="13">
        <v>520</v>
      </c>
      <c r="D436" s="13">
        <v>575</v>
      </c>
      <c r="E436" s="13">
        <v>504</v>
      </c>
      <c r="F436">
        <f t="shared" si="1"/>
        <v>865</v>
      </c>
      <c r="G436">
        <f t="shared" si="2"/>
        <v>532</v>
      </c>
    </row>
    <row r="437" spans="1:7" ht="12.75">
      <c r="A437" s="11">
        <v>185.16</v>
      </c>
      <c r="B437" s="13">
        <v>416</v>
      </c>
      <c r="C437" s="13">
        <v>410</v>
      </c>
      <c r="D437" s="13">
        <v>423</v>
      </c>
      <c r="E437" s="13">
        <v>415</v>
      </c>
      <c r="F437">
        <f t="shared" si="1"/>
        <v>664</v>
      </c>
      <c r="G437">
        <f t="shared" si="2"/>
        <v>418</v>
      </c>
    </row>
    <row r="438" spans="1:7" ht="12.75">
      <c r="A438" s="11">
        <v>185.15</v>
      </c>
      <c r="B438" s="13">
        <v>548</v>
      </c>
      <c r="C438" s="13">
        <v>461</v>
      </c>
      <c r="D438" s="13">
        <v>411</v>
      </c>
      <c r="E438" s="13">
        <v>388</v>
      </c>
      <c r="F438">
        <f t="shared" si="1"/>
        <v>708</v>
      </c>
      <c r="G438">
        <f t="shared" si="2"/>
        <v>397</v>
      </c>
    </row>
    <row r="439" spans="1:7" ht="12.75">
      <c r="A439" s="11">
        <v>186.07</v>
      </c>
      <c r="B439" s="13">
        <v>494</v>
      </c>
      <c r="C439" s="13">
        <v>501</v>
      </c>
      <c r="D439" s="13">
        <v>507</v>
      </c>
      <c r="E439" s="13">
        <v>468</v>
      </c>
      <c r="F439">
        <f t="shared" si="1"/>
        <v>805</v>
      </c>
      <c r="G439">
        <f t="shared" si="2"/>
        <v>484</v>
      </c>
    </row>
    <row r="440" spans="1:7" ht="12.75">
      <c r="A440" s="11">
        <v>186.08</v>
      </c>
      <c r="B440" s="13">
        <v>550</v>
      </c>
      <c r="C440" s="13">
        <v>557</v>
      </c>
      <c r="D440" s="13">
        <v>565</v>
      </c>
      <c r="E440" s="13">
        <v>581</v>
      </c>
      <c r="F440">
        <f t="shared" si="1"/>
        <v>896</v>
      </c>
      <c r="G440">
        <f t="shared" si="2"/>
        <v>575</v>
      </c>
    </row>
    <row r="441" spans="1:7" ht="12.75">
      <c r="A441" s="11">
        <v>191.03</v>
      </c>
      <c r="B441" s="13">
        <v>444</v>
      </c>
      <c r="C441" s="13">
        <v>418</v>
      </c>
      <c r="D441" s="13">
        <v>411</v>
      </c>
      <c r="E441" s="13">
        <v>449</v>
      </c>
      <c r="F441">
        <f t="shared" si="1"/>
        <v>665</v>
      </c>
      <c r="G441">
        <f t="shared" si="2"/>
        <v>434</v>
      </c>
    </row>
    <row r="442" spans="1:7" ht="12.75">
      <c r="A442" s="11">
        <v>191.04</v>
      </c>
      <c r="B442" s="13">
        <v>432</v>
      </c>
      <c r="C442" s="13">
        <v>378</v>
      </c>
      <c r="D442" s="13">
        <v>394</v>
      </c>
      <c r="E442" s="13">
        <v>412</v>
      </c>
      <c r="F442">
        <f t="shared" si="1"/>
        <v>614</v>
      </c>
      <c r="G442">
        <f t="shared" si="2"/>
        <v>405</v>
      </c>
    </row>
    <row r="443" spans="1:7" ht="12.75">
      <c r="A443" s="11">
        <v>191.05</v>
      </c>
      <c r="B443" s="13">
        <v>232</v>
      </c>
      <c r="C443" s="13">
        <v>233</v>
      </c>
      <c r="D443" s="13">
        <v>279</v>
      </c>
      <c r="E443" s="13">
        <v>305</v>
      </c>
      <c r="F443">
        <f t="shared" si="1"/>
        <v>400</v>
      </c>
      <c r="G443">
        <f t="shared" si="2"/>
        <v>295</v>
      </c>
    </row>
    <row r="444" spans="1:7" ht="12.75">
      <c r="A444" s="11">
        <v>191.06</v>
      </c>
      <c r="B444" s="13">
        <v>174</v>
      </c>
      <c r="C444" s="13">
        <v>114</v>
      </c>
      <c r="D444" s="13">
        <v>127</v>
      </c>
      <c r="E444" s="13">
        <v>154</v>
      </c>
      <c r="F444">
        <f t="shared" si="1"/>
        <v>190</v>
      </c>
      <c r="G444">
        <f t="shared" si="2"/>
        <v>143</v>
      </c>
    </row>
    <row r="445" spans="1:7" ht="12.75">
      <c r="A445" s="11">
        <v>191.07</v>
      </c>
      <c r="B445" s="13">
        <v>306</v>
      </c>
      <c r="C445" s="13">
        <v>183</v>
      </c>
      <c r="D445" s="13">
        <v>213</v>
      </c>
      <c r="E445" s="13">
        <v>267</v>
      </c>
      <c r="F445">
        <f t="shared" si="1"/>
        <v>311</v>
      </c>
      <c r="G445">
        <f t="shared" si="2"/>
        <v>245</v>
      </c>
    </row>
    <row r="446" spans="1:7" ht="12.75">
      <c r="A446" s="11">
        <v>190.03</v>
      </c>
      <c r="B446" s="13">
        <v>520</v>
      </c>
      <c r="C446" s="13">
        <v>482</v>
      </c>
      <c r="D446" s="13">
        <v>535</v>
      </c>
      <c r="E446" s="13">
        <v>617</v>
      </c>
      <c r="F446">
        <f t="shared" si="1"/>
        <v>803</v>
      </c>
      <c r="G446">
        <f t="shared" si="2"/>
        <v>584</v>
      </c>
    </row>
    <row r="447" spans="1:7" ht="12.75">
      <c r="A447" s="11">
        <v>190.04</v>
      </c>
      <c r="B447" s="13">
        <v>376</v>
      </c>
      <c r="C447" s="13">
        <v>436</v>
      </c>
      <c r="D447" s="13">
        <v>524</v>
      </c>
      <c r="E447" s="13">
        <v>553</v>
      </c>
      <c r="F447">
        <f t="shared" si="1"/>
        <v>750</v>
      </c>
      <c r="G447">
        <f t="shared" si="2"/>
        <v>541</v>
      </c>
    </row>
    <row r="448" spans="1:7" ht="12.75">
      <c r="A448" s="11">
        <v>190.05</v>
      </c>
      <c r="B448" s="13">
        <v>127</v>
      </c>
      <c r="C448" s="13">
        <v>125</v>
      </c>
      <c r="D448" s="13">
        <v>128</v>
      </c>
      <c r="E448" s="13">
        <v>147</v>
      </c>
      <c r="F448">
        <f t="shared" si="1"/>
        <v>202</v>
      </c>
      <c r="G448">
        <f t="shared" si="2"/>
        <v>139</v>
      </c>
    </row>
    <row r="449" spans="1:7" ht="12.75">
      <c r="A449" s="11">
        <v>190.01</v>
      </c>
      <c r="B449" s="13">
        <v>600</v>
      </c>
      <c r="C449" s="13">
        <v>512</v>
      </c>
      <c r="D449" s="13">
        <v>503</v>
      </c>
      <c r="E449" s="13">
        <v>565</v>
      </c>
      <c r="F449">
        <f t="shared" si="1"/>
        <v>814</v>
      </c>
      <c r="G449">
        <f t="shared" si="2"/>
        <v>540</v>
      </c>
    </row>
    <row r="450" spans="1:7" ht="12.75">
      <c r="A450" s="11">
        <v>189.06</v>
      </c>
      <c r="B450" s="13">
        <v>193</v>
      </c>
      <c r="C450" s="13">
        <v>215</v>
      </c>
      <c r="D450" s="13">
        <v>222</v>
      </c>
      <c r="E450" s="13">
        <v>248</v>
      </c>
      <c r="F450">
        <f t="shared" si="1"/>
        <v>348</v>
      </c>
      <c r="G450">
        <f t="shared" si="2"/>
        <v>238</v>
      </c>
    </row>
    <row r="451" spans="1:7" ht="12.75">
      <c r="A451" s="11">
        <v>187.04</v>
      </c>
      <c r="B451" s="13">
        <v>109</v>
      </c>
      <c r="C451" s="13">
        <v>113</v>
      </c>
      <c r="D451" s="13">
        <v>121</v>
      </c>
      <c r="E451" s="13">
        <v>108</v>
      </c>
      <c r="F451">
        <f t="shared" si="1"/>
        <v>186</v>
      </c>
      <c r="G451">
        <f t="shared" si="2"/>
        <v>113</v>
      </c>
    </row>
    <row r="452" spans="1:7" ht="12.75">
      <c r="A452" s="11">
        <v>187.05</v>
      </c>
      <c r="B452" s="13">
        <v>698</v>
      </c>
      <c r="C452" s="13">
        <v>612</v>
      </c>
      <c r="D452" s="13">
        <v>582</v>
      </c>
      <c r="E452" s="13">
        <v>573</v>
      </c>
      <c r="F452">
        <f t="shared" si="1"/>
        <v>961</v>
      </c>
      <c r="G452">
        <f t="shared" si="2"/>
        <v>577</v>
      </c>
    </row>
    <row r="453" spans="1:7" ht="12.75">
      <c r="A453" s="11">
        <v>184.02</v>
      </c>
      <c r="B453" s="13">
        <v>565</v>
      </c>
      <c r="C453" s="13">
        <v>570</v>
      </c>
      <c r="D453" s="13">
        <v>499</v>
      </c>
      <c r="E453" s="13">
        <v>535</v>
      </c>
      <c r="F453">
        <f t="shared" si="1"/>
        <v>869</v>
      </c>
      <c r="G453">
        <f t="shared" si="2"/>
        <v>521</v>
      </c>
    </row>
    <row r="454" spans="1:7" ht="12.75">
      <c r="A454" s="11">
        <v>184.15</v>
      </c>
      <c r="B454" s="13">
        <v>186</v>
      </c>
      <c r="C454" s="13">
        <v>192</v>
      </c>
      <c r="D454" s="13">
        <v>259</v>
      </c>
      <c r="E454" s="13">
        <v>336</v>
      </c>
      <c r="F454">
        <f t="shared" si="1"/>
        <v>347</v>
      </c>
      <c r="G454">
        <f t="shared" si="2"/>
        <v>305</v>
      </c>
    </row>
    <row r="455" spans="1:7" ht="12.75">
      <c r="A455" s="11">
        <v>184.16</v>
      </c>
      <c r="B455" s="13">
        <v>360</v>
      </c>
      <c r="C455" s="13">
        <v>399</v>
      </c>
      <c r="D455" s="13">
        <v>447</v>
      </c>
      <c r="E455" s="13">
        <v>463</v>
      </c>
      <c r="F455">
        <f t="shared" si="1"/>
        <v>667</v>
      </c>
      <c r="G455">
        <f t="shared" si="2"/>
        <v>457</v>
      </c>
    </row>
    <row r="456" spans="1:7" ht="12.75">
      <c r="A456" s="11">
        <v>184.07</v>
      </c>
      <c r="B456" s="13">
        <v>341</v>
      </c>
      <c r="C456" s="13">
        <v>339</v>
      </c>
      <c r="D456" s="13">
        <v>372</v>
      </c>
      <c r="E456" s="13">
        <v>350</v>
      </c>
      <c r="F456">
        <f t="shared" si="1"/>
        <v>562</v>
      </c>
      <c r="G456">
        <f t="shared" si="2"/>
        <v>359</v>
      </c>
    </row>
    <row r="457" spans="1:7" ht="12.75">
      <c r="A457" s="11">
        <v>184.08</v>
      </c>
      <c r="B457" s="13">
        <v>480</v>
      </c>
      <c r="C457" s="13">
        <v>516</v>
      </c>
      <c r="D457" s="13">
        <v>593</v>
      </c>
      <c r="E457" s="13">
        <v>555</v>
      </c>
      <c r="F457">
        <f t="shared" si="1"/>
        <v>872</v>
      </c>
      <c r="G457">
        <f t="shared" si="2"/>
        <v>570</v>
      </c>
    </row>
    <row r="458" spans="1:7" ht="12.75">
      <c r="A458" s="11">
        <v>184.06</v>
      </c>
      <c r="B458" s="13">
        <v>1479</v>
      </c>
      <c r="C458" s="13">
        <v>1408</v>
      </c>
      <c r="D458" s="13">
        <v>1235</v>
      </c>
      <c r="E458" s="13">
        <v>1086</v>
      </c>
      <c r="F458">
        <f t="shared" si="1"/>
        <v>2149</v>
      </c>
      <c r="G458">
        <f t="shared" si="2"/>
        <v>1146</v>
      </c>
    </row>
    <row r="459" spans="1:7" ht="12.75">
      <c r="A459" s="11">
        <v>184.12</v>
      </c>
      <c r="B459" s="13">
        <v>936</v>
      </c>
      <c r="C459" s="13">
        <v>633</v>
      </c>
      <c r="D459" s="13">
        <v>669</v>
      </c>
      <c r="E459" s="13">
        <v>676</v>
      </c>
      <c r="F459">
        <f t="shared" si="1"/>
        <v>1034</v>
      </c>
      <c r="G459">
        <f t="shared" si="2"/>
        <v>673</v>
      </c>
    </row>
    <row r="460" spans="1:7" ht="12.75">
      <c r="A460" s="11">
        <v>184.13</v>
      </c>
      <c r="B460" s="13">
        <v>473</v>
      </c>
      <c r="C460" s="13">
        <v>419</v>
      </c>
      <c r="D460" s="13">
        <v>400</v>
      </c>
      <c r="E460" s="13">
        <v>429</v>
      </c>
      <c r="F460">
        <f t="shared" si="1"/>
        <v>659</v>
      </c>
      <c r="G460">
        <f t="shared" si="2"/>
        <v>417</v>
      </c>
    </row>
    <row r="461" spans="1:7" ht="12.75">
      <c r="A461" s="11">
        <v>184.14</v>
      </c>
      <c r="B461" s="13">
        <v>1352</v>
      </c>
      <c r="C461" s="13">
        <v>1137</v>
      </c>
      <c r="D461" s="13">
        <v>764</v>
      </c>
      <c r="E461" s="13">
        <v>685</v>
      </c>
      <c r="F461">
        <f t="shared" si="1"/>
        <v>1595</v>
      </c>
      <c r="G461">
        <f t="shared" si="2"/>
        <v>717</v>
      </c>
    </row>
    <row r="462" spans="1:7" ht="12.75">
      <c r="A462" s="11">
        <v>182.03</v>
      </c>
      <c r="B462" s="13">
        <v>206</v>
      </c>
      <c r="C462" s="13">
        <v>195</v>
      </c>
      <c r="D462" s="13">
        <v>277</v>
      </c>
      <c r="E462" s="13">
        <v>410</v>
      </c>
      <c r="F462">
        <f t="shared" si="1"/>
        <v>361</v>
      </c>
      <c r="G462">
        <f t="shared" si="2"/>
        <v>357</v>
      </c>
    </row>
    <row r="463" spans="1:7" ht="12.75">
      <c r="A463" s="11">
        <v>184.11</v>
      </c>
      <c r="B463" s="13">
        <v>1002</v>
      </c>
      <c r="C463" s="13">
        <v>961</v>
      </c>
      <c r="D463" s="13">
        <v>1061</v>
      </c>
      <c r="E463" s="13">
        <v>986</v>
      </c>
      <c r="F463">
        <f t="shared" si="1"/>
        <v>1598</v>
      </c>
      <c r="G463">
        <f t="shared" si="2"/>
        <v>1016</v>
      </c>
    </row>
    <row r="464" spans="1:7" ht="12.75">
      <c r="A464" s="11">
        <v>184.1</v>
      </c>
      <c r="B464" s="13">
        <v>389</v>
      </c>
      <c r="C464" s="13">
        <v>464</v>
      </c>
      <c r="D464" s="13">
        <v>523</v>
      </c>
      <c r="E464" s="13">
        <v>609</v>
      </c>
      <c r="F464">
        <f t="shared" si="1"/>
        <v>778</v>
      </c>
      <c r="G464">
        <f t="shared" si="2"/>
        <v>575</v>
      </c>
    </row>
    <row r="465" spans="1:7" ht="12.75">
      <c r="A465" s="11">
        <v>184.09</v>
      </c>
      <c r="B465" s="13">
        <v>295</v>
      </c>
      <c r="C465" s="13">
        <v>357</v>
      </c>
      <c r="D465" s="13">
        <v>374</v>
      </c>
      <c r="E465" s="13">
        <v>394</v>
      </c>
      <c r="F465">
        <f t="shared" si="1"/>
        <v>581</v>
      </c>
      <c r="G465">
        <f t="shared" si="2"/>
        <v>386</v>
      </c>
    </row>
    <row r="466" spans="1:7" ht="12.75">
      <c r="A466" s="11">
        <v>187.03</v>
      </c>
      <c r="B466" s="13">
        <v>566</v>
      </c>
      <c r="C466" s="13">
        <v>570</v>
      </c>
      <c r="D466" s="13">
        <v>540</v>
      </c>
      <c r="E466" s="13">
        <v>610</v>
      </c>
      <c r="F466">
        <f t="shared" si="1"/>
        <v>894</v>
      </c>
      <c r="G466">
        <f t="shared" si="2"/>
        <v>582</v>
      </c>
    </row>
    <row r="467" spans="1:7" ht="12.75">
      <c r="A467" s="11">
        <v>189.05</v>
      </c>
      <c r="B467" s="13">
        <v>455</v>
      </c>
      <c r="C467" s="13">
        <v>427</v>
      </c>
      <c r="D467" s="13">
        <v>462</v>
      </c>
      <c r="E467" s="13">
        <v>490</v>
      </c>
      <c r="F467">
        <f t="shared" si="1"/>
        <v>704</v>
      </c>
      <c r="G467">
        <f t="shared" si="2"/>
        <v>479</v>
      </c>
    </row>
    <row r="468" spans="1:7" ht="12.75">
      <c r="A468" s="11">
        <v>189.08</v>
      </c>
      <c r="B468" s="13">
        <v>575</v>
      </c>
      <c r="C468" s="13">
        <v>524</v>
      </c>
      <c r="D468" s="13">
        <v>504</v>
      </c>
      <c r="E468" s="13">
        <v>516</v>
      </c>
      <c r="F468">
        <f t="shared" si="1"/>
        <v>826</v>
      </c>
      <c r="G468">
        <f t="shared" si="2"/>
        <v>511</v>
      </c>
    </row>
    <row r="469" spans="1:7" ht="12.75">
      <c r="A469" s="11">
        <v>189.03</v>
      </c>
      <c r="B469" s="13">
        <v>192</v>
      </c>
      <c r="C469" s="13">
        <v>222</v>
      </c>
      <c r="D469" s="13">
        <v>252</v>
      </c>
      <c r="E469" s="13">
        <v>285</v>
      </c>
      <c r="F469">
        <f t="shared" si="1"/>
        <v>373</v>
      </c>
      <c r="G469">
        <f t="shared" si="2"/>
        <v>272</v>
      </c>
    </row>
    <row r="470" spans="1:7" ht="12.75">
      <c r="A470" s="11">
        <v>188.01</v>
      </c>
      <c r="B470" s="13">
        <v>184</v>
      </c>
      <c r="C470" s="13">
        <v>259</v>
      </c>
      <c r="D470" s="13">
        <v>295</v>
      </c>
      <c r="E470" s="13">
        <v>365</v>
      </c>
      <c r="F470">
        <f t="shared" si="1"/>
        <v>436</v>
      </c>
      <c r="G470">
        <f t="shared" si="2"/>
        <v>337</v>
      </c>
    </row>
    <row r="471" spans="1:7" ht="12.75">
      <c r="A471" s="11">
        <v>188.02</v>
      </c>
      <c r="B471" s="13">
        <v>193</v>
      </c>
      <c r="C471" s="13">
        <v>226</v>
      </c>
      <c r="D471" s="13">
        <v>313</v>
      </c>
      <c r="E471" s="13">
        <v>374</v>
      </c>
      <c r="F471">
        <f t="shared" si="1"/>
        <v>414</v>
      </c>
      <c r="G471">
        <f t="shared" si="2"/>
        <v>350</v>
      </c>
    </row>
    <row r="472" spans="1:7" ht="12.75">
      <c r="A472" s="11">
        <v>189.07</v>
      </c>
      <c r="B472" s="13">
        <v>209</v>
      </c>
      <c r="C472" s="13">
        <v>252</v>
      </c>
      <c r="D472" s="13">
        <v>235</v>
      </c>
      <c r="E472" s="13">
        <v>242</v>
      </c>
      <c r="F472">
        <f t="shared" si="1"/>
        <v>393</v>
      </c>
      <c r="G472">
        <f t="shared" si="2"/>
        <v>239</v>
      </c>
    </row>
    <row r="473" spans="1:7" ht="12.75">
      <c r="A473" s="11">
        <v>189.1</v>
      </c>
      <c r="B473" s="13">
        <v>485</v>
      </c>
      <c r="C473" s="13">
        <v>512</v>
      </c>
      <c r="D473" s="13">
        <v>651</v>
      </c>
      <c r="E473" s="13">
        <v>749</v>
      </c>
      <c r="F473">
        <f t="shared" si="1"/>
        <v>903</v>
      </c>
      <c r="G473">
        <f t="shared" si="2"/>
        <v>710</v>
      </c>
    </row>
    <row r="474" spans="1:7" ht="12.75">
      <c r="A474" s="11">
        <v>189.09</v>
      </c>
      <c r="B474" s="13">
        <v>201</v>
      </c>
      <c r="C474" s="13">
        <v>234</v>
      </c>
      <c r="D474" s="13">
        <v>348</v>
      </c>
      <c r="E474" s="13">
        <v>382</v>
      </c>
      <c r="F474">
        <f t="shared" si="1"/>
        <v>443</v>
      </c>
      <c r="G474">
        <f t="shared" si="2"/>
        <v>368</v>
      </c>
    </row>
    <row r="475" spans="1:7" ht="12.75">
      <c r="A475" s="11">
        <v>188.08</v>
      </c>
      <c r="B475" s="13">
        <v>199</v>
      </c>
      <c r="C475" s="13">
        <v>302</v>
      </c>
      <c r="D475" s="13">
        <v>506</v>
      </c>
      <c r="E475" s="13">
        <v>590</v>
      </c>
      <c r="F475">
        <f t="shared" si="1"/>
        <v>606</v>
      </c>
      <c r="G475">
        <f t="shared" si="2"/>
        <v>556</v>
      </c>
    </row>
    <row r="476" spans="1:7" ht="12.75">
      <c r="A476" s="11">
        <v>188.07</v>
      </c>
      <c r="B476" s="13">
        <v>201</v>
      </c>
      <c r="C476" s="13">
        <v>244</v>
      </c>
      <c r="D476" s="13">
        <v>384</v>
      </c>
      <c r="E476" s="13">
        <v>516</v>
      </c>
      <c r="F476">
        <f t="shared" si="1"/>
        <v>474</v>
      </c>
      <c r="G476">
        <f t="shared" si="2"/>
        <v>463</v>
      </c>
    </row>
    <row r="477" spans="1:7" ht="12.75">
      <c r="A477" s="11">
        <v>188.04</v>
      </c>
      <c r="B477" s="13">
        <v>233</v>
      </c>
      <c r="C477" s="13">
        <v>315</v>
      </c>
      <c r="D477" s="13">
        <v>395</v>
      </c>
      <c r="E477" s="13">
        <v>480</v>
      </c>
      <c r="F477">
        <f t="shared" si="1"/>
        <v>552</v>
      </c>
      <c r="G477">
        <f t="shared" si="2"/>
        <v>446</v>
      </c>
    </row>
    <row r="478" spans="1:7" ht="12.75">
      <c r="A478" s="11">
        <v>187.12</v>
      </c>
      <c r="B478" s="13">
        <v>241</v>
      </c>
      <c r="C478" s="13">
        <v>296</v>
      </c>
      <c r="D478" s="13">
        <v>345</v>
      </c>
      <c r="E478" s="13">
        <v>358</v>
      </c>
      <c r="F478">
        <f t="shared" si="1"/>
        <v>503</v>
      </c>
      <c r="G478">
        <f t="shared" si="2"/>
        <v>353</v>
      </c>
    </row>
    <row r="479" spans="1:7" ht="12.75">
      <c r="A479" s="11">
        <v>187.06</v>
      </c>
      <c r="B479" s="13">
        <v>457</v>
      </c>
      <c r="C479" s="13">
        <v>570</v>
      </c>
      <c r="D479" s="13">
        <v>682</v>
      </c>
      <c r="E479" s="13">
        <v>773</v>
      </c>
      <c r="F479">
        <f t="shared" si="1"/>
        <v>979</v>
      </c>
      <c r="G479">
        <f t="shared" si="2"/>
        <v>737</v>
      </c>
    </row>
    <row r="480" spans="1:7" ht="12.75">
      <c r="A480" s="11">
        <v>187.13</v>
      </c>
      <c r="B480" s="13">
        <v>163</v>
      </c>
      <c r="C480" s="13">
        <v>156</v>
      </c>
      <c r="D480" s="13">
        <v>177</v>
      </c>
      <c r="E480" s="13">
        <v>213</v>
      </c>
      <c r="F480">
        <f t="shared" si="1"/>
        <v>262</v>
      </c>
      <c r="G480">
        <f t="shared" si="2"/>
        <v>199</v>
      </c>
    </row>
    <row r="481" spans="1:7" ht="12.75">
      <c r="A481" s="11">
        <v>187.11</v>
      </c>
      <c r="B481" s="13">
        <v>669</v>
      </c>
      <c r="C481" s="13">
        <v>627</v>
      </c>
      <c r="D481" s="13">
        <v>638</v>
      </c>
      <c r="E481" s="13">
        <v>605</v>
      </c>
      <c r="F481">
        <f t="shared" si="1"/>
        <v>1010</v>
      </c>
      <c r="G481">
        <f t="shared" si="2"/>
        <v>618</v>
      </c>
    </row>
    <row r="482" spans="1:7" ht="12.75">
      <c r="A482" s="11">
        <v>187.07</v>
      </c>
      <c r="B482" s="13">
        <v>108</v>
      </c>
      <c r="C482" s="13">
        <v>131</v>
      </c>
      <c r="D482" s="13">
        <v>193</v>
      </c>
      <c r="E482" s="13">
        <v>209</v>
      </c>
      <c r="F482">
        <f t="shared" si="1"/>
        <v>247</v>
      </c>
      <c r="G482">
        <f t="shared" si="2"/>
        <v>203</v>
      </c>
    </row>
    <row r="483" spans="1:7" ht="12.75">
      <c r="A483" s="11">
        <v>187.15</v>
      </c>
      <c r="B483" s="13">
        <v>267</v>
      </c>
      <c r="C483" s="13">
        <v>320</v>
      </c>
      <c r="D483" s="13">
        <v>367</v>
      </c>
      <c r="E483" s="13">
        <v>405</v>
      </c>
      <c r="F483">
        <f t="shared" si="1"/>
        <v>540</v>
      </c>
      <c r="G483">
        <f t="shared" si="2"/>
        <v>390</v>
      </c>
    </row>
    <row r="484" spans="1:7" ht="12.75">
      <c r="A484" s="11">
        <v>187.14</v>
      </c>
      <c r="B484" s="13">
        <v>276</v>
      </c>
      <c r="C484" s="13">
        <v>267</v>
      </c>
      <c r="D484" s="13">
        <v>293</v>
      </c>
      <c r="E484" s="13">
        <v>246</v>
      </c>
      <c r="F484">
        <f t="shared" si="1"/>
        <v>443</v>
      </c>
      <c r="G484">
        <f t="shared" si="2"/>
        <v>265</v>
      </c>
    </row>
    <row r="485" spans="1:7" ht="12.75">
      <c r="A485" s="11">
        <v>187.16</v>
      </c>
      <c r="B485" s="13">
        <v>179</v>
      </c>
      <c r="C485" s="13">
        <v>230</v>
      </c>
      <c r="D485" s="13">
        <v>282</v>
      </c>
      <c r="E485" s="13">
        <v>308</v>
      </c>
      <c r="F485">
        <f t="shared" ref="F485:F520" si="3">ROUND(C485+D485*0.6,0)</f>
        <v>399</v>
      </c>
      <c r="G485">
        <f t="shared" ref="G485:G520" si="4">ROUND(D485*0.4+E485*0.6,0)</f>
        <v>298</v>
      </c>
    </row>
    <row r="486" spans="1:7" ht="12.75">
      <c r="A486" s="11">
        <v>182.04</v>
      </c>
      <c r="B486" s="13">
        <v>62</v>
      </c>
      <c r="C486" s="13">
        <v>108</v>
      </c>
      <c r="D486" s="13">
        <v>166</v>
      </c>
      <c r="E486" s="13">
        <v>193</v>
      </c>
      <c r="F486">
        <f t="shared" si="3"/>
        <v>208</v>
      </c>
      <c r="G486">
        <f t="shared" si="4"/>
        <v>182</v>
      </c>
    </row>
    <row r="487" spans="1:7" ht="12.75">
      <c r="A487" s="11">
        <v>182.05</v>
      </c>
      <c r="B487" s="13">
        <v>606</v>
      </c>
      <c r="C487" s="13">
        <v>622</v>
      </c>
      <c r="D487" s="13">
        <v>646</v>
      </c>
      <c r="E487" s="13">
        <v>713</v>
      </c>
      <c r="F487">
        <f t="shared" si="3"/>
        <v>1010</v>
      </c>
      <c r="G487">
        <f t="shared" si="4"/>
        <v>686</v>
      </c>
    </row>
    <row r="488" spans="1:7" ht="12.75">
      <c r="A488" s="11">
        <v>182.02</v>
      </c>
      <c r="B488" s="13">
        <v>1170</v>
      </c>
      <c r="C488" s="13">
        <v>1118</v>
      </c>
      <c r="D488" s="13">
        <v>857</v>
      </c>
      <c r="E488" s="13">
        <v>664</v>
      </c>
      <c r="F488">
        <f t="shared" si="3"/>
        <v>1632</v>
      </c>
      <c r="G488">
        <f t="shared" si="4"/>
        <v>741</v>
      </c>
    </row>
    <row r="489" spans="1:7" ht="12.75">
      <c r="A489" s="11">
        <v>183.01</v>
      </c>
      <c r="B489" s="13">
        <v>433</v>
      </c>
      <c r="C489" s="13">
        <v>454</v>
      </c>
      <c r="D489" s="13">
        <v>528</v>
      </c>
      <c r="E489" s="13">
        <v>537</v>
      </c>
      <c r="F489">
        <f t="shared" si="3"/>
        <v>771</v>
      </c>
      <c r="G489">
        <f t="shared" si="4"/>
        <v>533</v>
      </c>
    </row>
    <row r="490" spans="1:7" ht="12.75">
      <c r="A490" s="11">
        <v>183.03</v>
      </c>
      <c r="B490" s="13">
        <v>344</v>
      </c>
      <c r="C490" s="13">
        <v>359</v>
      </c>
      <c r="D490" s="13">
        <v>357</v>
      </c>
      <c r="E490" s="13">
        <v>426</v>
      </c>
      <c r="F490">
        <f t="shared" si="3"/>
        <v>573</v>
      </c>
      <c r="G490">
        <f t="shared" si="4"/>
        <v>398</v>
      </c>
    </row>
    <row r="491" spans="1:7" ht="12.75">
      <c r="A491" s="11">
        <v>183.05</v>
      </c>
      <c r="B491" s="13">
        <v>1384</v>
      </c>
      <c r="C491" s="13">
        <v>1281</v>
      </c>
      <c r="D491" s="13">
        <v>1132</v>
      </c>
      <c r="E491" s="13">
        <v>979</v>
      </c>
      <c r="F491">
        <f t="shared" si="3"/>
        <v>1960</v>
      </c>
      <c r="G491">
        <f t="shared" si="4"/>
        <v>1040</v>
      </c>
    </row>
    <row r="492" spans="1:7" ht="12.75">
      <c r="A492" s="11">
        <v>183.07</v>
      </c>
      <c r="B492" s="13">
        <v>317</v>
      </c>
      <c r="C492" s="13">
        <v>372</v>
      </c>
      <c r="D492" s="13">
        <v>457</v>
      </c>
      <c r="E492" s="13">
        <v>499</v>
      </c>
      <c r="F492">
        <f t="shared" si="3"/>
        <v>646</v>
      </c>
      <c r="G492">
        <f t="shared" si="4"/>
        <v>482</v>
      </c>
    </row>
    <row r="493" spans="1:7" ht="12.75">
      <c r="A493" s="11">
        <v>183.06</v>
      </c>
      <c r="B493" s="13">
        <v>147</v>
      </c>
      <c r="C493" s="13">
        <v>136</v>
      </c>
      <c r="D493" s="13">
        <v>143</v>
      </c>
      <c r="E493" s="13">
        <v>134</v>
      </c>
      <c r="F493">
        <f t="shared" si="3"/>
        <v>222</v>
      </c>
      <c r="G493">
        <f t="shared" si="4"/>
        <v>138</v>
      </c>
    </row>
    <row r="494" spans="1:7" ht="12.75">
      <c r="A494" s="11">
        <v>183.08</v>
      </c>
      <c r="B494" s="13">
        <v>1123</v>
      </c>
      <c r="C494" s="13">
        <v>686</v>
      </c>
      <c r="D494" s="13">
        <v>587</v>
      </c>
      <c r="E494" s="13">
        <v>536</v>
      </c>
      <c r="F494">
        <f t="shared" si="3"/>
        <v>1038</v>
      </c>
      <c r="G494">
        <f t="shared" si="4"/>
        <v>556</v>
      </c>
    </row>
    <row r="495" spans="1:7" ht="12.75">
      <c r="A495" s="21">
        <v>183.09</v>
      </c>
      <c r="B495" s="13">
        <v>2313</v>
      </c>
      <c r="C495" s="13">
        <v>1503</v>
      </c>
      <c r="D495" s="13">
        <v>1452</v>
      </c>
      <c r="E495" s="13">
        <v>1375</v>
      </c>
      <c r="F495">
        <f t="shared" si="3"/>
        <v>2374</v>
      </c>
      <c r="G495">
        <f t="shared" si="4"/>
        <v>1406</v>
      </c>
    </row>
    <row r="496" spans="1:7" ht="12.75">
      <c r="A496" s="11">
        <v>182.06</v>
      </c>
      <c r="B496" s="13">
        <v>44</v>
      </c>
      <c r="C496" s="13">
        <v>68</v>
      </c>
      <c r="D496" s="13">
        <v>87</v>
      </c>
      <c r="E496" s="13">
        <v>96</v>
      </c>
      <c r="F496">
        <f t="shared" si="3"/>
        <v>120</v>
      </c>
      <c r="G496">
        <f t="shared" si="4"/>
        <v>92</v>
      </c>
    </row>
    <row r="497" spans="1:7" ht="12.75">
      <c r="A497" s="11">
        <v>188.06</v>
      </c>
      <c r="B497" s="13">
        <v>98</v>
      </c>
      <c r="C497" s="13">
        <v>103</v>
      </c>
      <c r="D497" s="13">
        <v>145</v>
      </c>
      <c r="E497" s="13">
        <v>134</v>
      </c>
      <c r="F497">
        <f t="shared" si="3"/>
        <v>190</v>
      </c>
      <c r="G497">
        <f t="shared" si="4"/>
        <v>138</v>
      </c>
    </row>
    <row r="498" spans="1:7" ht="12.75">
      <c r="A498" s="11">
        <v>188.05</v>
      </c>
      <c r="B498" s="13">
        <v>127</v>
      </c>
      <c r="C498" s="13">
        <v>183</v>
      </c>
      <c r="D498" s="13">
        <v>249</v>
      </c>
      <c r="E498" s="13">
        <v>331</v>
      </c>
      <c r="F498">
        <f t="shared" si="3"/>
        <v>332</v>
      </c>
      <c r="G498">
        <f t="shared" si="4"/>
        <v>298</v>
      </c>
    </row>
    <row r="499" spans="1:7" ht="12.75">
      <c r="A499" s="11">
        <v>182.01</v>
      </c>
      <c r="B499" s="13">
        <v>308</v>
      </c>
      <c r="C499" s="13">
        <v>386</v>
      </c>
      <c r="D499" s="13">
        <v>443</v>
      </c>
      <c r="E499" s="13">
        <v>474</v>
      </c>
      <c r="F499">
        <f t="shared" si="3"/>
        <v>652</v>
      </c>
      <c r="G499">
        <f t="shared" si="4"/>
        <v>462</v>
      </c>
    </row>
    <row r="500" spans="1:7" ht="12.75">
      <c r="A500" s="11">
        <v>180.01</v>
      </c>
      <c r="B500" s="13">
        <v>875</v>
      </c>
      <c r="C500" s="13">
        <v>894</v>
      </c>
      <c r="D500" s="13">
        <v>762</v>
      </c>
      <c r="E500" s="13">
        <v>728</v>
      </c>
      <c r="F500">
        <f t="shared" si="3"/>
        <v>1351</v>
      </c>
      <c r="G500">
        <f t="shared" si="4"/>
        <v>742</v>
      </c>
    </row>
    <row r="501" spans="1:7" ht="12.75">
      <c r="A501" s="11">
        <v>180.04</v>
      </c>
      <c r="B501" s="13">
        <v>607</v>
      </c>
      <c r="C501" s="13">
        <v>600</v>
      </c>
      <c r="D501" s="13">
        <v>763</v>
      </c>
      <c r="E501" s="13">
        <v>830</v>
      </c>
      <c r="F501">
        <f t="shared" si="3"/>
        <v>1058</v>
      </c>
      <c r="G501">
        <f t="shared" si="4"/>
        <v>803</v>
      </c>
    </row>
    <row r="502" spans="1:7" ht="12.75">
      <c r="A502" s="11">
        <v>180.03</v>
      </c>
      <c r="B502" s="13">
        <v>570</v>
      </c>
      <c r="C502" s="13">
        <v>561</v>
      </c>
      <c r="D502" s="13">
        <v>710</v>
      </c>
      <c r="E502" s="13">
        <v>772</v>
      </c>
      <c r="F502">
        <f t="shared" si="3"/>
        <v>987</v>
      </c>
      <c r="G502">
        <f t="shared" si="4"/>
        <v>747</v>
      </c>
    </row>
    <row r="503" spans="1:7" ht="12.75">
      <c r="A503" s="11">
        <v>181.13</v>
      </c>
      <c r="B503" s="13">
        <v>164</v>
      </c>
      <c r="C503" s="13">
        <v>190</v>
      </c>
      <c r="D503" s="13">
        <v>252</v>
      </c>
      <c r="E503" s="13">
        <v>291</v>
      </c>
      <c r="F503">
        <f t="shared" si="3"/>
        <v>341</v>
      </c>
      <c r="G503">
        <f t="shared" si="4"/>
        <v>275</v>
      </c>
    </row>
    <row r="504" spans="1:7" ht="12.75">
      <c r="A504" s="11">
        <v>181.12</v>
      </c>
      <c r="B504" s="13">
        <v>117</v>
      </c>
      <c r="C504" s="13">
        <v>172</v>
      </c>
      <c r="D504" s="13">
        <v>231</v>
      </c>
      <c r="E504" s="13">
        <v>241</v>
      </c>
      <c r="F504">
        <f t="shared" si="3"/>
        <v>311</v>
      </c>
      <c r="G504">
        <f t="shared" si="4"/>
        <v>237</v>
      </c>
    </row>
    <row r="505" spans="1:7" ht="12.75">
      <c r="A505" s="11">
        <v>181.14</v>
      </c>
      <c r="B505" s="13">
        <v>257</v>
      </c>
      <c r="C505" s="13">
        <v>233</v>
      </c>
      <c r="D505" s="13">
        <v>263</v>
      </c>
      <c r="E505" s="13">
        <v>293</v>
      </c>
      <c r="F505">
        <f t="shared" si="3"/>
        <v>391</v>
      </c>
      <c r="G505">
        <f t="shared" si="4"/>
        <v>281</v>
      </c>
    </row>
    <row r="506" spans="1:7" ht="12.75">
      <c r="A506" s="11">
        <v>181.1</v>
      </c>
      <c r="B506" s="13">
        <v>124</v>
      </c>
      <c r="C506" s="13">
        <v>187</v>
      </c>
      <c r="D506" s="13">
        <v>244</v>
      </c>
      <c r="E506" s="13">
        <v>348</v>
      </c>
      <c r="F506">
        <f t="shared" si="3"/>
        <v>333</v>
      </c>
      <c r="G506">
        <f t="shared" si="4"/>
        <v>306</v>
      </c>
    </row>
    <row r="507" spans="1:7" ht="12.75">
      <c r="A507" s="11">
        <v>181.11</v>
      </c>
      <c r="B507" s="13">
        <v>116</v>
      </c>
      <c r="C507" s="13">
        <v>119</v>
      </c>
      <c r="D507" s="13">
        <v>178</v>
      </c>
      <c r="E507" s="13">
        <v>251</v>
      </c>
      <c r="F507">
        <f t="shared" si="3"/>
        <v>226</v>
      </c>
      <c r="G507">
        <f t="shared" si="4"/>
        <v>222</v>
      </c>
    </row>
    <row r="508" spans="1:7" ht="12.75">
      <c r="A508" s="11">
        <v>181.09</v>
      </c>
      <c r="B508" s="13">
        <v>190</v>
      </c>
      <c r="C508" s="13">
        <v>313</v>
      </c>
      <c r="D508" s="13">
        <v>502</v>
      </c>
      <c r="E508" s="13">
        <v>565</v>
      </c>
      <c r="F508">
        <f t="shared" si="3"/>
        <v>614</v>
      </c>
      <c r="G508">
        <f t="shared" si="4"/>
        <v>540</v>
      </c>
    </row>
    <row r="509" spans="1:7" ht="12.75">
      <c r="A509" s="11">
        <v>181.03</v>
      </c>
      <c r="B509" s="13">
        <v>209</v>
      </c>
      <c r="C509" s="13">
        <v>259</v>
      </c>
      <c r="D509" s="13">
        <v>382</v>
      </c>
      <c r="E509" s="13">
        <v>429</v>
      </c>
      <c r="F509">
        <f t="shared" si="3"/>
        <v>488</v>
      </c>
      <c r="G509">
        <f t="shared" si="4"/>
        <v>410</v>
      </c>
    </row>
    <row r="510" spans="1:7" ht="12.75">
      <c r="A510" s="11">
        <v>181.07</v>
      </c>
      <c r="B510" s="13">
        <v>141</v>
      </c>
      <c r="C510" s="13">
        <v>188</v>
      </c>
      <c r="D510" s="13">
        <v>247</v>
      </c>
      <c r="E510" s="13">
        <v>278</v>
      </c>
      <c r="F510">
        <f t="shared" si="3"/>
        <v>336</v>
      </c>
      <c r="G510">
        <f t="shared" si="4"/>
        <v>266</v>
      </c>
    </row>
    <row r="511" spans="1:7" ht="12.75">
      <c r="A511" s="11">
        <v>181.08</v>
      </c>
      <c r="B511" s="13">
        <v>119</v>
      </c>
      <c r="C511" s="13">
        <v>153</v>
      </c>
      <c r="D511" s="13">
        <v>159</v>
      </c>
      <c r="E511" s="13">
        <v>176</v>
      </c>
      <c r="F511">
        <f t="shared" si="3"/>
        <v>248</v>
      </c>
      <c r="G511">
        <f t="shared" si="4"/>
        <v>169</v>
      </c>
    </row>
    <row r="512" spans="1:7" ht="12.75">
      <c r="A512" s="11">
        <v>170.04</v>
      </c>
      <c r="B512" s="13">
        <v>161</v>
      </c>
      <c r="C512" s="13">
        <v>199</v>
      </c>
      <c r="D512" s="13">
        <v>246</v>
      </c>
      <c r="E512" s="13">
        <v>291</v>
      </c>
      <c r="F512">
        <f t="shared" si="3"/>
        <v>347</v>
      </c>
      <c r="G512">
        <f t="shared" si="4"/>
        <v>273</v>
      </c>
    </row>
    <row r="513" spans="1:16" ht="12.75">
      <c r="A513" s="11">
        <v>170.03</v>
      </c>
      <c r="B513" s="13">
        <v>58</v>
      </c>
      <c r="C513" s="13">
        <v>38</v>
      </c>
      <c r="D513" s="13">
        <v>78</v>
      </c>
      <c r="E513" s="13">
        <v>92</v>
      </c>
      <c r="F513">
        <f t="shared" si="3"/>
        <v>85</v>
      </c>
      <c r="G513">
        <f t="shared" si="4"/>
        <v>86</v>
      </c>
    </row>
    <row r="514" spans="1:16" ht="12.75">
      <c r="A514" s="11">
        <v>170.05</v>
      </c>
      <c r="B514" s="13">
        <v>53</v>
      </c>
      <c r="C514" s="13">
        <v>44</v>
      </c>
      <c r="D514" s="13">
        <v>48</v>
      </c>
      <c r="E514" s="13">
        <v>58</v>
      </c>
      <c r="F514">
        <f t="shared" si="3"/>
        <v>73</v>
      </c>
      <c r="G514">
        <f t="shared" si="4"/>
        <v>54</v>
      </c>
    </row>
    <row r="515" spans="1:16" ht="12.75">
      <c r="A515" s="11">
        <v>170.08</v>
      </c>
      <c r="B515" s="13">
        <v>129</v>
      </c>
      <c r="C515" s="13">
        <v>119</v>
      </c>
      <c r="D515" s="13">
        <v>140</v>
      </c>
      <c r="E515" s="13">
        <v>177</v>
      </c>
      <c r="F515">
        <f t="shared" si="3"/>
        <v>203</v>
      </c>
      <c r="G515">
        <f t="shared" si="4"/>
        <v>162</v>
      </c>
    </row>
    <row r="516" spans="1:16" ht="12.75">
      <c r="A516" s="11">
        <v>170.07</v>
      </c>
      <c r="B516" s="13">
        <v>217</v>
      </c>
      <c r="C516" s="13">
        <v>199</v>
      </c>
      <c r="D516" s="13">
        <v>224</v>
      </c>
      <c r="E516" s="13">
        <v>225</v>
      </c>
      <c r="F516">
        <f t="shared" si="3"/>
        <v>333</v>
      </c>
      <c r="G516">
        <f t="shared" si="4"/>
        <v>225</v>
      </c>
    </row>
    <row r="517" spans="1:16" ht="12.75">
      <c r="A517" s="11">
        <v>181.05</v>
      </c>
      <c r="B517" s="13">
        <v>302</v>
      </c>
      <c r="C517" s="13">
        <v>309</v>
      </c>
      <c r="D517" s="13">
        <v>359</v>
      </c>
      <c r="E517" s="13">
        <v>426</v>
      </c>
      <c r="F517">
        <f t="shared" si="3"/>
        <v>524</v>
      </c>
      <c r="G517">
        <f t="shared" si="4"/>
        <v>399</v>
      </c>
    </row>
    <row r="518" spans="1:16" ht="12.75">
      <c r="A518" s="11">
        <v>181.16</v>
      </c>
      <c r="B518" s="13">
        <v>99</v>
      </c>
      <c r="C518" s="13">
        <v>117</v>
      </c>
      <c r="D518" s="13">
        <v>255</v>
      </c>
      <c r="E518" s="13">
        <v>164</v>
      </c>
      <c r="F518">
        <f t="shared" si="3"/>
        <v>270</v>
      </c>
      <c r="G518">
        <f t="shared" si="4"/>
        <v>200</v>
      </c>
    </row>
    <row r="519" spans="1:16" ht="12.75">
      <c r="A519" s="11">
        <v>181.15</v>
      </c>
      <c r="B519" s="13">
        <v>98</v>
      </c>
      <c r="C519" s="13">
        <v>117</v>
      </c>
      <c r="D519" s="13">
        <v>255</v>
      </c>
      <c r="E519" s="13">
        <v>164</v>
      </c>
      <c r="F519">
        <f t="shared" si="3"/>
        <v>270</v>
      </c>
      <c r="G519">
        <f t="shared" si="4"/>
        <v>200</v>
      </c>
    </row>
    <row r="520" spans="1:16" ht="12.75">
      <c r="A520" s="1">
        <v>185.05</v>
      </c>
      <c r="B520" s="13">
        <v>448</v>
      </c>
      <c r="C520" s="13">
        <v>464</v>
      </c>
      <c r="D520" s="13">
        <v>568</v>
      </c>
      <c r="E520" s="13">
        <v>600</v>
      </c>
      <c r="F520">
        <f t="shared" si="3"/>
        <v>805</v>
      </c>
      <c r="G520">
        <f t="shared" si="4"/>
        <v>587</v>
      </c>
    </row>
    <row r="521" spans="1:16" ht="12.75">
      <c r="F521">
        <f t="shared" ref="F521:G521" si="5">SUM(F420:F520)</f>
        <v>66081</v>
      </c>
      <c r="G521">
        <f t="shared" si="5"/>
        <v>43855</v>
      </c>
    </row>
    <row r="523" spans="1:16" ht="12.75">
      <c r="F523" s="1" t="s">
        <v>615</v>
      </c>
    </row>
    <row r="524" spans="1:16" ht="12.75">
      <c r="A524" s="1" t="s">
        <v>616</v>
      </c>
      <c r="P524" s="1" t="s">
        <v>617</v>
      </c>
    </row>
    <row r="525" spans="1:16" ht="12.75">
      <c r="A525" s="1" t="s">
        <v>618</v>
      </c>
      <c r="B525" s="1">
        <v>1000</v>
      </c>
      <c r="C525" s="1">
        <v>1100</v>
      </c>
      <c r="D525" s="1">
        <v>1200</v>
      </c>
      <c r="E525" s="1">
        <v>1300</v>
      </c>
      <c r="F525" s="1">
        <v>1400</v>
      </c>
      <c r="G525" s="1">
        <v>1500</v>
      </c>
      <c r="H525" s="1">
        <v>1600</v>
      </c>
      <c r="I525" s="1">
        <v>1700</v>
      </c>
      <c r="J525" s="1">
        <v>1800</v>
      </c>
      <c r="K525" s="1">
        <v>1900</v>
      </c>
      <c r="L525" s="1">
        <v>2000</v>
      </c>
      <c r="M525" s="1">
        <v>2100</v>
      </c>
      <c r="N525" s="1">
        <v>2200</v>
      </c>
      <c r="O525" s="1"/>
    </row>
    <row r="526" spans="1:16" ht="12.75">
      <c r="A526" s="1" t="s">
        <v>619</v>
      </c>
      <c r="B526" s="1">
        <v>61.3</v>
      </c>
      <c r="C526">
        <v>65</v>
      </c>
      <c r="D526" s="1">
        <v>68.599999999999994</v>
      </c>
      <c r="E526">
        <v>71.099999999999994</v>
      </c>
      <c r="F526">
        <v>74.8</v>
      </c>
      <c r="G526">
        <v>77.2</v>
      </c>
      <c r="H526">
        <v>80.900000000000006</v>
      </c>
      <c r="I526">
        <v>83.3</v>
      </c>
      <c r="J526">
        <v>87</v>
      </c>
      <c r="K526">
        <v>90.7</v>
      </c>
      <c r="L526">
        <v>94.4</v>
      </c>
      <c r="M526">
        <v>96.8</v>
      </c>
      <c r="N526">
        <v>100.5</v>
      </c>
      <c r="P526" s="1">
        <v>2.6</v>
      </c>
    </row>
    <row r="527" spans="1:16" ht="12.75">
      <c r="A527" s="1" t="s">
        <v>620</v>
      </c>
    </row>
    <row r="528" spans="1:16" ht="12.75">
      <c r="A528" s="1" t="s">
        <v>618</v>
      </c>
      <c r="B528" s="1">
        <v>200</v>
      </c>
      <c r="C528" s="1">
        <v>250</v>
      </c>
      <c r="D528" s="1">
        <v>300</v>
      </c>
      <c r="E528" s="1">
        <v>350</v>
      </c>
      <c r="F528" s="1">
        <v>400</v>
      </c>
      <c r="G528" s="1">
        <v>450</v>
      </c>
      <c r="H528" s="1">
        <v>500</v>
      </c>
      <c r="I528" s="1">
        <v>550</v>
      </c>
      <c r="J528" s="1">
        <v>600</v>
      </c>
      <c r="K528" s="1">
        <v>650</v>
      </c>
      <c r="L528" s="1">
        <v>700</v>
      </c>
      <c r="M528" s="1">
        <v>750</v>
      </c>
      <c r="N528" s="1">
        <v>800</v>
      </c>
    </row>
    <row r="529" spans="1:16" ht="12.75">
      <c r="A529" s="1" t="s">
        <v>619</v>
      </c>
      <c r="B529">
        <v>13.9</v>
      </c>
      <c r="C529">
        <v>14.8</v>
      </c>
      <c r="D529">
        <v>16.7</v>
      </c>
      <c r="E529">
        <v>17.600000000000001</v>
      </c>
      <c r="F529">
        <v>21.3</v>
      </c>
      <c r="G529">
        <v>23.2</v>
      </c>
      <c r="H529">
        <v>25.1</v>
      </c>
      <c r="I529">
        <v>26</v>
      </c>
      <c r="J529">
        <v>27.8</v>
      </c>
      <c r="K529">
        <v>28.8</v>
      </c>
      <c r="L529">
        <v>30.6</v>
      </c>
      <c r="M529">
        <v>32.5</v>
      </c>
      <c r="N529">
        <v>34.299999999999997</v>
      </c>
      <c r="P529">
        <v>2.2000000000000002</v>
      </c>
    </row>
    <row r="531" spans="1:16" ht="12.75">
      <c r="A531" s="1" t="s">
        <v>621</v>
      </c>
      <c r="B531" s="1">
        <v>250</v>
      </c>
    </row>
    <row r="532" spans="1:16" ht="12.75">
      <c r="A532" s="1"/>
    </row>
    <row r="533" spans="1:16" ht="12.75">
      <c r="A533" s="1" t="s">
        <v>622</v>
      </c>
    </row>
    <row r="534" spans="1:16" ht="12.75">
      <c r="A534" s="1" t="s">
        <v>623</v>
      </c>
      <c r="C534">
        <v>2.4311943548387096</v>
      </c>
    </row>
    <row r="535" spans="1:16" ht="12.75">
      <c r="A535" s="1" t="s">
        <v>624</v>
      </c>
      <c r="C535">
        <v>6.836571666666666</v>
      </c>
    </row>
    <row r="536" spans="1:16" ht="12.75">
      <c r="A536" s="1" t="s">
        <v>625</v>
      </c>
      <c r="C536">
        <v>5.5797903225806449</v>
      </c>
    </row>
    <row r="537" spans="1:16" ht="12.75">
      <c r="A537" s="1" t="s">
        <v>626</v>
      </c>
      <c r="C537" s="1">
        <v>1.21</v>
      </c>
    </row>
    <row r="538" spans="1:16" ht="12.75">
      <c r="A538" s="1" t="s">
        <v>627</v>
      </c>
      <c r="C538" s="1">
        <v>1.06</v>
      </c>
    </row>
    <row r="539" spans="1:16" ht="12.75">
      <c r="A539" s="1" t="s">
        <v>628</v>
      </c>
      <c r="C539" s="22">
        <v>1.4916666666670001E-2</v>
      </c>
    </row>
    <row r="540" spans="1:16" ht="12.75">
      <c r="A540" s="1" t="s">
        <v>629</v>
      </c>
      <c r="C540" s="1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204"/>
  <sheetViews>
    <sheetView workbookViewId="0">
      <selection activeCell="Q11" sqref="Q11"/>
    </sheetView>
  </sheetViews>
  <sheetFormatPr defaultColWidth="14.42578125" defaultRowHeight="15.75" customHeight="1"/>
  <sheetData>
    <row r="1" spans="1:18" ht="15.75" customHeight="1">
      <c r="A1" s="7" t="s">
        <v>506</v>
      </c>
      <c r="B1" s="8" t="s">
        <v>507</v>
      </c>
      <c r="C1" s="9">
        <v>42864</v>
      </c>
      <c r="D1" s="9">
        <v>43022</v>
      </c>
      <c r="E1" s="8" t="s">
        <v>508</v>
      </c>
      <c r="F1" s="8" t="s">
        <v>509</v>
      </c>
      <c r="G1" s="8" t="s">
        <v>510</v>
      </c>
      <c r="H1" s="8" t="s">
        <v>511</v>
      </c>
      <c r="J1" s="1"/>
      <c r="K1" s="1"/>
      <c r="M1" s="1" t="s">
        <v>507</v>
      </c>
      <c r="N1" s="10">
        <v>42864</v>
      </c>
      <c r="O1" s="10">
        <v>43022</v>
      </c>
      <c r="P1" s="1" t="s">
        <v>508</v>
      </c>
      <c r="Q1" s="1" t="s">
        <v>512</v>
      </c>
      <c r="R1" s="1" t="s">
        <v>513</v>
      </c>
    </row>
    <row r="2" spans="1:18">
      <c r="A2" s="11">
        <v>9330192</v>
      </c>
      <c r="B2" s="12">
        <v>227</v>
      </c>
      <c r="C2" s="12">
        <v>282</v>
      </c>
      <c r="D2" s="12">
        <v>216</v>
      </c>
      <c r="E2" s="12">
        <v>309</v>
      </c>
      <c r="F2">
        <v>185</v>
      </c>
      <c r="G2">
        <v>412</v>
      </c>
      <c r="H2">
        <v>271</v>
      </c>
      <c r="I2" s="1"/>
      <c r="J2" s="1"/>
      <c r="K2" s="1"/>
      <c r="M2" s="13">
        <v>225</v>
      </c>
      <c r="N2" s="13">
        <v>268</v>
      </c>
      <c r="O2" s="13">
        <v>245</v>
      </c>
      <c r="P2" s="13">
        <v>300</v>
      </c>
      <c r="Q2">
        <f>ROUND(N2+O2*0.6,0)</f>
        <v>415</v>
      </c>
      <c r="R2">
        <f>ROUND(O2*0.4+P2*0.6,0)</f>
        <v>278</v>
      </c>
    </row>
    <row r="3" spans="1:18">
      <c r="A3" s="11">
        <v>9330186.0099999998</v>
      </c>
      <c r="B3" s="12">
        <v>472</v>
      </c>
      <c r="C3" s="12">
        <v>378</v>
      </c>
      <c r="D3" s="12">
        <v>329</v>
      </c>
      <c r="E3" s="12">
        <v>592</v>
      </c>
      <c r="F3">
        <v>355</v>
      </c>
      <c r="G3">
        <v>575</v>
      </c>
      <c r="H3">
        <v>487</v>
      </c>
      <c r="I3" s="1"/>
      <c r="J3" s="1"/>
      <c r="K3" s="1"/>
      <c r="M3" s="13">
        <v>528</v>
      </c>
      <c r="N3" s="13">
        <v>501</v>
      </c>
      <c r="O3" s="13">
        <v>513</v>
      </c>
      <c r="P3" s="13">
        <v>573</v>
      </c>
      <c r="Q3">
        <f t="shared" ref="Q3:Q66" si="0">ROUND(N3+O3*0.6,0)</f>
        <v>809</v>
      </c>
      <c r="R3">
        <f t="shared" ref="R3:R66" si="1">ROUND(O3*0.4+P3*0.6,0)</f>
        <v>549</v>
      </c>
    </row>
    <row r="4" spans="1:18">
      <c r="A4" s="11">
        <v>186.02</v>
      </c>
      <c r="B4" s="12">
        <v>566</v>
      </c>
      <c r="C4" s="12">
        <v>268</v>
      </c>
      <c r="D4" s="12">
        <v>23</v>
      </c>
      <c r="E4" s="12">
        <v>601</v>
      </c>
      <c r="F4">
        <v>361</v>
      </c>
      <c r="G4">
        <v>282</v>
      </c>
      <c r="H4">
        <v>370</v>
      </c>
      <c r="I4" s="1"/>
      <c r="J4" s="1"/>
      <c r="K4" s="1"/>
      <c r="M4" s="13">
        <v>411</v>
      </c>
      <c r="N4" s="13">
        <v>406</v>
      </c>
      <c r="O4" s="13">
        <v>412</v>
      </c>
      <c r="P4" s="13">
        <v>453</v>
      </c>
      <c r="Q4">
        <f t="shared" si="0"/>
        <v>653</v>
      </c>
      <c r="R4">
        <f t="shared" si="1"/>
        <v>437</v>
      </c>
    </row>
    <row r="5" spans="1:18">
      <c r="A5" s="11">
        <v>186.05</v>
      </c>
      <c r="B5" s="12">
        <v>507</v>
      </c>
      <c r="C5" s="12">
        <v>558</v>
      </c>
      <c r="D5" s="12">
        <v>809</v>
      </c>
      <c r="E5" s="12">
        <v>799</v>
      </c>
      <c r="F5">
        <v>479</v>
      </c>
      <c r="G5">
        <v>1043</v>
      </c>
      <c r="H5">
        <v>803</v>
      </c>
      <c r="I5" s="1"/>
      <c r="J5" s="1"/>
      <c r="K5" s="1"/>
      <c r="M5" s="13">
        <v>571</v>
      </c>
      <c r="N5" s="13">
        <v>647</v>
      </c>
      <c r="O5" s="13">
        <v>677</v>
      </c>
      <c r="P5" s="13">
        <v>665</v>
      </c>
      <c r="Q5">
        <f t="shared" si="0"/>
        <v>1053</v>
      </c>
      <c r="R5">
        <f t="shared" si="1"/>
        <v>670</v>
      </c>
    </row>
    <row r="6" spans="1:18">
      <c r="A6" s="11">
        <v>186.06</v>
      </c>
      <c r="B6" s="12">
        <v>91</v>
      </c>
      <c r="C6" s="12">
        <v>200</v>
      </c>
      <c r="D6" s="12">
        <v>465</v>
      </c>
      <c r="E6" s="12">
        <v>378</v>
      </c>
      <c r="F6">
        <v>227</v>
      </c>
      <c r="G6">
        <v>479</v>
      </c>
      <c r="H6">
        <v>413</v>
      </c>
      <c r="I6" s="1"/>
      <c r="J6" s="1"/>
      <c r="K6" s="1"/>
      <c r="M6" s="13">
        <v>352</v>
      </c>
      <c r="N6" s="13">
        <v>340</v>
      </c>
      <c r="O6" s="13">
        <v>344</v>
      </c>
      <c r="P6" s="13">
        <v>299</v>
      </c>
      <c r="Q6">
        <f t="shared" si="0"/>
        <v>546</v>
      </c>
      <c r="R6">
        <f t="shared" si="1"/>
        <v>317</v>
      </c>
    </row>
    <row r="7" spans="1:18">
      <c r="A7" s="11">
        <v>185.09</v>
      </c>
      <c r="B7" s="12">
        <v>546</v>
      </c>
      <c r="C7" s="12">
        <v>295</v>
      </c>
      <c r="D7" s="12">
        <v>383</v>
      </c>
      <c r="E7" s="12">
        <v>366</v>
      </c>
      <c r="F7">
        <v>220</v>
      </c>
      <c r="G7">
        <v>525</v>
      </c>
      <c r="H7">
        <v>373</v>
      </c>
      <c r="I7" s="1"/>
      <c r="J7" s="1"/>
      <c r="K7" s="1"/>
      <c r="M7" s="13">
        <v>475</v>
      </c>
      <c r="N7" s="13">
        <v>373</v>
      </c>
      <c r="O7" s="13">
        <v>381</v>
      </c>
      <c r="P7" s="13">
        <v>339</v>
      </c>
      <c r="Q7">
        <f t="shared" si="0"/>
        <v>602</v>
      </c>
      <c r="R7">
        <f t="shared" si="1"/>
        <v>356</v>
      </c>
    </row>
    <row r="8" spans="1:18">
      <c r="A8" s="11">
        <v>185.11</v>
      </c>
      <c r="B8" s="12">
        <v>498</v>
      </c>
      <c r="C8" s="12">
        <v>679</v>
      </c>
      <c r="D8" s="12">
        <v>622</v>
      </c>
      <c r="E8" s="12">
        <v>574</v>
      </c>
      <c r="F8">
        <v>344</v>
      </c>
      <c r="G8">
        <v>1052</v>
      </c>
      <c r="H8">
        <v>593</v>
      </c>
      <c r="I8" s="1"/>
      <c r="J8" s="1"/>
      <c r="K8" s="1"/>
      <c r="M8" s="13">
        <v>693</v>
      </c>
      <c r="N8" s="13">
        <v>718</v>
      </c>
      <c r="O8" s="13">
        <v>642</v>
      </c>
      <c r="P8" s="13">
        <v>554</v>
      </c>
      <c r="Q8">
        <f t="shared" si="0"/>
        <v>1103</v>
      </c>
      <c r="R8">
        <f t="shared" si="1"/>
        <v>589</v>
      </c>
    </row>
    <row r="9" spans="1:18">
      <c r="A9" s="11">
        <v>185.1</v>
      </c>
      <c r="B9" s="12">
        <v>52</v>
      </c>
      <c r="C9" s="12">
        <v>195</v>
      </c>
      <c r="D9" s="12">
        <v>272</v>
      </c>
      <c r="E9" s="12">
        <v>549</v>
      </c>
      <c r="F9">
        <v>329</v>
      </c>
      <c r="G9">
        <v>358</v>
      </c>
      <c r="H9">
        <v>438</v>
      </c>
      <c r="I9" s="1"/>
      <c r="J9" s="1"/>
      <c r="K9" s="1"/>
      <c r="M9" s="13">
        <v>554</v>
      </c>
      <c r="N9" s="13">
        <v>556</v>
      </c>
      <c r="O9" s="13">
        <v>482</v>
      </c>
      <c r="P9" s="13">
        <v>473</v>
      </c>
      <c r="Q9">
        <f t="shared" si="0"/>
        <v>845</v>
      </c>
      <c r="R9">
        <f t="shared" si="1"/>
        <v>477</v>
      </c>
    </row>
    <row r="10" spans="1:18">
      <c r="A10" s="11">
        <v>185.21</v>
      </c>
      <c r="B10" s="12">
        <v>441</v>
      </c>
      <c r="C10" s="12">
        <v>403</v>
      </c>
      <c r="D10" s="12">
        <v>245</v>
      </c>
      <c r="E10" s="12">
        <v>248</v>
      </c>
      <c r="F10">
        <v>149</v>
      </c>
      <c r="G10">
        <v>550</v>
      </c>
      <c r="H10">
        <v>247</v>
      </c>
      <c r="I10" s="1"/>
      <c r="J10" s="1"/>
      <c r="K10" s="1"/>
      <c r="M10" s="13">
        <v>270</v>
      </c>
      <c r="N10" s="13">
        <v>287</v>
      </c>
      <c r="O10" s="13">
        <v>299</v>
      </c>
      <c r="P10" s="13">
        <v>264</v>
      </c>
      <c r="Q10">
        <f t="shared" si="0"/>
        <v>466</v>
      </c>
      <c r="R10">
        <f t="shared" si="1"/>
        <v>278</v>
      </c>
    </row>
    <row r="11" spans="1:18">
      <c r="A11" s="11">
        <v>185.22</v>
      </c>
      <c r="B11" s="12">
        <v>383</v>
      </c>
      <c r="C11" s="12">
        <v>310</v>
      </c>
      <c r="D11" s="12">
        <v>288</v>
      </c>
      <c r="E11" s="12">
        <v>324</v>
      </c>
      <c r="F11">
        <v>194</v>
      </c>
      <c r="G11">
        <v>483</v>
      </c>
      <c r="H11">
        <v>309</v>
      </c>
      <c r="J11" s="1"/>
      <c r="K11" s="1"/>
      <c r="M11" s="13">
        <v>375</v>
      </c>
      <c r="N11" s="13">
        <v>320</v>
      </c>
      <c r="O11" s="13">
        <v>290</v>
      </c>
      <c r="P11" s="13">
        <v>310</v>
      </c>
      <c r="Q11">
        <f t="shared" si="0"/>
        <v>494</v>
      </c>
      <c r="R11">
        <f t="shared" si="1"/>
        <v>302</v>
      </c>
    </row>
    <row r="12" spans="1:18">
      <c r="A12" s="11">
        <v>185.17</v>
      </c>
      <c r="B12" s="12">
        <v>199</v>
      </c>
      <c r="C12" s="12">
        <v>138</v>
      </c>
      <c r="D12" s="12">
        <v>172</v>
      </c>
      <c r="E12" s="12">
        <v>258</v>
      </c>
      <c r="F12">
        <v>155</v>
      </c>
      <c r="G12">
        <v>241</v>
      </c>
      <c r="H12">
        <v>224</v>
      </c>
      <c r="J12" s="1"/>
      <c r="K12" s="1"/>
      <c r="M12" s="13">
        <v>218</v>
      </c>
      <c r="N12" s="13">
        <v>202</v>
      </c>
      <c r="O12" s="13">
        <v>232</v>
      </c>
      <c r="P12" s="13">
        <v>291</v>
      </c>
      <c r="Q12">
        <f t="shared" si="0"/>
        <v>341</v>
      </c>
      <c r="R12">
        <f t="shared" si="1"/>
        <v>267</v>
      </c>
    </row>
    <row r="13" spans="1:18">
      <c r="A13" s="11">
        <v>185.18</v>
      </c>
      <c r="B13" s="12">
        <v>237</v>
      </c>
      <c r="C13" s="12">
        <v>313</v>
      </c>
      <c r="D13" s="12">
        <v>357</v>
      </c>
      <c r="E13" s="12">
        <v>383</v>
      </c>
      <c r="F13">
        <v>230</v>
      </c>
      <c r="G13">
        <v>527</v>
      </c>
      <c r="H13">
        <v>373</v>
      </c>
      <c r="J13" s="1"/>
      <c r="K13" s="1"/>
      <c r="M13" s="13">
        <v>334</v>
      </c>
      <c r="N13" s="13">
        <v>339</v>
      </c>
      <c r="O13" s="13">
        <v>359</v>
      </c>
      <c r="P13" s="13">
        <v>403</v>
      </c>
      <c r="Q13">
        <f t="shared" si="0"/>
        <v>554</v>
      </c>
      <c r="R13">
        <f t="shared" si="1"/>
        <v>385</v>
      </c>
    </row>
    <row r="14" spans="1:18">
      <c r="A14" s="11">
        <v>185.19</v>
      </c>
      <c r="B14" s="12">
        <v>475</v>
      </c>
      <c r="C14" s="12">
        <v>442</v>
      </c>
      <c r="D14" s="12">
        <v>466</v>
      </c>
      <c r="E14" s="12">
        <v>595</v>
      </c>
      <c r="F14">
        <v>357</v>
      </c>
      <c r="G14">
        <v>722</v>
      </c>
      <c r="H14">
        <v>543</v>
      </c>
      <c r="J14" s="1"/>
      <c r="K14" s="1"/>
      <c r="M14" s="13">
        <v>635</v>
      </c>
      <c r="N14" s="13">
        <v>542</v>
      </c>
      <c r="O14" s="13">
        <v>554</v>
      </c>
      <c r="P14" s="13">
        <v>541</v>
      </c>
      <c r="Q14">
        <f t="shared" si="0"/>
        <v>874</v>
      </c>
      <c r="R14">
        <f t="shared" si="1"/>
        <v>546</v>
      </c>
    </row>
    <row r="15" spans="1:18">
      <c r="A15" s="11">
        <v>185.2</v>
      </c>
      <c r="B15" s="12">
        <v>421</v>
      </c>
      <c r="C15" s="12">
        <v>627</v>
      </c>
      <c r="D15" s="12">
        <v>493</v>
      </c>
      <c r="E15" s="12">
        <v>677</v>
      </c>
      <c r="F15">
        <v>406</v>
      </c>
      <c r="G15">
        <v>923</v>
      </c>
      <c r="H15">
        <v>603</v>
      </c>
      <c r="K15" s="1"/>
      <c r="M15" s="13">
        <v>552</v>
      </c>
      <c r="N15" s="13">
        <v>526</v>
      </c>
      <c r="O15" s="13">
        <v>495</v>
      </c>
      <c r="P15" s="13">
        <v>487</v>
      </c>
      <c r="Q15">
        <f t="shared" si="0"/>
        <v>823</v>
      </c>
      <c r="R15">
        <f t="shared" si="1"/>
        <v>490</v>
      </c>
    </row>
    <row r="16" spans="1:18">
      <c r="A16" s="11">
        <v>185.08</v>
      </c>
      <c r="B16" s="12">
        <v>71</v>
      </c>
      <c r="C16" s="12">
        <v>98</v>
      </c>
      <c r="D16" s="12">
        <v>85</v>
      </c>
      <c r="E16" s="12">
        <v>131</v>
      </c>
      <c r="F16">
        <v>79</v>
      </c>
      <c r="G16">
        <v>149</v>
      </c>
      <c r="H16">
        <v>113</v>
      </c>
      <c r="M16" s="13">
        <v>70</v>
      </c>
      <c r="N16" s="13">
        <v>86</v>
      </c>
      <c r="O16" s="13">
        <v>101</v>
      </c>
      <c r="P16" s="13">
        <v>140</v>
      </c>
      <c r="Q16">
        <f t="shared" si="0"/>
        <v>147</v>
      </c>
      <c r="R16">
        <f t="shared" si="1"/>
        <v>124</v>
      </c>
    </row>
    <row r="17" spans="1:18">
      <c r="A17" s="11">
        <v>185.07</v>
      </c>
      <c r="B17" s="12">
        <v>689</v>
      </c>
      <c r="C17" s="12">
        <v>523</v>
      </c>
      <c r="D17" s="12">
        <v>897</v>
      </c>
      <c r="E17" s="12">
        <v>920</v>
      </c>
      <c r="F17">
        <v>552</v>
      </c>
      <c r="G17">
        <v>1061</v>
      </c>
      <c r="H17">
        <v>911</v>
      </c>
      <c r="M17" s="13">
        <v>789</v>
      </c>
      <c r="N17" s="13">
        <v>832</v>
      </c>
      <c r="O17" s="13">
        <v>911</v>
      </c>
      <c r="P17" s="13">
        <v>925</v>
      </c>
      <c r="Q17">
        <f t="shared" si="0"/>
        <v>1379</v>
      </c>
      <c r="R17">
        <f t="shared" si="1"/>
        <v>919</v>
      </c>
    </row>
    <row r="18" spans="1:18">
      <c r="A18" s="11">
        <v>185.12</v>
      </c>
      <c r="B18" s="12">
        <v>279</v>
      </c>
      <c r="C18" s="12">
        <v>447</v>
      </c>
      <c r="D18" s="12">
        <v>619</v>
      </c>
      <c r="E18" s="12">
        <v>468</v>
      </c>
      <c r="F18">
        <v>281</v>
      </c>
      <c r="G18">
        <v>818</v>
      </c>
      <c r="H18">
        <v>529</v>
      </c>
      <c r="M18" s="13">
        <v>450</v>
      </c>
      <c r="N18" s="13">
        <v>520</v>
      </c>
      <c r="O18" s="13">
        <v>575</v>
      </c>
      <c r="P18" s="13">
        <v>504</v>
      </c>
      <c r="Q18">
        <f t="shared" si="0"/>
        <v>865</v>
      </c>
      <c r="R18">
        <f t="shared" si="1"/>
        <v>532</v>
      </c>
    </row>
    <row r="19" spans="1:18">
      <c r="A19" s="11">
        <v>185.16</v>
      </c>
      <c r="B19" s="12">
        <v>385</v>
      </c>
      <c r="C19" s="12">
        <v>70</v>
      </c>
      <c r="D19" s="12">
        <v>357</v>
      </c>
      <c r="E19" s="12">
        <v>421</v>
      </c>
      <c r="F19">
        <v>253</v>
      </c>
      <c r="G19">
        <v>284</v>
      </c>
      <c r="H19">
        <v>396</v>
      </c>
      <c r="M19" s="13">
        <v>416</v>
      </c>
      <c r="N19" s="13">
        <v>410</v>
      </c>
      <c r="O19" s="13">
        <v>423</v>
      </c>
      <c r="P19" s="13">
        <v>415</v>
      </c>
      <c r="Q19">
        <f t="shared" si="0"/>
        <v>664</v>
      </c>
      <c r="R19">
        <f t="shared" si="1"/>
        <v>418</v>
      </c>
    </row>
    <row r="20" spans="1:18">
      <c r="A20" s="11">
        <v>185.15</v>
      </c>
      <c r="B20" s="12">
        <v>550</v>
      </c>
      <c r="C20" s="12">
        <v>411</v>
      </c>
      <c r="D20" s="12">
        <v>395</v>
      </c>
      <c r="E20" s="12">
        <v>439</v>
      </c>
      <c r="F20">
        <v>263</v>
      </c>
      <c r="G20">
        <v>648</v>
      </c>
      <c r="H20">
        <v>421</v>
      </c>
      <c r="M20" s="13">
        <v>548</v>
      </c>
      <c r="N20" s="13">
        <v>461</v>
      </c>
      <c r="O20" s="13">
        <v>411</v>
      </c>
      <c r="P20" s="13">
        <v>388</v>
      </c>
      <c r="Q20">
        <f t="shared" si="0"/>
        <v>708</v>
      </c>
      <c r="R20">
        <f t="shared" si="1"/>
        <v>397</v>
      </c>
    </row>
    <row r="21" spans="1:18">
      <c r="A21" s="11">
        <v>186.07</v>
      </c>
      <c r="B21" s="12">
        <v>379</v>
      </c>
      <c r="C21" s="12">
        <v>384</v>
      </c>
      <c r="D21" s="12">
        <v>530</v>
      </c>
      <c r="E21" s="12">
        <v>521</v>
      </c>
      <c r="F21">
        <v>313</v>
      </c>
      <c r="G21">
        <v>702</v>
      </c>
      <c r="H21">
        <v>525</v>
      </c>
      <c r="M21" s="13">
        <v>494</v>
      </c>
      <c r="N21" s="13">
        <v>501</v>
      </c>
      <c r="O21" s="13">
        <v>507</v>
      </c>
      <c r="P21" s="13">
        <v>468</v>
      </c>
      <c r="Q21">
        <f t="shared" si="0"/>
        <v>805</v>
      </c>
      <c r="R21">
        <f t="shared" si="1"/>
        <v>484</v>
      </c>
    </row>
    <row r="22" spans="1:18">
      <c r="A22" s="11">
        <v>186.08</v>
      </c>
      <c r="B22" s="12">
        <v>634</v>
      </c>
      <c r="C22" s="12">
        <v>489</v>
      </c>
      <c r="D22" s="12">
        <v>489</v>
      </c>
      <c r="E22" s="12">
        <v>659</v>
      </c>
      <c r="F22">
        <v>395</v>
      </c>
      <c r="G22">
        <v>782</v>
      </c>
      <c r="H22">
        <v>591</v>
      </c>
      <c r="M22" s="13">
        <v>550</v>
      </c>
      <c r="N22" s="13">
        <v>557</v>
      </c>
      <c r="O22" s="13">
        <v>565</v>
      </c>
      <c r="P22" s="13">
        <v>581</v>
      </c>
      <c r="Q22">
        <f t="shared" si="0"/>
        <v>896</v>
      </c>
      <c r="R22">
        <f t="shared" si="1"/>
        <v>575</v>
      </c>
    </row>
    <row r="23" spans="1:18">
      <c r="A23" s="11">
        <v>191.03</v>
      </c>
      <c r="B23" s="12">
        <v>449</v>
      </c>
      <c r="C23" s="12">
        <v>345</v>
      </c>
      <c r="D23" s="12">
        <v>351</v>
      </c>
      <c r="E23" s="12">
        <v>359</v>
      </c>
      <c r="F23">
        <v>215</v>
      </c>
      <c r="G23">
        <v>556</v>
      </c>
      <c r="H23">
        <v>355</v>
      </c>
      <c r="M23" s="13">
        <v>444</v>
      </c>
      <c r="N23" s="13">
        <v>418</v>
      </c>
      <c r="O23" s="13">
        <v>411</v>
      </c>
      <c r="P23" s="13">
        <v>449</v>
      </c>
      <c r="Q23">
        <f t="shared" si="0"/>
        <v>665</v>
      </c>
      <c r="R23">
        <f t="shared" si="1"/>
        <v>434</v>
      </c>
    </row>
    <row r="24" spans="1:18">
      <c r="A24" s="11">
        <v>191.04</v>
      </c>
      <c r="B24" s="12">
        <v>372</v>
      </c>
      <c r="C24" s="12">
        <v>282</v>
      </c>
      <c r="D24" s="12">
        <v>315</v>
      </c>
      <c r="E24" s="12">
        <v>380</v>
      </c>
      <c r="F24">
        <v>228</v>
      </c>
      <c r="G24">
        <v>471</v>
      </c>
      <c r="H24">
        <v>354</v>
      </c>
      <c r="M24" s="13">
        <v>432</v>
      </c>
      <c r="N24" s="13">
        <v>378</v>
      </c>
      <c r="O24" s="13">
        <v>394</v>
      </c>
      <c r="P24" s="13">
        <v>412</v>
      </c>
      <c r="Q24">
        <f t="shared" si="0"/>
        <v>614</v>
      </c>
      <c r="R24">
        <f t="shared" si="1"/>
        <v>405</v>
      </c>
    </row>
    <row r="25" spans="1:18">
      <c r="A25" s="11">
        <v>191.05</v>
      </c>
      <c r="B25" s="12">
        <v>207</v>
      </c>
      <c r="C25" s="12">
        <v>148</v>
      </c>
      <c r="D25" s="12">
        <v>157</v>
      </c>
      <c r="E25" s="12">
        <v>77</v>
      </c>
      <c r="F25">
        <v>46</v>
      </c>
      <c r="G25">
        <v>242</v>
      </c>
      <c r="H25">
        <v>109</v>
      </c>
      <c r="M25" s="13">
        <v>232</v>
      </c>
      <c r="N25" s="13">
        <v>233</v>
      </c>
      <c r="O25" s="13">
        <v>279</v>
      </c>
      <c r="P25" s="13">
        <v>305</v>
      </c>
      <c r="Q25">
        <f t="shared" si="0"/>
        <v>400</v>
      </c>
      <c r="R25">
        <f t="shared" si="1"/>
        <v>295</v>
      </c>
    </row>
    <row r="26" spans="1:18">
      <c r="A26" s="11">
        <v>191.06</v>
      </c>
      <c r="B26" s="12">
        <v>168</v>
      </c>
      <c r="C26" s="12">
        <v>47</v>
      </c>
      <c r="D26" s="12">
        <v>37</v>
      </c>
      <c r="E26" s="12">
        <v>101</v>
      </c>
      <c r="F26">
        <v>61</v>
      </c>
      <c r="G26">
        <v>69</v>
      </c>
      <c r="H26">
        <v>76</v>
      </c>
      <c r="M26" s="13">
        <v>174</v>
      </c>
      <c r="N26" s="13">
        <v>114</v>
      </c>
      <c r="O26" s="13">
        <v>127</v>
      </c>
      <c r="P26" s="13">
        <v>154</v>
      </c>
      <c r="Q26">
        <f t="shared" si="0"/>
        <v>190</v>
      </c>
      <c r="R26">
        <f t="shared" si="1"/>
        <v>143</v>
      </c>
    </row>
    <row r="27" spans="1:18">
      <c r="A27" s="11">
        <v>191.07</v>
      </c>
      <c r="B27" s="12">
        <v>322</v>
      </c>
      <c r="C27" s="12">
        <v>90</v>
      </c>
      <c r="D27" s="12">
        <v>101</v>
      </c>
      <c r="E27" s="12">
        <v>210</v>
      </c>
      <c r="F27">
        <v>126</v>
      </c>
      <c r="G27">
        <v>151</v>
      </c>
      <c r="H27">
        <v>166</v>
      </c>
      <c r="M27" s="13">
        <v>306</v>
      </c>
      <c r="N27" s="13">
        <v>183</v>
      </c>
      <c r="O27" s="13">
        <v>213</v>
      </c>
      <c r="P27" s="13">
        <v>267</v>
      </c>
      <c r="Q27">
        <f t="shared" si="0"/>
        <v>311</v>
      </c>
      <c r="R27">
        <f t="shared" si="1"/>
        <v>245</v>
      </c>
    </row>
    <row r="28" spans="1:18">
      <c r="A28" s="11">
        <v>190.03</v>
      </c>
      <c r="B28" s="12">
        <v>584</v>
      </c>
      <c r="C28" s="12">
        <v>381</v>
      </c>
      <c r="D28" s="12">
        <v>410</v>
      </c>
      <c r="E28" s="12">
        <v>617</v>
      </c>
      <c r="F28">
        <v>370</v>
      </c>
      <c r="G28">
        <v>627</v>
      </c>
      <c r="H28">
        <v>534</v>
      </c>
      <c r="M28" s="13">
        <v>520</v>
      </c>
      <c r="N28" s="13">
        <v>482</v>
      </c>
      <c r="O28" s="13">
        <v>535</v>
      </c>
      <c r="P28" s="13">
        <v>617</v>
      </c>
      <c r="Q28">
        <f t="shared" si="0"/>
        <v>803</v>
      </c>
      <c r="R28">
        <f t="shared" si="1"/>
        <v>584</v>
      </c>
    </row>
    <row r="29" spans="1:18">
      <c r="A29" s="11">
        <v>190.04</v>
      </c>
      <c r="B29" s="12">
        <v>378</v>
      </c>
      <c r="C29" s="12">
        <v>280</v>
      </c>
      <c r="D29" s="12">
        <v>502</v>
      </c>
      <c r="E29" s="12">
        <v>535</v>
      </c>
      <c r="F29">
        <v>321</v>
      </c>
      <c r="G29">
        <v>581</v>
      </c>
      <c r="H29">
        <v>522</v>
      </c>
      <c r="M29" s="13">
        <v>376</v>
      </c>
      <c r="N29" s="13">
        <v>436</v>
      </c>
      <c r="O29" s="13">
        <v>524</v>
      </c>
      <c r="P29" s="13">
        <v>553</v>
      </c>
      <c r="Q29">
        <f t="shared" si="0"/>
        <v>750</v>
      </c>
      <c r="R29">
        <f t="shared" si="1"/>
        <v>541</v>
      </c>
    </row>
    <row r="30" spans="1:18">
      <c r="A30" s="11">
        <v>190.05</v>
      </c>
      <c r="B30" s="12">
        <v>128</v>
      </c>
      <c r="C30" s="12">
        <v>111</v>
      </c>
      <c r="D30" s="12">
        <v>103</v>
      </c>
      <c r="E30" s="12">
        <v>157</v>
      </c>
      <c r="F30">
        <v>94</v>
      </c>
      <c r="G30">
        <v>173</v>
      </c>
      <c r="H30">
        <v>135</v>
      </c>
      <c r="M30" s="13">
        <v>127</v>
      </c>
      <c r="N30" s="13">
        <v>125</v>
      </c>
      <c r="O30" s="13">
        <v>128</v>
      </c>
      <c r="P30" s="13">
        <v>147</v>
      </c>
      <c r="Q30">
        <f t="shared" si="0"/>
        <v>202</v>
      </c>
      <c r="R30">
        <f t="shared" si="1"/>
        <v>139</v>
      </c>
    </row>
    <row r="31" spans="1:18">
      <c r="A31" s="11">
        <v>190.01</v>
      </c>
      <c r="B31" s="12">
        <v>605</v>
      </c>
      <c r="C31" s="12">
        <v>386</v>
      </c>
      <c r="D31" s="12">
        <v>169</v>
      </c>
      <c r="E31" s="12">
        <v>464</v>
      </c>
      <c r="F31">
        <v>278</v>
      </c>
      <c r="G31">
        <v>487</v>
      </c>
      <c r="H31">
        <v>346</v>
      </c>
      <c r="M31" s="13">
        <v>600</v>
      </c>
      <c r="N31" s="13">
        <v>512</v>
      </c>
      <c r="O31" s="13">
        <v>503</v>
      </c>
      <c r="P31" s="13">
        <v>565</v>
      </c>
      <c r="Q31">
        <f t="shared" si="0"/>
        <v>814</v>
      </c>
      <c r="R31">
        <f t="shared" si="1"/>
        <v>540</v>
      </c>
    </row>
    <row r="32" spans="1:18">
      <c r="A32" s="11">
        <v>189.06</v>
      </c>
      <c r="B32" s="12">
        <v>126</v>
      </c>
      <c r="C32" s="12">
        <v>216</v>
      </c>
      <c r="D32" s="12">
        <v>208</v>
      </c>
      <c r="E32" s="12">
        <v>202</v>
      </c>
      <c r="F32">
        <v>121</v>
      </c>
      <c r="G32">
        <v>341</v>
      </c>
      <c r="H32">
        <v>204</v>
      </c>
      <c r="M32" s="13">
        <v>193</v>
      </c>
      <c r="N32" s="13">
        <v>215</v>
      </c>
      <c r="O32" s="13">
        <v>222</v>
      </c>
      <c r="P32" s="13">
        <v>248</v>
      </c>
      <c r="Q32">
        <f t="shared" si="0"/>
        <v>348</v>
      </c>
      <c r="R32">
        <f t="shared" si="1"/>
        <v>238</v>
      </c>
    </row>
    <row r="33" spans="1:18">
      <c r="A33" s="11">
        <v>187.04</v>
      </c>
      <c r="B33" s="12">
        <v>110</v>
      </c>
      <c r="C33" s="12">
        <v>113</v>
      </c>
      <c r="D33" s="12">
        <v>120</v>
      </c>
      <c r="E33" s="12">
        <v>108</v>
      </c>
      <c r="F33">
        <v>65</v>
      </c>
      <c r="G33">
        <v>185</v>
      </c>
      <c r="H33">
        <v>113</v>
      </c>
      <c r="M33" s="13">
        <v>109</v>
      </c>
      <c r="N33" s="13">
        <v>113</v>
      </c>
      <c r="O33" s="13">
        <v>121</v>
      </c>
      <c r="P33" s="13">
        <v>108</v>
      </c>
      <c r="Q33">
        <f t="shared" si="0"/>
        <v>186</v>
      </c>
      <c r="R33">
        <f t="shared" si="1"/>
        <v>113</v>
      </c>
    </row>
    <row r="34" spans="1:18">
      <c r="A34" s="11">
        <v>187.05</v>
      </c>
      <c r="B34" s="12">
        <v>633</v>
      </c>
      <c r="C34" s="12">
        <v>526</v>
      </c>
      <c r="D34" s="12">
        <v>394</v>
      </c>
      <c r="E34" s="12">
        <v>672</v>
      </c>
      <c r="F34">
        <v>403</v>
      </c>
      <c r="G34">
        <v>762</v>
      </c>
      <c r="H34">
        <v>561</v>
      </c>
      <c r="I34">
        <f>H34*0.75</f>
        <v>420.75</v>
      </c>
      <c r="M34" s="13">
        <v>698</v>
      </c>
      <c r="N34" s="13">
        <v>612</v>
      </c>
      <c r="O34" s="13">
        <v>582</v>
      </c>
      <c r="P34" s="13">
        <v>573</v>
      </c>
      <c r="Q34">
        <f t="shared" si="0"/>
        <v>961</v>
      </c>
      <c r="R34">
        <f t="shared" si="1"/>
        <v>577</v>
      </c>
    </row>
    <row r="35" spans="1:18">
      <c r="A35" s="11">
        <v>184.02</v>
      </c>
      <c r="B35" s="12">
        <v>676</v>
      </c>
      <c r="C35" s="12">
        <v>691</v>
      </c>
      <c r="D35" s="12">
        <v>395</v>
      </c>
      <c r="E35" s="12">
        <v>515</v>
      </c>
      <c r="F35">
        <v>309</v>
      </c>
      <c r="G35">
        <v>928</v>
      </c>
      <c r="H35">
        <v>467</v>
      </c>
      <c r="M35" s="13">
        <v>565</v>
      </c>
      <c r="N35" s="13">
        <v>570</v>
      </c>
      <c r="O35" s="13">
        <v>499</v>
      </c>
      <c r="P35" s="13">
        <v>535</v>
      </c>
      <c r="Q35">
        <f t="shared" si="0"/>
        <v>869</v>
      </c>
      <c r="R35">
        <f t="shared" si="1"/>
        <v>521</v>
      </c>
    </row>
    <row r="36" spans="1:18" ht="15">
      <c r="A36" s="11">
        <v>184.15</v>
      </c>
      <c r="B36" s="12">
        <v>142</v>
      </c>
      <c r="C36" s="12">
        <v>122</v>
      </c>
      <c r="D36" s="12">
        <v>191</v>
      </c>
      <c r="E36" s="12">
        <v>334</v>
      </c>
      <c r="F36">
        <v>200</v>
      </c>
      <c r="G36">
        <v>237</v>
      </c>
      <c r="H36">
        <v>276</v>
      </c>
      <c r="M36" s="13">
        <v>186</v>
      </c>
      <c r="N36" s="13">
        <v>192</v>
      </c>
      <c r="O36" s="13">
        <v>259</v>
      </c>
      <c r="P36" s="13">
        <v>336</v>
      </c>
      <c r="Q36">
        <f t="shared" si="0"/>
        <v>347</v>
      </c>
      <c r="R36">
        <f t="shared" si="1"/>
        <v>305</v>
      </c>
    </row>
    <row r="37" spans="1:18" ht="15">
      <c r="A37" s="11">
        <v>184.16</v>
      </c>
      <c r="B37" s="12">
        <v>419</v>
      </c>
      <c r="C37" s="12">
        <v>457</v>
      </c>
      <c r="D37" s="12">
        <v>322</v>
      </c>
      <c r="E37" s="12">
        <v>205</v>
      </c>
      <c r="F37">
        <v>123</v>
      </c>
      <c r="G37">
        <v>650</v>
      </c>
      <c r="H37">
        <v>252</v>
      </c>
      <c r="M37" s="13">
        <v>360</v>
      </c>
      <c r="N37" s="13">
        <v>399</v>
      </c>
      <c r="O37" s="13">
        <v>447</v>
      </c>
      <c r="P37" s="13">
        <v>463</v>
      </c>
      <c r="Q37">
        <f t="shared" si="0"/>
        <v>667</v>
      </c>
      <c r="R37">
        <f t="shared" si="1"/>
        <v>457</v>
      </c>
    </row>
    <row r="38" spans="1:18" ht="15">
      <c r="A38" s="11">
        <v>184.07</v>
      </c>
      <c r="B38" s="12">
        <v>354</v>
      </c>
      <c r="C38" s="12">
        <v>246</v>
      </c>
      <c r="D38" s="12">
        <v>26</v>
      </c>
      <c r="E38" s="12">
        <v>210</v>
      </c>
      <c r="F38">
        <v>126</v>
      </c>
      <c r="G38">
        <v>262</v>
      </c>
      <c r="H38">
        <v>136</v>
      </c>
      <c r="M38" s="13">
        <v>341</v>
      </c>
      <c r="N38" s="13">
        <v>339</v>
      </c>
      <c r="O38" s="13">
        <v>372</v>
      </c>
      <c r="P38" s="13">
        <v>350</v>
      </c>
      <c r="Q38">
        <f t="shared" si="0"/>
        <v>562</v>
      </c>
      <c r="R38">
        <f t="shared" si="1"/>
        <v>359</v>
      </c>
    </row>
    <row r="39" spans="1:18" ht="15">
      <c r="A39" s="11">
        <v>184.08</v>
      </c>
      <c r="B39" s="12">
        <v>510</v>
      </c>
      <c r="C39" s="12">
        <v>450</v>
      </c>
      <c r="D39" s="12">
        <v>521</v>
      </c>
      <c r="E39" s="12">
        <v>560</v>
      </c>
      <c r="F39">
        <v>336</v>
      </c>
      <c r="G39">
        <v>763</v>
      </c>
      <c r="H39">
        <v>544</v>
      </c>
      <c r="M39" s="13">
        <v>480</v>
      </c>
      <c r="N39" s="13">
        <v>516</v>
      </c>
      <c r="O39" s="13">
        <v>593</v>
      </c>
      <c r="P39" s="13">
        <v>555</v>
      </c>
      <c r="Q39">
        <f t="shared" si="0"/>
        <v>872</v>
      </c>
      <c r="R39">
        <f t="shared" si="1"/>
        <v>570</v>
      </c>
    </row>
    <row r="40" spans="1:18" ht="15">
      <c r="A40" s="14">
        <v>184.06</v>
      </c>
      <c r="B40" s="12">
        <v>1395</v>
      </c>
      <c r="C40" s="12">
        <v>1446</v>
      </c>
      <c r="D40" s="12">
        <v>1096</v>
      </c>
      <c r="E40" s="12">
        <v>1109</v>
      </c>
      <c r="F40">
        <v>665</v>
      </c>
      <c r="G40">
        <v>2104</v>
      </c>
      <c r="H40">
        <v>1103</v>
      </c>
      <c r="M40" s="13">
        <v>1479</v>
      </c>
      <c r="N40" s="13">
        <v>1408</v>
      </c>
      <c r="O40" s="13">
        <v>1235</v>
      </c>
      <c r="P40" s="13">
        <v>1086</v>
      </c>
      <c r="Q40">
        <f t="shared" si="0"/>
        <v>2149</v>
      </c>
      <c r="R40">
        <f t="shared" si="1"/>
        <v>1146</v>
      </c>
    </row>
    <row r="41" spans="1:18" ht="15">
      <c r="A41" s="11">
        <v>184.12</v>
      </c>
      <c r="B41" s="12">
        <v>865</v>
      </c>
      <c r="C41" s="12">
        <v>1032</v>
      </c>
      <c r="D41" s="12">
        <v>747</v>
      </c>
      <c r="E41" s="12">
        <v>786</v>
      </c>
      <c r="F41">
        <v>472</v>
      </c>
      <c r="G41">
        <v>1480</v>
      </c>
      <c r="H41">
        <v>771</v>
      </c>
      <c r="M41" s="13">
        <v>936</v>
      </c>
      <c r="N41" s="13">
        <v>633</v>
      </c>
      <c r="O41" s="13">
        <v>669</v>
      </c>
      <c r="P41" s="13">
        <v>676</v>
      </c>
      <c r="Q41">
        <f t="shared" si="0"/>
        <v>1034</v>
      </c>
      <c r="R41">
        <f t="shared" si="1"/>
        <v>673</v>
      </c>
    </row>
    <row r="42" spans="1:18" ht="15">
      <c r="A42" s="11">
        <v>184.13</v>
      </c>
      <c r="B42" s="12">
        <v>473</v>
      </c>
      <c r="C42" s="12">
        <v>193</v>
      </c>
      <c r="D42" s="12">
        <v>225</v>
      </c>
      <c r="E42" s="12">
        <v>429</v>
      </c>
      <c r="F42">
        <v>257</v>
      </c>
      <c r="G42">
        <v>328</v>
      </c>
      <c r="H42">
        <v>347</v>
      </c>
      <c r="M42" s="13">
        <v>473</v>
      </c>
      <c r="N42" s="13">
        <v>419</v>
      </c>
      <c r="O42" s="13">
        <v>400</v>
      </c>
      <c r="P42" s="13">
        <v>429</v>
      </c>
      <c r="Q42">
        <f t="shared" si="0"/>
        <v>659</v>
      </c>
      <c r="R42">
        <f t="shared" si="1"/>
        <v>417</v>
      </c>
    </row>
    <row r="43" spans="1:18" ht="15">
      <c r="A43" s="11">
        <v>184.14</v>
      </c>
      <c r="B43" s="12">
        <v>1529</v>
      </c>
      <c r="C43" s="12">
        <v>1203</v>
      </c>
      <c r="D43" s="12">
        <v>768</v>
      </c>
      <c r="E43" s="12">
        <v>621</v>
      </c>
      <c r="F43">
        <v>373</v>
      </c>
      <c r="G43">
        <v>1664</v>
      </c>
      <c r="H43">
        <v>680</v>
      </c>
      <c r="M43" s="13">
        <v>1352</v>
      </c>
      <c r="N43" s="13">
        <v>1137</v>
      </c>
      <c r="O43" s="13">
        <v>764</v>
      </c>
      <c r="P43" s="13">
        <v>685</v>
      </c>
      <c r="Q43">
        <f t="shared" si="0"/>
        <v>1595</v>
      </c>
      <c r="R43">
        <f t="shared" si="1"/>
        <v>717</v>
      </c>
    </row>
    <row r="44" spans="1:18" ht="15">
      <c r="A44" s="11">
        <v>182.03</v>
      </c>
      <c r="B44" s="12">
        <v>365</v>
      </c>
      <c r="C44" s="12">
        <v>103</v>
      </c>
      <c r="D44" s="12">
        <v>29</v>
      </c>
      <c r="E44" s="12">
        <v>252</v>
      </c>
      <c r="F44">
        <v>151</v>
      </c>
      <c r="G44">
        <v>120</v>
      </c>
      <c r="H44">
        <v>163</v>
      </c>
      <c r="M44" s="13">
        <v>206</v>
      </c>
      <c r="N44" s="13">
        <v>195</v>
      </c>
      <c r="O44" s="13">
        <v>277</v>
      </c>
      <c r="P44" s="13">
        <v>410</v>
      </c>
      <c r="Q44">
        <f t="shared" si="0"/>
        <v>361</v>
      </c>
      <c r="R44">
        <f t="shared" si="1"/>
        <v>357</v>
      </c>
    </row>
    <row r="45" spans="1:18" ht="15">
      <c r="A45" s="11">
        <v>184.11</v>
      </c>
      <c r="B45" s="12">
        <v>869</v>
      </c>
      <c r="C45" s="12">
        <v>530</v>
      </c>
      <c r="D45" s="12">
        <v>948</v>
      </c>
      <c r="E45" s="12">
        <v>1113</v>
      </c>
      <c r="F45">
        <v>668</v>
      </c>
      <c r="G45">
        <v>1099</v>
      </c>
      <c r="H45">
        <v>1047</v>
      </c>
      <c r="M45" s="13">
        <v>1002</v>
      </c>
      <c r="N45" s="13">
        <v>961</v>
      </c>
      <c r="O45" s="13">
        <v>1061</v>
      </c>
      <c r="P45" s="13">
        <v>986</v>
      </c>
      <c r="Q45">
        <f t="shared" si="0"/>
        <v>1598</v>
      </c>
      <c r="R45">
        <f t="shared" si="1"/>
        <v>1016</v>
      </c>
    </row>
    <row r="46" spans="1:18" ht="15">
      <c r="A46" s="11">
        <v>184.1</v>
      </c>
      <c r="B46" s="12">
        <v>50</v>
      </c>
      <c r="C46" s="12">
        <v>464</v>
      </c>
      <c r="D46" s="12">
        <v>407</v>
      </c>
      <c r="E46" s="12">
        <v>743</v>
      </c>
      <c r="F46">
        <v>446</v>
      </c>
      <c r="G46">
        <v>708</v>
      </c>
      <c r="H46">
        <v>609</v>
      </c>
      <c r="M46" s="13">
        <v>389</v>
      </c>
      <c r="N46" s="13">
        <v>464</v>
      </c>
      <c r="O46" s="13">
        <v>523</v>
      </c>
      <c r="P46" s="13">
        <v>609</v>
      </c>
      <c r="Q46">
        <f t="shared" si="0"/>
        <v>778</v>
      </c>
      <c r="R46">
        <f t="shared" si="1"/>
        <v>575</v>
      </c>
    </row>
    <row r="47" spans="1:18" ht="15">
      <c r="A47" s="11">
        <v>184.09</v>
      </c>
      <c r="B47" s="12">
        <v>280</v>
      </c>
      <c r="C47" s="12">
        <v>342</v>
      </c>
      <c r="D47" s="12">
        <v>374</v>
      </c>
      <c r="E47" s="12">
        <v>363</v>
      </c>
      <c r="F47">
        <v>218</v>
      </c>
      <c r="G47">
        <v>566</v>
      </c>
      <c r="H47">
        <v>368</v>
      </c>
      <c r="M47" s="13">
        <v>295</v>
      </c>
      <c r="N47" s="13">
        <v>357</v>
      </c>
      <c r="O47" s="13">
        <v>374</v>
      </c>
      <c r="P47" s="13">
        <v>394</v>
      </c>
      <c r="Q47">
        <f t="shared" si="0"/>
        <v>581</v>
      </c>
      <c r="R47">
        <f t="shared" si="1"/>
        <v>386</v>
      </c>
    </row>
    <row r="48" spans="1:18" ht="15">
      <c r="A48" s="11">
        <v>187.03</v>
      </c>
      <c r="B48" s="12">
        <v>538</v>
      </c>
      <c r="C48" s="12">
        <v>568</v>
      </c>
      <c r="D48" s="12">
        <v>271</v>
      </c>
      <c r="E48" s="12">
        <v>562</v>
      </c>
      <c r="F48">
        <v>337</v>
      </c>
      <c r="G48">
        <v>731</v>
      </c>
      <c r="H48">
        <v>445</v>
      </c>
      <c r="M48" s="13">
        <v>566</v>
      </c>
      <c r="N48" s="13">
        <v>570</v>
      </c>
      <c r="O48" s="13">
        <v>540</v>
      </c>
      <c r="P48" s="13">
        <v>610</v>
      </c>
      <c r="Q48">
        <f t="shared" si="0"/>
        <v>894</v>
      </c>
      <c r="R48">
        <f t="shared" si="1"/>
        <v>582</v>
      </c>
    </row>
    <row r="49" spans="1:18" ht="15">
      <c r="A49" s="11">
        <v>189.05</v>
      </c>
      <c r="B49" s="12">
        <v>532</v>
      </c>
      <c r="C49" s="12">
        <v>441</v>
      </c>
      <c r="D49" s="12">
        <v>532</v>
      </c>
      <c r="E49" s="12">
        <v>474</v>
      </c>
      <c r="F49">
        <v>284</v>
      </c>
      <c r="G49">
        <v>760</v>
      </c>
      <c r="H49">
        <v>497</v>
      </c>
      <c r="M49" s="13">
        <v>455</v>
      </c>
      <c r="N49" s="13">
        <v>427</v>
      </c>
      <c r="O49" s="13">
        <v>462</v>
      </c>
      <c r="P49" s="13">
        <v>490</v>
      </c>
      <c r="Q49">
        <f t="shared" si="0"/>
        <v>704</v>
      </c>
      <c r="R49">
        <f t="shared" si="1"/>
        <v>479</v>
      </c>
    </row>
    <row r="50" spans="1:18" ht="15">
      <c r="A50" s="11">
        <v>189.08</v>
      </c>
      <c r="B50" s="12">
        <v>601</v>
      </c>
      <c r="C50" s="12">
        <v>349</v>
      </c>
      <c r="D50" s="12">
        <v>422</v>
      </c>
      <c r="E50" s="12">
        <v>432</v>
      </c>
      <c r="F50">
        <v>259</v>
      </c>
      <c r="G50">
        <v>602</v>
      </c>
      <c r="H50">
        <v>428</v>
      </c>
      <c r="M50" s="13">
        <v>575</v>
      </c>
      <c r="N50" s="13">
        <v>524</v>
      </c>
      <c r="O50" s="13">
        <v>504</v>
      </c>
      <c r="P50" s="13">
        <v>516</v>
      </c>
      <c r="Q50">
        <f t="shared" si="0"/>
        <v>826</v>
      </c>
      <c r="R50">
        <f t="shared" si="1"/>
        <v>511</v>
      </c>
    </row>
    <row r="51" spans="1:18" ht="15">
      <c r="A51" s="11">
        <v>189.03</v>
      </c>
      <c r="B51" s="12">
        <v>173</v>
      </c>
      <c r="C51" s="12">
        <v>184</v>
      </c>
      <c r="D51" s="12">
        <v>199</v>
      </c>
      <c r="E51" s="12">
        <v>340</v>
      </c>
      <c r="F51">
        <v>204</v>
      </c>
      <c r="G51">
        <v>303</v>
      </c>
      <c r="H51">
        <v>284</v>
      </c>
      <c r="M51" s="13">
        <v>192</v>
      </c>
      <c r="N51" s="13">
        <v>222</v>
      </c>
      <c r="O51" s="13">
        <v>252</v>
      </c>
      <c r="P51" s="13">
        <v>285</v>
      </c>
      <c r="Q51">
        <f t="shared" si="0"/>
        <v>373</v>
      </c>
      <c r="R51">
        <f t="shared" si="1"/>
        <v>272</v>
      </c>
    </row>
    <row r="52" spans="1:18" ht="15">
      <c r="A52" s="15">
        <v>188.01</v>
      </c>
      <c r="B52" s="12">
        <v>122</v>
      </c>
      <c r="C52" s="12">
        <v>200</v>
      </c>
      <c r="D52" s="12">
        <v>168</v>
      </c>
      <c r="E52" s="12">
        <v>342</v>
      </c>
      <c r="F52">
        <v>205</v>
      </c>
      <c r="G52">
        <v>301</v>
      </c>
      <c r="H52" s="16">
        <v>272</v>
      </c>
      <c r="M52" s="13">
        <v>184</v>
      </c>
      <c r="N52" s="13">
        <v>259</v>
      </c>
      <c r="O52" s="13">
        <v>295</v>
      </c>
      <c r="P52" s="13">
        <v>365</v>
      </c>
      <c r="Q52">
        <f t="shared" si="0"/>
        <v>436</v>
      </c>
      <c r="R52">
        <f t="shared" si="1"/>
        <v>337</v>
      </c>
    </row>
    <row r="53" spans="1:18" ht="15">
      <c r="A53" s="15">
        <v>188.02</v>
      </c>
      <c r="B53" s="12">
        <v>155</v>
      </c>
      <c r="C53" s="12">
        <v>110</v>
      </c>
      <c r="D53" s="12">
        <v>255</v>
      </c>
      <c r="E53" s="12">
        <v>508</v>
      </c>
      <c r="F53">
        <v>305</v>
      </c>
      <c r="G53">
        <v>263</v>
      </c>
      <c r="H53" s="16">
        <v>407</v>
      </c>
      <c r="M53" s="13">
        <v>193</v>
      </c>
      <c r="N53" s="13">
        <v>226</v>
      </c>
      <c r="O53" s="13">
        <v>313</v>
      </c>
      <c r="P53" s="13">
        <v>374</v>
      </c>
      <c r="Q53">
        <f t="shared" si="0"/>
        <v>414</v>
      </c>
      <c r="R53">
        <f t="shared" si="1"/>
        <v>350</v>
      </c>
    </row>
    <row r="54" spans="1:18" ht="15">
      <c r="A54" s="11">
        <v>189.07</v>
      </c>
      <c r="B54" s="12">
        <v>193</v>
      </c>
      <c r="C54" s="12">
        <v>109</v>
      </c>
      <c r="D54" s="12">
        <v>384</v>
      </c>
      <c r="E54" s="12">
        <v>389</v>
      </c>
      <c r="F54">
        <v>233</v>
      </c>
      <c r="G54">
        <v>339</v>
      </c>
      <c r="H54">
        <v>387</v>
      </c>
      <c r="M54" s="13">
        <v>209</v>
      </c>
      <c r="N54" s="13">
        <v>252</v>
      </c>
      <c r="O54" s="13">
        <v>235</v>
      </c>
      <c r="P54" s="13">
        <v>242</v>
      </c>
      <c r="Q54">
        <f t="shared" si="0"/>
        <v>393</v>
      </c>
      <c r="R54">
        <f t="shared" si="1"/>
        <v>239</v>
      </c>
    </row>
    <row r="55" spans="1:18" ht="15">
      <c r="A55" s="11">
        <v>189.1</v>
      </c>
      <c r="B55" s="12">
        <v>505</v>
      </c>
      <c r="C55" s="12">
        <v>428</v>
      </c>
      <c r="D55" s="12">
        <v>561</v>
      </c>
      <c r="E55" s="12">
        <v>808</v>
      </c>
      <c r="F55">
        <v>485</v>
      </c>
      <c r="G55">
        <v>765</v>
      </c>
      <c r="H55">
        <v>709</v>
      </c>
      <c r="M55" s="13">
        <v>485</v>
      </c>
      <c r="N55" s="13">
        <v>512</v>
      </c>
      <c r="O55" s="13">
        <v>651</v>
      </c>
      <c r="P55" s="13">
        <v>749</v>
      </c>
      <c r="Q55">
        <f t="shared" si="0"/>
        <v>903</v>
      </c>
      <c r="R55">
        <f t="shared" si="1"/>
        <v>710</v>
      </c>
    </row>
    <row r="56" spans="1:18" ht="15">
      <c r="A56" s="11">
        <v>189.09</v>
      </c>
      <c r="B56" s="12">
        <v>24</v>
      </c>
      <c r="C56" s="12">
        <v>238</v>
      </c>
      <c r="D56" s="12">
        <v>250</v>
      </c>
      <c r="E56" s="12">
        <v>423</v>
      </c>
      <c r="F56">
        <v>254</v>
      </c>
      <c r="G56">
        <v>388</v>
      </c>
      <c r="H56">
        <v>354</v>
      </c>
      <c r="M56" s="13">
        <v>201</v>
      </c>
      <c r="N56" s="13">
        <v>234</v>
      </c>
      <c r="O56" s="13">
        <v>348</v>
      </c>
      <c r="P56" s="13">
        <v>382</v>
      </c>
      <c r="Q56">
        <f t="shared" si="0"/>
        <v>443</v>
      </c>
      <c r="R56">
        <f t="shared" si="1"/>
        <v>368</v>
      </c>
    </row>
    <row r="57" spans="1:18" ht="15">
      <c r="A57" s="11">
        <v>188.08</v>
      </c>
      <c r="B57" s="12">
        <v>180</v>
      </c>
      <c r="C57" s="12">
        <v>223</v>
      </c>
      <c r="D57" s="12">
        <v>467</v>
      </c>
      <c r="E57" s="12">
        <v>607</v>
      </c>
      <c r="F57">
        <v>364</v>
      </c>
      <c r="G57">
        <v>503</v>
      </c>
      <c r="H57">
        <v>551</v>
      </c>
      <c r="M57" s="13">
        <v>199</v>
      </c>
      <c r="N57" s="13">
        <v>302</v>
      </c>
      <c r="O57" s="13">
        <v>506</v>
      </c>
      <c r="P57" s="13">
        <v>590</v>
      </c>
      <c r="Q57">
        <f t="shared" si="0"/>
        <v>606</v>
      </c>
      <c r="R57">
        <f t="shared" si="1"/>
        <v>556</v>
      </c>
    </row>
    <row r="58" spans="1:18" ht="15">
      <c r="A58" s="11">
        <v>188.07</v>
      </c>
      <c r="B58" s="12">
        <v>205</v>
      </c>
      <c r="C58" s="12">
        <v>230</v>
      </c>
      <c r="D58" s="12">
        <v>369</v>
      </c>
      <c r="E58" s="12">
        <v>525</v>
      </c>
      <c r="F58">
        <v>315</v>
      </c>
      <c r="G58">
        <v>451</v>
      </c>
      <c r="H58">
        <v>463</v>
      </c>
      <c r="M58" s="13">
        <v>201</v>
      </c>
      <c r="N58" s="13">
        <v>244</v>
      </c>
      <c r="O58" s="13">
        <v>384</v>
      </c>
      <c r="P58" s="13">
        <v>516</v>
      </c>
      <c r="Q58">
        <f t="shared" si="0"/>
        <v>474</v>
      </c>
      <c r="R58">
        <f t="shared" si="1"/>
        <v>463</v>
      </c>
    </row>
    <row r="59" spans="1:18" ht="15">
      <c r="A59" s="11">
        <v>188.04</v>
      </c>
      <c r="B59" s="12">
        <v>180</v>
      </c>
      <c r="C59" s="12">
        <v>333</v>
      </c>
      <c r="D59" s="12">
        <v>305</v>
      </c>
      <c r="E59" s="12">
        <v>528</v>
      </c>
      <c r="F59">
        <v>317</v>
      </c>
      <c r="G59">
        <v>516</v>
      </c>
      <c r="H59">
        <v>439</v>
      </c>
      <c r="M59" s="13">
        <v>233</v>
      </c>
      <c r="N59" s="13">
        <v>315</v>
      </c>
      <c r="O59" s="13">
        <v>395</v>
      </c>
      <c r="P59" s="13">
        <v>480</v>
      </c>
      <c r="Q59">
        <f t="shared" si="0"/>
        <v>552</v>
      </c>
      <c r="R59">
        <f t="shared" si="1"/>
        <v>446</v>
      </c>
    </row>
    <row r="60" spans="1:18" ht="15">
      <c r="A60" s="11">
        <v>187.12</v>
      </c>
      <c r="B60" s="12">
        <v>178</v>
      </c>
      <c r="C60" s="12">
        <v>268</v>
      </c>
      <c r="D60" s="12">
        <v>324</v>
      </c>
      <c r="E60" s="12">
        <v>357</v>
      </c>
      <c r="F60">
        <v>214</v>
      </c>
      <c r="G60">
        <v>462</v>
      </c>
      <c r="H60">
        <v>344</v>
      </c>
      <c r="M60" s="13">
        <v>241</v>
      </c>
      <c r="N60" s="13">
        <v>296</v>
      </c>
      <c r="O60" s="13">
        <v>345</v>
      </c>
      <c r="P60" s="13">
        <v>358</v>
      </c>
      <c r="Q60">
        <f t="shared" si="0"/>
        <v>503</v>
      </c>
      <c r="R60">
        <f t="shared" si="1"/>
        <v>353</v>
      </c>
    </row>
    <row r="61" spans="1:18" ht="15">
      <c r="A61" s="11">
        <v>187.06</v>
      </c>
      <c r="B61" s="12">
        <v>347</v>
      </c>
      <c r="C61" s="12">
        <v>512</v>
      </c>
      <c r="D61" s="12">
        <v>643</v>
      </c>
      <c r="E61" s="12">
        <v>819</v>
      </c>
      <c r="F61">
        <v>491</v>
      </c>
      <c r="G61">
        <v>898</v>
      </c>
      <c r="H61">
        <v>748</v>
      </c>
      <c r="M61" s="13">
        <v>457</v>
      </c>
      <c r="N61" s="13">
        <v>570</v>
      </c>
      <c r="O61" s="13">
        <v>682</v>
      </c>
      <c r="P61" s="13">
        <v>773</v>
      </c>
      <c r="Q61">
        <f t="shared" si="0"/>
        <v>979</v>
      </c>
      <c r="R61">
        <f t="shared" si="1"/>
        <v>737</v>
      </c>
    </row>
    <row r="62" spans="1:18" ht="15">
      <c r="A62" s="11">
        <v>187.13</v>
      </c>
      <c r="B62" s="12">
        <v>180</v>
      </c>
      <c r="C62" s="12">
        <v>136</v>
      </c>
      <c r="D62" s="12">
        <v>128</v>
      </c>
      <c r="E62" s="12">
        <v>189</v>
      </c>
      <c r="F62">
        <v>113</v>
      </c>
      <c r="G62">
        <v>213</v>
      </c>
      <c r="H62">
        <v>164</v>
      </c>
      <c r="M62" s="13">
        <v>163</v>
      </c>
      <c r="N62" s="13">
        <v>156</v>
      </c>
      <c r="O62" s="13">
        <v>177</v>
      </c>
      <c r="P62" s="13">
        <v>213</v>
      </c>
      <c r="Q62">
        <f t="shared" si="0"/>
        <v>262</v>
      </c>
      <c r="R62">
        <f t="shared" si="1"/>
        <v>199</v>
      </c>
    </row>
    <row r="63" spans="1:18" ht="15">
      <c r="A63" s="11">
        <v>187.11</v>
      </c>
      <c r="B63" s="12">
        <v>794</v>
      </c>
      <c r="C63" s="12">
        <v>688</v>
      </c>
      <c r="D63" s="12">
        <v>608</v>
      </c>
      <c r="E63" s="12">
        <v>764</v>
      </c>
      <c r="F63">
        <v>458</v>
      </c>
      <c r="G63">
        <v>1053</v>
      </c>
      <c r="H63">
        <v>701</v>
      </c>
      <c r="M63" s="13">
        <v>669</v>
      </c>
      <c r="N63" s="13">
        <v>627</v>
      </c>
      <c r="O63" s="13">
        <v>638</v>
      </c>
      <c r="P63" s="13">
        <v>605</v>
      </c>
      <c r="Q63">
        <f t="shared" si="0"/>
        <v>1010</v>
      </c>
      <c r="R63">
        <f t="shared" si="1"/>
        <v>618</v>
      </c>
    </row>
    <row r="64" spans="1:18" ht="15">
      <c r="A64" s="11">
        <v>187.07</v>
      </c>
      <c r="B64" s="12">
        <v>103</v>
      </c>
      <c r="C64" s="12">
        <v>14</v>
      </c>
      <c r="D64" s="12">
        <v>173</v>
      </c>
      <c r="E64" s="12">
        <v>146</v>
      </c>
      <c r="F64">
        <v>88</v>
      </c>
      <c r="G64">
        <v>118</v>
      </c>
      <c r="H64">
        <v>157</v>
      </c>
      <c r="M64" s="13">
        <v>108</v>
      </c>
      <c r="N64" s="13">
        <v>131</v>
      </c>
      <c r="O64" s="13">
        <v>193</v>
      </c>
      <c r="P64" s="13">
        <v>209</v>
      </c>
      <c r="Q64">
        <f t="shared" si="0"/>
        <v>247</v>
      </c>
      <c r="R64">
        <f t="shared" si="1"/>
        <v>203</v>
      </c>
    </row>
    <row r="65" spans="1:18" ht="15">
      <c r="A65" s="11">
        <v>187.15</v>
      </c>
      <c r="B65" s="12">
        <v>274</v>
      </c>
      <c r="C65" s="12">
        <v>304</v>
      </c>
      <c r="D65" s="12">
        <v>350</v>
      </c>
      <c r="E65" s="12">
        <v>413</v>
      </c>
      <c r="F65">
        <v>248</v>
      </c>
      <c r="G65">
        <v>514</v>
      </c>
      <c r="H65">
        <v>388</v>
      </c>
      <c r="M65" s="13">
        <v>267</v>
      </c>
      <c r="N65" s="13">
        <v>320</v>
      </c>
      <c r="O65" s="13">
        <v>367</v>
      </c>
      <c r="P65" s="13">
        <v>405</v>
      </c>
      <c r="Q65">
        <f t="shared" si="0"/>
        <v>540</v>
      </c>
      <c r="R65">
        <f t="shared" si="1"/>
        <v>390</v>
      </c>
    </row>
    <row r="66" spans="1:18" ht="15">
      <c r="A66" s="11">
        <v>187.14</v>
      </c>
      <c r="B66" s="12">
        <v>396</v>
      </c>
      <c r="C66" s="12">
        <v>210</v>
      </c>
      <c r="D66" s="12">
        <v>199</v>
      </c>
      <c r="E66" s="12">
        <v>0</v>
      </c>
      <c r="F66">
        <v>0</v>
      </c>
      <c r="G66">
        <v>329</v>
      </c>
      <c r="H66">
        <v>80</v>
      </c>
      <c r="M66" s="13">
        <v>276</v>
      </c>
      <c r="N66" s="13">
        <v>267</v>
      </c>
      <c r="O66" s="13">
        <v>293</v>
      </c>
      <c r="P66" s="13">
        <v>246</v>
      </c>
      <c r="Q66">
        <f t="shared" si="0"/>
        <v>443</v>
      </c>
      <c r="R66">
        <f t="shared" si="1"/>
        <v>265</v>
      </c>
    </row>
    <row r="67" spans="1:18" ht="15">
      <c r="A67" s="11">
        <v>187.16</v>
      </c>
      <c r="B67" s="12">
        <v>251</v>
      </c>
      <c r="C67" s="12">
        <v>343</v>
      </c>
      <c r="D67" s="12">
        <v>389</v>
      </c>
      <c r="E67" s="12">
        <v>455</v>
      </c>
      <c r="F67">
        <v>273</v>
      </c>
      <c r="G67">
        <v>576</v>
      </c>
      <c r="H67">
        <v>429</v>
      </c>
      <c r="M67" s="13">
        <v>179</v>
      </c>
      <c r="N67" s="13">
        <v>230</v>
      </c>
      <c r="O67" s="13">
        <v>282</v>
      </c>
      <c r="P67" s="13">
        <v>308</v>
      </c>
      <c r="Q67">
        <f t="shared" ref="Q67:Q102" si="2">ROUND(N67+O67*0.6,0)</f>
        <v>399</v>
      </c>
      <c r="R67">
        <f t="shared" ref="R67:R102" si="3">ROUND(O67*0.4+P67*0.6,0)</f>
        <v>298</v>
      </c>
    </row>
    <row r="68" spans="1:18" ht="15">
      <c r="A68" s="11">
        <v>182.04</v>
      </c>
      <c r="B68" s="12">
        <v>66</v>
      </c>
      <c r="C68" s="12">
        <v>90</v>
      </c>
      <c r="D68" s="12">
        <v>145</v>
      </c>
      <c r="E68" s="12">
        <v>155</v>
      </c>
      <c r="F68">
        <v>93</v>
      </c>
      <c r="G68">
        <v>177</v>
      </c>
      <c r="H68">
        <v>151</v>
      </c>
      <c r="M68" s="13">
        <v>62</v>
      </c>
      <c r="N68" s="13">
        <v>108</v>
      </c>
      <c r="O68" s="13">
        <v>166</v>
      </c>
      <c r="P68" s="13">
        <v>193</v>
      </c>
      <c r="Q68">
        <f t="shared" si="2"/>
        <v>208</v>
      </c>
      <c r="R68">
        <f t="shared" si="3"/>
        <v>182</v>
      </c>
    </row>
    <row r="69" spans="1:18" ht="15">
      <c r="A69" s="11">
        <v>182.05</v>
      </c>
      <c r="B69" s="12">
        <v>594</v>
      </c>
      <c r="C69" s="12">
        <v>577</v>
      </c>
      <c r="D69" s="12">
        <v>566</v>
      </c>
      <c r="E69" s="12">
        <v>654</v>
      </c>
      <c r="F69">
        <v>392</v>
      </c>
      <c r="G69">
        <v>917</v>
      </c>
      <c r="H69">
        <v>618</v>
      </c>
      <c r="M69" s="13">
        <v>606</v>
      </c>
      <c r="N69" s="13">
        <v>622</v>
      </c>
      <c r="O69" s="13">
        <v>646</v>
      </c>
      <c r="P69" s="13">
        <v>713</v>
      </c>
      <c r="Q69">
        <f t="shared" si="2"/>
        <v>1010</v>
      </c>
      <c r="R69">
        <f t="shared" si="3"/>
        <v>686</v>
      </c>
    </row>
    <row r="70" spans="1:18" ht="15">
      <c r="A70" s="11">
        <v>182.02</v>
      </c>
      <c r="B70" s="12">
        <v>1055</v>
      </c>
      <c r="C70" s="12">
        <v>1064</v>
      </c>
      <c r="D70" s="12">
        <v>935</v>
      </c>
      <c r="E70" s="12">
        <v>706</v>
      </c>
      <c r="F70">
        <v>424</v>
      </c>
      <c r="G70">
        <v>1625</v>
      </c>
      <c r="H70">
        <v>798</v>
      </c>
      <c r="M70" s="13">
        <v>1170</v>
      </c>
      <c r="N70" s="13">
        <v>1118</v>
      </c>
      <c r="O70" s="13">
        <v>857</v>
      </c>
      <c r="P70" s="13">
        <v>664</v>
      </c>
      <c r="Q70">
        <f t="shared" si="2"/>
        <v>1632</v>
      </c>
      <c r="R70">
        <f t="shared" si="3"/>
        <v>741</v>
      </c>
    </row>
    <row r="71" spans="1:18" ht="15">
      <c r="A71" s="11">
        <v>183.01</v>
      </c>
      <c r="B71" s="12">
        <v>405</v>
      </c>
      <c r="C71" s="12">
        <v>332</v>
      </c>
      <c r="D71" s="12">
        <v>361</v>
      </c>
      <c r="E71" s="12">
        <v>533</v>
      </c>
      <c r="F71">
        <v>320</v>
      </c>
      <c r="G71">
        <v>549</v>
      </c>
      <c r="H71">
        <v>464</v>
      </c>
      <c r="M71" s="13">
        <v>433</v>
      </c>
      <c r="N71" s="13">
        <v>454</v>
      </c>
      <c r="O71" s="13">
        <v>528</v>
      </c>
      <c r="P71" s="13">
        <v>537</v>
      </c>
      <c r="Q71">
        <f t="shared" si="2"/>
        <v>771</v>
      </c>
      <c r="R71">
        <f t="shared" si="3"/>
        <v>533</v>
      </c>
    </row>
    <row r="72" spans="1:18" ht="15">
      <c r="A72" s="11">
        <v>183.03</v>
      </c>
      <c r="B72" s="12">
        <v>235</v>
      </c>
      <c r="C72" s="12">
        <v>386</v>
      </c>
      <c r="D72" s="12">
        <v>221</v>
      </c>
      <c r="E72" s="12">
        <v>422</v>
      </c>
      <c r="F72">
        <v>253</v>
      </c>
      <c r="G72">
        <v>519</v>
      </c>
      <c r="H72">
        <v>341</v>
      </c>
      <c r="M72" s="13">
        <v>344</v>
      </c>
      <c r="N72" s="13">
        <v>359</v>
      </c>
      <c r="O72" s="13">
        <v>357</v>
      </c>
      <c r="P72" s="13">
        <v>426</v>
      </c>
      <c r="Q72">
        <f t="shared" si="2"/>
        <v>573</v>
      </c>
      <c r="R72">
        <f t="shared" si="3"/>
        <v>398</v>
      </c>
    </row>
    <row r="73" spans="1:18" ht="15">
      <c r="A73" s="11">
        <v>183.05</v>
      </c>
      <c r="B73" s="12">
        <v>1231</v>
      </c>
      <c r="C73" s="12">
        <v>1427</v>
      </c>
      <c r="D73" s="12">
        <v>1032</v>
      </c>
      <c r="E73" s="12">
        <v>1030</v>
      </c>
      <c r="F73">
        <v>618</v>
      </c>
      <c r="G73">
        <v>2046</v>
      </c>
      <c r="H73">
        <v>1031</v>
      </c>
      <c r="M73" s="13">
        <v>1384</v>
      </c>
      <c r="N73" s="13">
        <v>1281</v>
      </c>
      <c r="O73" s="13">
        <v>1132</v>
      </c>
      <c r="P73" s="13">
        <v>979</v>
      </c>
      <c r="Q73">
        <f t="shared" si="2"/>
        <v>1960</v>
      </c>
      <c r="R73">
        <f t="shared" si="3"/>
        <v>1040</v>
      </c>
    </row>
    <row r="74" spans="1:18" ht="15">
      <c r="A74" s="11">
        <v>183.07</v>
      </c>
      <c r="B74" s="12">
        <v>305</v>
      </c>
      <c r="C74" s="12">
        <v>573</v>
      </c>
      <c r="D74" s="12">
        <v>705</v>
      </c>
      <c r="E74" s="12">
        <v>911</v>
      </c>
      <c r="F74">
        <v>547</v>
      </c>
      <c r="G74">
        <v>996</v>
      </c>
      <c r="H74">
        <v>829</v>
      </c>
      <c r="M74" s="13">
        <v>317</v>
      </c>
      <c r="N74" s="13">
        <v>372</v>
      </c>
      <c r="O74" s="13">
        <v>457</v>
      </c>
      <c r="P74" s="13">
        <v>499</v>
      </c>
      <c r="Q74">
        <f t="shared" si="2"/>
        <v>646</v>
      </c>
      <c r="R74">
        <f t="shared" si="3"/>
        <v>482</v>
      </c>
    </row>
    <row r="75" spans="1:18" ht="15">
      <c r="A75" s="11">
        <v>183.06</v>
      </c>
      <c r="B75" s="12">
        <v>149</v>
      </c>
      <c r="C75" s="12">
        <v>131</v>
      </c>
      <c r="D75" s="12">
        <v>141</v>
      </c>
      <c r="E75" s="12">
        <v>134</v>
      </c>
      <c r="F75">
        <v>80</v>
      </c>
      <c r="G75">
        <v>216</v>
      </c>
      <c r="H75">
        <v>136</v>
      </c>
      <c r="M75" s="13">
        <v>147</v>
      </c>
      <c r="N75" s="13">
        <v>136</v>
      </c>
      <c r="O75" s="13">
        <v>143</v>
      </c>
      <c r="P75" s="13">
        <v>134</v>
      </c>
      <c r="Q75">
        <f t="shared" si="2"/>
        <v>222</v>
      </c>
      <c r="R75">
        <f t="shared" si="3"/>
        <v>138</v>
      </c>
    </row>
    <row r="76" spans="1:18" ht="15">
      <c r="A76" s="11">
        <v>183.08</v>
      </c>
      <c r="B76" s="12">
        <v>1575</v>
      </c>
      <c r="C76" s="12">
        <v>930</v>
      </c>
      <c r="D76" s="12">
        <v>748</v>
      </c>
      <c r="E76" s="12">
        <v>670</v>
      </c>
      <c r="F76">
        <v>402</v>
      </c>
      <c r="G76">
        <v>1379</v>
      </c>
      <c r="H76">
        <v>701</v>
      </c>
      <c r="M76" s="13">
        <v>1123</v>
      </c>
      <c r="N76" s="13">
        <v>686</v>
      </c>
      <c r="O76" s="13">
        <v>587</v>
      </c>
      <c r="P76" s="13">
        <v>536</v>
      </c>
      <c r="Q76">
        <f t="shared" si="2"/>
        <v>1038</v>
      </c>
      <c r="R76">
        <f t="shared" si="3"/>
        <v>556</v>
      </c>
    </row>
    <row r="77" spans="1:18" ht="15">
      <c r="A77" s="21">
        <v>183.09</v>
      </c>
      <c r="B77" s="12">
        <v>1859</v>
      </c>
      <c r="C77" s="12">
        <v>1014</v>
      </c>
      <c r="D77" s="12">
        <v>660</v>
      </c>
      <c r="E77" s="12">
        <v>539</v>
      </c>
      <c r="F77">
        <v>323</v>
      </c>
      <c r="G77">
        <v>1410</v>
      </c>
      <c r="H77">
        <v>587</v>
      </c>
      <c r="M77" s="13">
        <v>2313</v>
      </c>
      <c r="N77" s="13">
        <v>1503</v>
      </c>
      <c r="O77" s="13">
        <v>1452</v>
      </c>
      <c r="P77" s="13">
        <v>1375</v>
      </c>
      <c r="Q77">
        <f t="shared" si="2"/>
        <v>2374</v>
      </c>
      <c r="R77">
        <f t="shared" si="3"/>
        <v>1406</v>
      </c>
    </row>
    <row r="78" spans="1:18" ht="15">
      <c r="A78" s="11">
        <v>182.06</v>
      </c>
      <c r="B78" s="12">
        <v>39</v>
      </c>
      <c r="C78" s="12">
        <v>70</v>
      </c>
      <c r="D78" s="12">
        <v>90</v>
      </c>
      <c r="E78" s="12">
        <v>106</v>
      </c>
      <c r="F78">
        <v>64</v>
      </c>
      <c r="G78">
        <v>124</v>
      </c>
      <c r="H78">
        <v>100</v>
      </c>
      <c r="M78" s="13">
        <v>44</v>
      </c>
      <c r="N78" s="13">
        <v>68</v>
      </c>
      <c r="O78" s="13">
        <v>87</v>
      </c>
      <c r="P78" s="13">
        <v>96</v>
      </c>
      <c r="Q78">
        <f t="shared" si="2"/>
        <v>120</v>
      </c>
      <c r="R78">
        <f t="shared" si="3"/>
        <v>92</v>
      </c>
    </row>
    <row r="79" spans="1:18" ht="15">
      <c r="A79" s="15">
        <v>188.06</v>
      </c>
      <c r="B79" s="12">
        <v>82</v>
      </c>
      <c r="C79" s="12">
        <v>102</v>
      </c>
      <c r="D79" s="12">
        <v>112</v>
      </c>
      <c r="E79" s="12">
        <v>122</v>
      </c>
      <c r="F79">
        <v>73</v>
      </c>
      <c r="G79">
        <v>169</v>
      </c>
      <c r="H79" s="16">
        <v>118</v>
      </c>
      <c r="M79" s="13">
        <v>98</v>
      </c>
      <c r="N79" s="13">
        <v>103</v>
      </c>
      <c r="O79" s="13">
        <v>145</v>
      </c>
      <c r="P79" s="13">
        <v>134</v>
      </c>
      <c r="Q79">
        <f t="shared" si="2"/>
        <v>190</v>
      </c>
      <c r="R79">
        <f t="shared" si="3"/>
        <v>138</v>
      </c>
    </row>
    <row r="80" spans="1:18" ht="15">
      <c r="A80" s="15">
        <v>188.05</v>
      </c>
      <c r="B80" s="12">
        <v>153</v>
      </c>
      <c r="C80" s="12">
        <v>185</v>
      </c>
      <c r="D80" s="12">
        <v>173</v>
      </c>
      <c r="E80" s="12">
        <v>243</v>
      </c>
      <c r="F80">
        <v>146</v>
      </c>
      <c r="G80">
        <v>289</v>
      </c>
      <c r="H80" s="16">
        <v>215</v>
      </c>
      <c r="M80" s="13">
        <v>127</v>
      </c>
      <c r="N80" s="13">
        <v>183</v>
      </c>
      <c r="O80" s="13">
        <v>249</v>
      </c>
      <c r="P80" s="13">
        <v>331</v>
      </c>
      <c r="Q80">
        <f t="shared" si="2"/>
        <v>332</v>
      </c>
      <c r="R80">
        <f t="shared" si="3"/>
        <v>298</v>
      </c>
    </row>
    <row r="81" spans="1:18" ht="15">
      <c r="A81" s="11">
        <v>182.01</v>
      </c>
      <c r="B81" s="12">
        <v>405</v>
      </c>
      <c r="C81" s="12">
        <v>371</v>
      </c>
      <c r="D81" s="12">
        <v>379</v>
      </c>
      <c r="E81" s="12">
        <v>410</v>
      </c>
      <c r="F81">
        <v>246</v>
      </c>
      <c r="G81">
        <v>598</v>
      </c>
      <c r="H81">
        <v>398</v>
      </c>
      <c r="M81" s="13">
        <v>308</v>
      </c>
      <c r="N81" s="13">
        <v>386</v>
      </c>
      <c r="O81" s="13">
        <v>443</v>
      </c>
      <c r="P81" s="13">
        <v>474</v>
      </c>
      <c r="Q81">
        <f t="shared" si="2"/>
        <v>652</v>
      </c>
      <c r="R81">
        <f t="shared" si="3"/>
        <v>462</v>
      </c>
    </row>
    <row r="82" spans="1:18" ht="15">
      <c r="A82" s="15">
        <v>180.01</v>
      </c>
      <c r="B82" s="12">
        <v>563</v>
      </c>
      <c r="C82" s="12">
        <v>953</v>
      </c>
      <c r="D82" s="12">
        <v>808</v>
      </c>
      <c r="E82" s="12">
        <v>770</v>
      </c>
      <c r="F82">
        <v>462</v>
      </c>
      <c r="G82">
        <v>1438</v>
      </c>
      <c r="H82">
        <v>785</v>
      </c>
      <c r="M82" s="13">
        <v>875</v>
      </c>
      <c r="N82" s="13">
        <v>894</v>
      </c>
      <c r="O82" s="13">
        <v>762</v>
      </c>
      <c r="P82" s="13">
        <v>728</v>
      </c>
      <c r="Q82">
        <f t="shared" si="2"/>
        <v>1351</v>
      </c>
      <c r="R82">
        <f t="shared" si="3"/>
        <v>742</v>
      </c>
    </row>
    <row r="83" spans="1:18" ht="15">
      <c r="A83" s="11">
        <v>180.04</v>
      </c>
      <c r="B83" s="12">
        <v>835</v>
      </c>
      <c r="C83" s="12">
        <v>563</v>
      </c>
      <c r="D83" s="12">
        <v>634</v>
      </c>
      <c r="E83" s="12">
        <v>659</v>
      </c>
      <c r="F83">
        <v>395</v>
      </c>
      <c r="G83">
        <v>943</v>
      </c>
      <c r="H83">
        <v>649</v>
      </c>
      <c r="M83" s="13">
        <v>607</v>
      </c>
      <c r="N83" s="13">
        <v>600</v>
      </c>
      <c r="O83" s="13">
        <v>763</v>
      </c>
      <c r="P83" s="13">
        <v>830</v>
      </c>
      <c r="Q83">
        <f t="shared" si="2"/>
        <v>1058</v>
      </c>
      <c r="R83">
        <f t="shared" si="3"/>
        <v>803</v>
      </c>
    </row>
    <row r="84" spans="1:18" ht="15">
      <c r="A84" s="11">
        <v>180.03</v>
      </c>
      <c r="B84" s="12">
        <v>768</v>
      </c>
      <c r="C84" s="12">
        <v>528</v>
      </c>
      <c r="D84" s="12">
        <v>595</v>
      </c>
      <c r="E84" s="12">
        <v>620</v>
      </c>
      <c r="F84">
        <v>372</v>
      </c>
      <c r="G84">
        <v>885</v>
      </c>
      <c r="H84">
        <v>610</v>
      </c>
      <c r="M84" s="13">
        <v>570</v>
      </c>
      <c r="N84" s="13">
        <v>561</v>
      </c>
      <c r="O84" s="13">
        <v>710</v>
      </c>
      <c r="P84" s="13">
        <v>772</v>
      </c>
      <c r="Q84">
        <f t="shared" si="2"/>
        <v>987</v>
      </c>
      <c r="R84">
        <f t="shared" si="3"/>
        <v>747</v>
      </c>
    </row>
    <row r="85" spans="1:18" ht="15">
      <c r="A85" s="11">
        <v>181.13</v>
      </c>
      <c r="B85" s="12">
        <v>82</v>
      </c>
      <c r="C85" s="12">
        <v>74</v>
      </c>
      <c r="D85" s="12">
        <v>184</v>
      </c>
      <c r="E85" s="12">
        <v>275</v>
      </c>
      <c r="F85">
        <v>165</v>
      </c>
      <c r="G85">
        <v>184</v>
      </c>
      <c r="H85">
        <v>239</v>
      </c>
      <c r="M85" s="13">
        <v>164</v>
      </c>
      <c r="N85" s="13">
        <v>190</v>
      </c>
      <c r="O85" s="13">
        <v>252</v>
      </c>
      <c r="P85" s="13">
        <v>291</v>
      </c>
      <c r="Q85">
        <f t="shared" si="2"/>
        <v>341</v>
      </c>
      <c r="R85">
        <f t="shared" si="3"/>
        <v>275</v>
      </c>
    </row>
    <row r="86" spans="1:18" ht="15">
      <c r="A86" s="11">
        <v>181.12</v>
      </c>
      <c r="B86" s="12">
        <v>56</v>
      </c>
      <c r="C86" s="12">
        <v>168</v>
      </c>
      <c r="D86" s="12">
        <v>297</v>
      </c>
      <c r="E86" s="12">
        <v>307</v>
      </c>
      <c r="F86">
        <v>184</v>
      </c>
      <c r="G86">
        <v>346</v>
      </c>
      <c r="H86">
        <v>303</v>
      </c>
      <c r="M86" s="13">
        <v>117</v>
      </c>
      <c r="N86" s="13">
        <v>172</v>
      </c>
      <c r="O86" s="13">
        <v>231</v>
      </c>
      <c r="P86" s="13">
        <v>241</v>
      </c>
      <c r="Q86">
        <f t="shared" si="2"/>
        <v>311</v>
      </c>
      <c r="R86">
        <f t="shared" si="3"/>
        <v>237</v>
      </c>
    </row>
    <row r="87" spans="1:18" ht="15">
      <c r="A87" s="11">
        <v>181.14</v>
      </c>
      <c r="B87" s="12">
        <v>301</v>
      </c>
      <c r="C87" s="12">
        <v>194</v>
      </c>
      <c r="D87" s="12">
        <v>211</v>
      </c>
      <c r="E87" s="12">
        <v>253</v>
      </c>
      <c r="F87">
        <v>152</v>
      </c>
      <c r="G87">
        <v>321</v>
      </c>
      <c r="H87">
        <v>236</v>
      </c>
      <c r="M87" s="13">
        <v>257</v>
      </c>
      <c r="N87" s="13">
        <v>233</v>
      </c>
      <c r="O87" s="13">
        <v>263</v>
      </c>
      <c r="P87" s="13">
        <v>293</v>
      </c>
      <c r="Q87">
        <f t="shared" si="2"/>
        <v>391</v>
      </c>
      <c r="R87">
        <f t="shared" si="3"/>
        <v>281</v>
      </c>
    </row>
    <row r="88" spans="1:18" ht="15">
      <c r="A88" s="11">
        <v>181.1</v>
      </c>
      <c r="B88" s="12">
        <v>122</v>
      </c>
      <c r="C88" s="12">
        <v>207</v>
      </c>
      <c r="D88" s="12">
        <v>217</v>
      </c>
      <c r="E88" s="12">
        <v>381</v>
      </c>
      <c r="F88">
        <v>229</v>
      </c>
      <c r="G88">
        <v>337</v>
      </c>
      <c r="H88">
        <v>316</v>
      </c>
      <c r="M88" s="13">
        <v>124</v>
      </c>
      <c r="N88" s="13">
        <v>187</v>
      </c>
      <c r="O88" s="13">
        <v>244</v>
      </c>
      <c r="P88" s="13">
        <v>348</v>
      </c>
      <c r="Q88">
        <f t="shared" si="2"/>
        <v>333</v>
      </c>
      <c r="R88">
        <f t="shared" si="3"/>
        <v>306</v>
      </c>
    </row>
    <row r="89" spans="1:18" ht="15">
      <c r="A89" s="11">
        <v>181.11</v>
      </c>
      <c r="B89" s="12">
        <v>123</v>
      </c>
      <c r="C89" s="12">
        <v>105</v>
      </c>
      <c r="D89" s="12">
        <v>145</v>
      </c>
      <c r="E89" s="12">
        <v>241</v>
      </c>
      <c r="F89">
        <v>145</v>
      </c>
      <c r="G89">
        <v>192</v>
      </c>
      <c r="H89">
        <v>203</v>
      </c>
      <c r="M89" s="13">
        <v>116</v>
      </c>
      <c r="N89" s="13">
        <v>119</v>
      </c>
      <c r="O89" s="13">
        <v>178</v>
      </c>
      <c r="P89" s="13">
        <v>251</v>
      </c>
      <c r="Q89">
        <f t="shared" si="2"/>
        <v>226</v>
      </c>
      <c r="R89">
        <f t="shared" si="3"/>
        <v>222</v>
      </c>
    </row>
    <row r="90" spans="1:18" ht="15">
      <c r="A90" s="11">
        <v>181.09</v>
      </c>
      <c r="B90" s="12">
        <v>188</v>
      </c>
      <c r="C90" s="12">
        <v>384</v>
      </c>
      <c r="D90" s="12">
        <v>572</v>
      </c>
      <c r="E90" s="12">
        <v>553</v>
      </c>
      <c r="F90">
        <v>332</v>
      </c>
      <c r="G90">
        <v>727</v>
      </c>
      <c r="H90">
        <v>561</v>
      </c>
      <c r="M90" s="13">
        <v>190</v>
      </c>
      <c r="N90" s="13">
        <v>313</v>
      </c>
      <c r="O90" s="13">
        <v>502</v>
      </c>
      <c r="P90" s="13">
        <v>565</v>
      </c>
      <c r="Q90">
        <f t="shared" si="2"/>
        <v>614</v>
      </c>
      <c r="R90">
        <f t="shared" si="3"/>
        <v>540</v>
      </c>
    </row>
    <row r="91" spans="1:18" ht="15">
      <c r="A91" s="11">
        <v>181.03</v>
      </c>
      <c r="B91" s="12">
        <v>220</v>
      </c>
      <c r="C91" s="12">
        <v>175</v>
      </c>
      <c r="D91" s="12">
        <v>305</v>
      </c>
      <c r="E91" s="12">
        <v>373</v>
      </c>
      <c r="F91">
        <v>224</v>
      </c>
      <c r="G91">
        <v>358</v>
      </c>
      <c r="H91">
        <v>346</v>
      </c>
      <c r="M91" s="13">
        <v>209</v>
      </c>
      <c r="N91" s="13">
        <v>259</v>
      </c>
      <c r="O91" s="13">
        <v>382</v>
      </c>
      <c r="P91" s="13">
        <v>429</v>
      </c>
      <c r="Q91">
        <f t="shared" si="2"/>
        <v>488</v>
      </c>
      <c r="R91">
        <f t="shared" si="3"/>
        <v>410</v>
      </c>
    </row>
    <row r="92" spans="1:18" ht="15">
      <c r="A92" s="11">
        <v>181.07</v>
      </c>
      <c r="B92" s="12">
        <v>153</v>
      </c>
      <c r="C92" s="12">
        <v>24</v>
      </c>
      <c r="D92" s="12">
        <v>247</v>
      </c>
      <c r="E92" s="12">
        <v>278</v>
      </c>
      <c r="F92">
        <v>167</v>
      </c>
      <c r="G92">
        <v>172</v>
      </c>
      <c r="H92">
        <v>266</v>
      </c>
      <c r="M92" s="13">
        <v>141</v>
      </c>
      <c r="N92" s="13">
        <v>188</v>
      </c>
      <c r="O92" s="13">
        <v>247</v>
      </c>
      <c r="P92" s="13">
        <v>278</v>
      </c>
      <c r="Q92">
        <f t="shared" si="2"/>
        <v>336</v>
      </c>
      <c r="R92">
        <f t="shared" si="3"/>
        <v>266</v>
      </c>
    </row>
    <row r="93" spans="1:18" ht="15">
      <c r="A93" s="11">
        <v>181.08</v>
      </c>
      <c r="B93" s="12">
        <v>125</v>
      </c>
      <c r="C93" s="12">
        <v>163</v>
      </c>
      <c r="D93" s="12">
        <v>154</v>
      </c>
      <c r="E93" s="12">
        <v>165</v>
      </c>
      <c r="F93">
        <v>99</v>
      </c>
      <c r="G93">
        <v>255</v>
      </c>
      <c r="H93">
        <v>161</v>
      </c>
      <c r="M93" s="13">
        <v>119</v>
      </c>
      <c r="N93" s="13">
        <v>153</v>
      </c>
      <c r="O93" s="13">
        <v>159</v>
      </c>
      <c r="P93" s="13">
        <v>176</v>
      </c>
      <c r="Q93">
        <f t="shared" si="2"/>
        <v>248</v>
      </c>
      <c r="R93">
        <f t="shared" si="3"/>
        <v>169</v>
      </c>
    </row>
    <row r="94" spans="1:18" ht="15">
      <c r="A94" s="11">
        <v>170.04</v>
      </c>
      <c r="B94" s="12">
        <v>104</v>
      </c>
      <c r="C94" s="12">
        <v>130</v>
      </c>
      <c r="D94" s="12">
        <v>226</v>
      </c>
      <c r="E94" s="12">
        <v>349</v>
      </c>
      <c r="F94">
        <v>209</v>
      </c>
      <c r="G94">
        <v>266</v>
      </c>
      <c r="H94">
        <v>299</v>
      </c>
      <c r="M94" s="13">
        <v>161</v>
      </c>
      <c r="N94" s="13">
        <v>199</v>
      </c>
      <c r="O94" s="13">
        <v>246</v>
      </c>
      <c r="P94" s="13">
        <v>291</v>
      </c>
      <c r="Q94">
        <f t="shared" si="2"/>
        <v>347</v>
      </c>
      <c r="R94">
        <f t="shared" si="3"/>
        <v>273</v>
      </c>
    </row>
    <row r="95" spans="1:18" ht="15">
      <c r="A95" s="11">
        <v>170.03</v>
      </c>
      <c r="B95" s="12">
        <v>58</v>
      </c>
      <c r="C95" s="12">
        <v>16</v>
      </c>
      <c r="D95" s="12">
        <v>57</v>
      </c>
      <c r="E95" s="12">
        <v>88</v>
      </c>
      <c r="F95">
        <v>53</v>
      </c>
      <c r="G95">
        <v>50</v>
      </c>
      <c r="H95">
        <v>76</v>
      </c>
      <c r="M95" s="13">
        <v>58</v>
      </c>
      <c r="N95" s="13">
        <v>38</v>
      </c>
      <c r="O95" s="13">
        <v>78</v>
      </c>
      <c r="P95" s="13">
        <v>92</v>
      </c>
      <c r="Q95">
        <f t="shared" si="2"/>
        <v>85</v>
      </c>
      <c r="R95">
        <f t="shared" si="3"/>
        <v>86</v>
      </c>
    </row>
    <row r="96" spans="1:18" ht="15">
      <c r="A96" s="11">
        <v>170.05</v>
      </c>
      <c r="B96" s="12">
        <v>9</v>
      </c>
      <c r="C96" s="12">
        <v>111</v>
      </c>
      <c r="D96" s="12">
        <v>152</v>
      </c>
      <c r="E96" s="12">
        <v>50</v>
      </c>
      <c r="F96">
        <v>30</v>
      </c>
      <c r="G96">
        <v>202</v>
      </c>
      <c r="H96">
        <v>91</v>
      </c>
      <c r="M96" s="13">
        <v>53</v>
      </c>
      <c r="N96" s="13">
        <v>44</v>
      </c>
      <c r="O96" s="13">
        <v>48</v>
      </c>
      <c r="P96" s="13">
        <v>58</v>
      </c>
      <c r="Q96">
        <f t="shared" si="2"/>
        <v>73</v>
      </c>
      <c r="R96">
        <f t="shared" si="3"/>
        <v>54</v>
      </c>
    </row>
    <row r="97" spans="1:18" ht="15">
      <c r="A97" s="11">
        <v>170.08</v>
      </c>
      <c r="B97" s="12">
        <v>145</v>
      </c>
      <c r="C97" s="12">
        <v>151</v>
      </c>
      <c r="D97" s="12">
        <v>176</v>
      </c>
      <c r="E97" s="12">
        <v>183</v>
      </c>
      <c r="F97">
        <v>110</v>
      </c>
      <c r="G97">
        <v>257</v>
      </c>
      <c r="H97">
        <v>180</v>
      </c>
      <c r="M97" s="13">
        <v>129</v>
      </c>
      <c r="N97" s="13">
        <v>119</v>
      </c>
      <c r="O97" s="13">
        <v>140</v>
      </c>
      <c r="P97" s="13">
        <v>177</v>
      </c>
      <c r="Q97">
        <f t="shared" si="2"/>
        <v>203</v>
      </c>
      <c r="R97">
        <f t="shared" si="3"/>
        <v>162</v>
      </c>
    </row>
    <row r="98" spans="1:18" ht="15">
      <c r="A98" s="11">
        <v>170.07</v>
      </c>
      <c r="B98" s="12">
        <v>326</v>
      </c>
      <c r="C98" s="12">
        <v>216</v>
      </c>
      <c r="D98" s="12">
        <v>220</v>
      </c>
      <c r="E98" s="12">
        <v>256</v>
      </c>
      <c r="F98">
        <v>154</v>
      </c>
      <c r="G98">
        <v>348</v>
      </c>
      <c r="H98">
        <v>242</v>
      </c>
      <c r="M98" s="13">
        <v>217</v>
      </c>
      <c r="N98" s="13">
        <v>199</v>
      </c>
      <c r="O98" s="13">
        <v>224</v>
      </c>
      <c r="P98" s="13">
        <v>225</v>
      </c>
      <c r="Q98">
        <f t="shared" si="2"/>
        <v>333</v>
      </c>
      <c r="R98">
        <f t="shared" si="3"/>
        <v>225</v>
      </c>
    </row>
    <row r="99" spans="1:18" ht="15">
      <c r="A99" s="11">
        <v>181.05</v>
      </c>
      <c r="B99" s="12">
        <v>302</v>
      </c>
      <c r="C99" s="12">
        <v>2385</v>
      </c>
      <c r="D99" s="12">
        <v>359</v>
      </c>
      <c r="E99" s="12">
        <v>102</v>
      </c>
      <c r="F99">
        <v>61</v>
      </c>
      <c r="G99">
        <v>2600</v>
      </c>
      <c r="H99">
        <v>205</v>
      </c>
      <c r="M99" s="13">
        <v>302</v>
      </c>
      <c r="N99" s="13">
        <v>309</v>
      </c>
      <c r="O99" s="13">
        <v>359</v>
      </c>
      <c r="P99" s="13">
        <v>426</v>
      </c>
      <c r="Q99">
        <f t="shared" si="2"/>
        <v>524</v>
      </c>
      <c r="R99">
        <f t="shared" si="3"/>
        <v>399</v>
      </c>
    </row>
    <row r="100" spans="1:18" ht="15">
      <c r="A100" s="11">
        <v>181.16</v>
      </c>
      <c r="B100" s="12">
        <v>73</v>
      </c>
      <c r="C100" s="12">
        <v>123</v>
      </c>
      <c r="D100" s="12">
        <v>97</v>
      </c>
      <c r="E100" s="12">
        <v>169</v>
      </c>
      <c r="F100">
        <v>101</v>
      </c>
      <c r="G100">
        <v>181</v>
      </c>
      <c r="H100">
        <v>140</v>
      </c>
      <c r="M100" s="13">
        <v>99</v>
      </c>
      <c r="N100" s="13">
        <v>117</v>
      </c>
      <c r="O100" s="13">
        <v>255</v>
      </c>
      <c r="P100" s="13">
        <v>164</v>
      </c>
      <c r="Q100">
        <f t="shared" si="2"/>
        <v>270</v>
      </c>
      <c r="R100">
        <f t="shared" si="3"/>
        <v>200</v>
      </c>
    </row>
    <row r="101" spans="1:18" ht="15">
      <c r="A101" s="11">
        <v>181.15</v>
      </c>
      <c r="B101" s="12">
        <v>70</v>
      </c>
      <c r="C101" s="12">
        <v>123</v>
      </c>
      <c r="D101" s="12">
        <v>97</v>
      </c>
      <c r="E101" s="12">
        <v>167</v>
      </c>
      <c r="F101">
        <v>100</v>
      </c>
      <c r="G101">
        <v>181</v>
      </c>
      <c r="H101">
        <v>139</v>
      </c>
      <c r="M101" s="13">
        <v>98</v>
      </c>
      <c r="N101" s="13">
        <v>117</v>
      </c>
      <c r="O101" s="13">
        <v>255</v>
      </c>
      <c r="P101" s="13">
        <v>164</v>
      </c>
      <c r="Q101">
        <f t="shared" si="2"/>
        <v>270</v>
      </c>
      <c r="R101">
        <f t="shared" si="3"/>
        <v>200</v>
      </c>
    </row>
    <row r="102" spans="1:18" ht="12.75">
      <c r="A102" s="1">
        <v>185.05</v>
      </c>
      <c r="B102" s="1">
        <v>426</v>
      </c>
      <c r="C102" s="1">
        <v>127</v>
      </c>
      <c r="D102" s="1">
        <v>424</v>
      </c>
      <c r="E102" s="1">
        <v>764</v>
      </c>
      <c r="F102">
        <v>458</v>
      </c>
      <c r="G102">
        <v>381</v>
      </c>
      <c r="H102">
        <v>628</v>
      </c>
      <c r="M102" s="13">
        <v>448</v>
      </c>
      <c r="N102" s="13">
        <v>464</v>
      </c>
      <c r="O102" s="13">
        <v>568</v>
      </c>
      <c r="P102" s="13">
        <v>600</v>
      </c>
      <c r="Q102">
        <f t="shared" si="2"/>
        <v>805</v>
      </c>
      <c r="R102">
        <f t="shared" si="3"/>
        <v>587</v>
      </c>
    </row>
    <row r="103" spans="1:18" ht="12.75">
      <c r="G103">
        <f t="shared" ref="G103:H103" si="4">SUM(G2:G102)</f>
        <v>59893</v>
      </c>
      <c r="H103">
        <f t="shared" si="4"/>
        <v>41180</v>
      </c>
      <c r="Q103" s="5">
        <f>SUM(Q2:Q102)</f>
        <v>66081</v>
      </c>
      <c r="R103" s="5">
        <f>SUM(R2:R102)</f>
        <v>43855</v>
      </c>
    </row>
    <row r="104" spans="1:18" ht="12.75">
      <c r="A104" s="11">
        <v>9330192</v>
      </c>
      <c r="B104">
        <v>1</v>
      </c>
      <c r="C104">
        <v>1</v>
      </c>
      <c r="D104">
        <v>1</v>
      </c>
      <c r="E104">
        <v>1</v>
      </c>
      <c r="M104">
        <v>5.8341714887844474E-2</v>
      </c>
      <c r="N104">
        <v>6.0977122761343032E-2</v>
      </c>
      <c r="O104">
        <v>6.7469408148226676E-2</v>
      </c>
      <c r="P104">
        <v>7.0623272907516674E-2</v>
      </c>
      <c r="Q104">
        <f>N104+0.6*O104</f>
        <v>0.10145876765027903</v>
      </c>
      <c r="R104">
        <f>0.6*P104+0.4*O104</f>
        <v>6.9361727003800666E-2</v>
      </c>
    </row>
    <row r="105" spans="1:18" ht="12.75">
      <c r="A105" s="11">
        <v>9330186.0099999998</v>
      </c>
      <c r="B105">
        <v>1</v>
      </c>
      <c r="C105">
        <v>1</v>
      </c>
      <c r="D105">
        <v>2</v>
      </c>
      <c r="E105">
        <v>1</v>
      </c>
      <c r="Q105">
        <f t="shared" ref="Q105:R105" si="5">Q103/Q104</f>
        <v>651308.91622670193</v>
      </c>
      <c r="R105">
        <f t="shared" si="5"/>
        <v>632265.11066538142</v>
      </c>
    </row>
    <row r="106" spans="1:18" ht="12.75">
      <c r="A106" s="11">
        <v>186.02</v>
      </c>
      <c r="B106">
        <v>1</v>
      </c>
      <c r="C106">
        <v>2</v>
      </c>
      <c r="D106">
        <v>18</v>
      </c>
      <c r="E106">
        <v>1</v>
      </c>
    </row>
    <row r="107" spans="1:18" ht="12.75">
      <c r="A107" s="11">
        <v>186.05</v>
      </c>
      <c r="B107">
        <v>1</v>
      </c>
      <c r="C107">
        <v>1</v>
      </c>
      <c r="D107">
        <v>1</v>
      </c>
      <c r="E107">
        <v>1</v>
      </c>
    </row>
    <row r="108" spans="1:18" ht="12.75">
      <c r="A108" s="11">
        <v>186.06</v>
      </c>
      <c r="B108">
        <v>4</v>
      </c>
      <c r="C108">
        <v>2</v>
      </c>
      <c r="D108">
        <v>1</v>
      </c>
      <c r="E108">
        <v>1</v>
      </c>
    </row>
    <row r="109" spans="1:18" ht="12.75">
      <c r="A109" s="11">
        <v>185.09</v>
      </c>
      <c r="B109">
        <v>1</v>
      </c>
      <c r="C109">
        <v>1</v>
      </c>
      <c r="D109">
        <v>1</v>
      </c>
      <c r="E109">
        <v>1</v>
      </c>
    </row>
    <row r="110" spans="1:18" ht="12.75">
      <c r="A110" s="11">
        <v>185.11</v>
      </c>
      <c r="B110">
        <v>1</v>
      </c>
      <c r="C110">
        <v>1</v>
      </c>
      <c r="D110">
        <v>1</v>
      </c>
      <c r="E110">
        <v>1</v>
      </c>
    </row>
    <row r="111" spans="1:18" ht="12.75">
      <c r="A111" s="11">
        <v>185.1</v>
      </c>
      <c r="B111">
        <v>11</v>
      </c>
      <c r="C111">
        <v>3</v>
      </c>
      <c r="D111">
        <v>2</v>
      </c>
      <c r="E111">
        <v>1</v>
      </c>
    </row>
    <row r="112" spans="1:18" ht="12.75">
      <c r="A112" s="11">
        <v>185.21</v>
      </c>
      <c r="B112">
        <v>1</v>
      </c>
      <c r="C112">
        <v>1</v>
      </c>
      <c r="D112">
        <v>1</v>
      </c>
      <c r="E112">
        <v>1</v>
      </c>
    </row>
    <row r="113" spans="1:5" ht="12.75">
      <c r="A113" s="11">
        <v>185.22</v>
      </c>
      <c r="B113">
        <v>1</v>
      </c>
      <c r="C113">
        <v>1</v>
      </c>
      <c r="D113">
        <v>1</v>
      </c>
      <c r="E113">
        <v>1</v>
      </c>
    </row>
    <row r="114" spans="1:5" ht="12.75">
      <c r="A114" s="11">
        <v>185.17</v>
      </c>
      <c r="B114">
        <v>1</v>
      </c>
      <c r="C114">
        <v>1</v>
      </c>
      <c r="D114">
        <v>1</v>
      </c>
      <c r="E114">
        <v>1</v>
      </c>
    </row>
    <row r="115" spans="1:5" ht="12.75">
      <c r="A115" s="11">
        <v>185.18</v>
      </c>
      <c r="B115">
        <v>1</v>
      </c>
      <c r="C115">
        <v>1</v>
      </c>
      <c r="D115">
        <v>1</v>
      </c>
      <c r="E115">
        <v>1</v>
      </c>
    </row>
    <row r="116" spans="1:5" ht="12.75">
      <c r="A116" s="11">
        <v>185.19</v>
      </c>
      <c r="B116">
        <v>1</v>
      </c>
      <c r="C116">
        <v>1</v>
      </c>
      <c r="D116">
        <v>1</v>
      </c>
      <c r="E116">
        <v>1</v>
      </c>
    </row>
    <row r="117" spans="1:5" ht="12.75">
      <c r="A117" s="11">
        <v>185.2</v>
      </c>
      <c r="B117">
        <v>1</v>
      </c>
      <c r="C117">
        <v>1</v>
      </c>
      <c r="D117">
        <v>1</v>
      </c>
      <c r="E117">
        <v>1</v>
      </c>
    </row>
    <row r="118" spans="1:5" ht="12.75">
      <c r="A118" s="11">
        <v>185.08</v>
      </c>
      <c r="B118">
        <v>1</v>
      </c>
      <c r="C118">
        <v>1</v>
      </c>
      <c r="D118">
        <v>1</v>
      </c>
      <c r="E118">
        <v>1</v>
      </c>
    </row>
    <row r="119" spans="1:5" ht="12.75">
      <c r="A119" s="11">
        <v>185.07</v>
      </c>
      <c r="B119">
        <v>1</v>
      </c>
      <c r="C119">
        <v>2</v>
      </c>
      <c r="D119">
        <v>1</v>
      </c>
      <c r="E119">
        <v>1</v>
      </c>
    </row>
    <row r="120" spans="1:5" ht="12.75">
      <c r="A120" s="11">
        <v>185.12</v>
      </c>
      <c r="B120">
        <v>2</v>
      </c>
      <c r="C120">
        <v>1</v>
      </c>
      <c r="D120">
        <v>1</v>
      </c>
      <c r="E120">
        <v>1</v>
      </c>
    </row>
    <row r="121" spans="1:5" ht="12.75">
      <c r="A121" s="11">
        <v>185.16</v>
      </c>
      <c r="B121">
        <v>1</v>
      </c>
      <c r="C121">
        <v>6</v>
      </c>
      <c r="D121">
        <v>1</v>
      </c>
      <c r="E121">
        <v>1</v>
      </c>
    </row>
    <row r="122" spans="1:5" ht="12.75">
      <c r="A122" s="11">
        <v>185.15</v>
      </c>
      <c r="B122">
        <v>1</v>
      </c>
      <c r="C122">
        <v>1</v>
      </c>
      <c r="D122">
        <v>1</v>
      </c>
      <c r="E122">
        <v>1</v>
      </c>
    </row>
    <row r="123" spans="1:5" ht="12.75">
      <c r="A123" s="11">
        <v>186.07</v>
      </c>
      <c r="B123">
        <v>1</v>
      </c>
      <c r="C123">
        <v>1</v>
      </c>
      <c r="D123">
        <v>1</v>
      </c>
      <c r="E123">
        <v>1</v>
      </c>
    </row>
    <row r="124" spans="1:5" ht="12.75">
      <c r="A124" s="11">
        <v>186.08</v>
      </c>
      <c r="B124">
        <v>1</v>
      </c>
      <c r="C124">
        <v>1</v>
      </c>
      <c r="D124">
        <v>1</v>
      </c>
      <c r="E124">
        <v>1</v>
      </c>
    </row>
    <row r="125" spans="1:5" ht="12.75">
      <c r="A125" s="11">
        <v>191.03</v>
      </c>
      <c r="B125">
        <v>1</v>
      </c>
      <c r="C125">
        <v>1</v>
      </c>
      <c r="D125">
        <v>1</v>
      </c>
      <c r="E125">
        <v>1</v>
      </c>
    </row>
    <row r="126" spans="1:5" ht="12.75">
      <c r="A126" s="11">
        <v>191.04</v>
      </c>
      <c r="B126">
        <v>1</v>
      </c>
      <c r="C126">
        <v>1</v>
      </c>
      <c r="D126">
        <v>1</v>
      </c>
      <c r="E126">
        <v>1</v>
      </c>
    </row>
    <row r="127" spans="1:5" ht="12.75">
      <c r="A127" s="11">
        <v>191.05</v>
      </c>
      <c r="B127">
        <v>1</v>
      </c>
      <c r="C127">
        <v>2</v>
      </c>
      <c r="D127">
        <v>2</v>
      </c>
      <c r="E127">
        <v>4</v>
      </c>
    </row>
    <row r="128" spans="1:5" ht="12.75">
      <c r="A128" s="11">
        <v>191.06</v>
      </c>
      <c r="B128">
        <v>1</v>
      </c>
      <c r="C128">
        <v>2</v>
      </c>
      <c r="D128">
        <v>3</v>
      </c>
      <c r="E128">
        <v>2</v>
      </c>
    </row>
    <row r="129" spans="1:5" ht="12.75">
      <c r="A129" s="11">
        <v>191.07</v>
      </c>
      <c r="B129">
        <v>1</v>
      </c>
      <c r="C129">
        <v>2</v>
      </c>
      <c r="D129">
        <v>2</v>
      </c>
      <c r="E129">
        <v>1</v>
      </c>
    </row>
    <row r="130" spans="1:5" ht="12.75">
      <c r="A130" s="11">
        <v>190.03</v>
      </c>
      <c r="B130">
        <v>1</v>
      </c>
      <c r="C130">
        <v>1</v>
      </c>
      <c r="D130">
        <v>1</v>
      </c>
      <c r="E130">
        <v>1</v>
      </c>
    </row>
    <row r="131" spans="1:5" ht="12.75">
      <c r="A131" s="11">
        <v>190.04</v>
      </c>
      <c r="B131">
        <v>1</v>
      </c>
      <c r="C131">
        <v>2</v>
      </c>
      <c r="D131">
        <v>1</v>
      </c>
      <c r="E131">
        <v>1</v>
      </c>
    </row>
    <row r="132" spans="1:5" ht="12.75">
      <c r="A132" s="11">
        <v>190.05</v>
      </c>
      <c r="B132">
        <v>1</v>
      </c>
      <c r="C132">
        <v>1</v>
      </c>
      <c r="D132">
        <v>1</v>
      </c>
      <c r="E132">
        <v>1</v>
      </c>
    </row>
    <row r="133" spans="1:5" ht="12.75">
      <c r="A133" s="11">
        <v>190.01</v>
      </c>
      <c r="B133">
        <v>1</v>
      </c>
      <c r="C133">
        <v>1</v>
      </c>
      <c r="D133">
        <v>3</v>
      </c>
      <c r="E133">
        <v>1</v>
      </c>
    </row>
    <row r="134" spans="1:5" ht="12.75">
      <c r="A134" s="11">
        <v>189.06</v>
      </c>
      <c r="B134">
        <v>2</v>
      </c>
      <c r="C134">
        <v>1</v>
      </c>
      <c r="D134">
        <v>1</v>
      </c>
      <c r="E134">
        <v>1</v>
      </c>
    </row>
    <row r="135" spans="1:5" ht="12.75">
      <c r="A135" s="11">
        <v>187.04</v>
      </c>
      <c r="B135">
        <v>1</v>
      </c>
      <c r="C135">
        <v>1</v>
      </c>
      <c r="D135">
        <v>1</v>
      </c>
      <c r="E135">
        <v>1</v>
      </c>
    </row>
    <row r="136" spans="1:5" ht="12.75">
      <c r="A136" s="11">
        <v>187.05</v>
      </c>
      <c r="B136">
        <v>1</v>
      </c>
      <c r="C136">
        <v>1</v>
      </c>
      <c r="D136">
        <v>1</v>
      </c>
      <c r="E136">
        <v>1</v>
      </c>
    </row>
    <row r="137" spans="1:5" ht="12.75">
      <c r="A137" s="11">
        <v>184.02</v>
      </c>
      <c r="B137">
        <v>1</v>
      </c>
      <c r="C137">
        <v>1</v>
      </c>
      <c r="D137">
        <v>1</v>
      </c>
      <c r="E137">
        <v>1</v>
      </c>
    </row>
    <row r="138" spans="1:5" ht="12.75">
      <c r="A138" s="11">
        <v>184.15</v>
      </c>
      <c r="B138">
        <v>1</v>
      </c>
      <c r="C138">
        <v>2</v>
      </c>
      <c r="D138">
        <v>1</v>
      </c>
      <c r="E138">
        <v>1</v>
      </c>
    </row>
    <row r="139" spans="1:5" ht="12.75">
      <c r="A139" s="11">
        <v>184.16</v>
      </c>
      <c r="B139">
        <v>1</v>
      </c>
      <c r="C139">
        <v>1</v>
      </c>
      <c r="D139">
        <v>1</v>
      </c>
      <c r="E139">
        <v>2</v>
      </c>
    </row>
    <row r="140" spans="1:5" ht="12.75">
      <c r="A140" s="11">
        <v>184.07</v>
      </c>
      <c r="B140">
        <v>1</v>
      </c>
      <c r="C140">
        <v>1</v>
      </c>
      <c r="D140">
        <v>14</v>
      </c>
      <c r="E140">
        <v>2</v>
      </c>
    </row>
    <row r="141" spans="1:5" ht="12.75">
      <c r="A141" s="11">
        <v>184.08</v>
      </c>
      <c r="B141">
        <v>1</v>
      </c>
      <c r="C141">
        <v>1</v>
      </c>
      <c r="D141">
        <v>1</v>
      </c>
      <c r="E141">
        <v>1</v>
      </c>
    </row>
    <row r="142" spans="1:5" ht="12.75">
      <c r="A142" s="11">
        <v>184.06</v>
      </c>
      <c r="B142">
        <v>1</v>
      </c>
      <c r="C142">
        <v>1</v>
      </c>
      <c r="D142">
        <v>1</v>
      </c>
      <c r="E142">
        <v>1</v>
      </c>
    </row>
    <row r="143" spans="1:5" ht="12.75">
      <c r="A143" s="11">
        <v>184.12</v>
      </c>
      <c r="B143">
        <v>1</v>
      </c>
      <c r="C143">
        <v>1</v>
      </c>
      <c r="D143">
        <v>1</v>
      </c>
      <c r="E143">
        <v>1</v>
      </c>
    </row>
    <row r="144" spans="1:5" ht="12.75">
      <c r="A144" s="11">
        <v>184.13</v>
      </c>
      <c r="B144">
        <v>1</v>
      </c>
      <c r="C144">
        <v>2</v>
      </c>
      <c r="D144">
        <v>2</v>
      </c>
      <c r="E144">
        <v>1</v>
      </c>
    </row>
    <row r="145" spans="1:5" ht="12.75">
      <c r="A145" s="11">
        <v>184.14</v>
      </c>
      <c r="B145">
        <v>1</v>
      </c>
      <c r="C145">
        <v>1</v>
      </c>
      <c r="D145">
        <v>1</v>
      </c>
      <c r="E145">
        <v>1</v>
      </c>
    </row>
    <row r="146" spans="1:5" ht="12.75">
      <c r="A146" s="11">
        <v>182.03</v>
      </c>
      <c r="B146">
        <v>1</v>
      </c>
      <c r="C146">
        <v>2</v>
      </c>
      <c r="D146">
        <v>10</v>
      </c>
      <c r="E146">
        <v>2</v>
      </c>
    </row>
    <row r="147" spans="1:5" ht="12.75">
      <c r="A147" s="11">
        <v>184.11</v>
      </c>
      <c r="B147">
        <v>1</v>
      </c>
      <c r="C147">
        <v>2</v>
      </c>
      <c r="D147">
        <v>1</v>
      </c>
      <c r="E147">
        <v>1</v>
      </c>
    </row>
    <row r="148" spans="1:5" ht="12.75">
      <c r="A148" s="11">
        <v>184.1</v>
      </c>
      <c r="B148">
        <v>8</v>
      </c>
      <c r="C148">
        <v>1</v>
      </c>
      <c r="D148">
        <v>1</v>
      </c>
      <c r="E148">
        <v>1</v>
      </c>
    </row>
    <row r="149" spans="1:5" ht="12.75">
      <c r="A149" s="11">
        <v>184.09</v>
      </c>
      <c r="B149">
        <v>1</v>
      </c>
      <c r="C149">
        <v>1</v>
      </c>
      <c r="D149">
        <v>1</v>
      </c>
      <c r="E149">
        <v>1</v>
      </c>
    </row>
    <row r="150" spans="1:5" ht="12.75">
      <c r="A150" s="11">
        <v>187.03</v>
      </c>
      <c r="B150">
        <v>1</v>
      </c>
      <c r="C150">
        <v>1</v>
      </c>
      <c r="D150">
        <v>2</v>
      </c>
      <c r="E150">
        <v>1</v>
      </c>
    </row>
    <row r="151" spans="1:5" ht="12.75">
      <c r="A151" s="11">
        <v>189.05</v>
      </c>
      <c r="B151">
        <v>1</v>
      </c>
      <c r="C151">
        <v>1</v>
      </c>
      <c r="D151">
        <v>1</v>
      </c>
      <c r="E151">
        <v>1</v>
      </c>
    </row>
    <row r="152" spans="1:5" ht="12.75">
      <c r="A152" s="11">
        <v>189.08</v>
      </c>
      <c r="B152">
        <v>1</v>
      </c>
      <c r="C152">
        <v>2</v>
      </c>
      <c r="D152">
        <v>1</v>
      </c>
      <c r="E152">
        <v>1</v>
      </c>
    </row>
    <row r="153" spans="1:5" ht="12.75">
      <c r="A153" s="11">
        <v>189.03</v>
      </c>
      <c r="B153">
        <v>1</v>
      </c>
      <c r="C153">
        <v>1</v>
      </c>
      <c r="D153">
        <v>1</v>
      </c>
      <c r="E153">
        <v>1</v>
      </c>
    </row>
    <row r="154" spans="1:5" ht="12.75">
      <c r="A154" s="11">
        <v>188.01</v>
      </c>
      <c r="B154">
        <v>2</v>
      </c>
      <c r="C154">
        <v>1</v>
      </c>
      <c r="D154">
        <v>2</v>
      </c>
      <c r="E154">
        <v>1</v>
      </c>
    </row>
    <row r="155" spans="1:5" ht="12.75">
      <c r="A155" s="11">
        <v>188.02</v>
      </c>
      <c r="B155">
        <v>1</v>
      </c>
      <c r="C155">
        <v>2</v>
      </c>
      <c r="D155">
        <v>1</v>
      </c>
      <c r="E155">
        <v>1</v>
      </c>
    </row>
    <row r="156" spans="1:5" ht="12.75">
      <c r="A156" s="11">
        <v>189.07</v>
      </c>
      <c r="B156">
        <v>1</v>
      </c>
      <c r="C156">
        <v>2</v>
      </c>
      <c r="D156">
        <v>1</v>
      </c>
      <c r="E156">
        <v>1</v>
      </c>
    </row>
    <row r="157" spans="1:5" ht="12.75">
      <c r="A157" s="11">
        <v>189.1</v>
      </c>
      <c r="B157">
        <v>1</v>
      </c>
      <c r="C157">
        <v>1</v>
      </c>
      <c r="D157">
        <v>1</v>
      </c>
      <c r="E157">
        <v>1</v>
      </c>
    </row>
    <row r="158" spans="1:5" ht="12.75">
      <c r="A158" s="11">
        <v>189.09</v>
      </c>
      <c r="B158">
        <v>8</v>
      </c>
      <c r="C158">
        <v>1</v>
      </c>
      <c r="D158">
        <v>1</v>
      </c>
      <c r="E158">
        <v>1</v>
      </c>
    </row>
    <row r="159" spans="1:5" ht="12.75">
      <c r="A159" s="11">
        <v>188.08</v>
      </c>
      <c r="B159">
        <v>1</v>
      </c>
      <c r="C159">
        <v>1</v>
      </c>
      <c r="D159">
        <v>1</v>
      </c>
      <c r="E159">
        <v>1</v>
      </c>
    </row>
    <row r="160" spans="1:5" ht="12.75">
      <c r="A160" s="11">
        <v>188.07</v>
      </c>
      <c r="B160">
        <v>1</v>
      </c>
      <c r="C160">
        <v>1</v>
      </c>
      <c r="D160">
        <v>1</v>
      </c>
      <c r="E160">
        <v>1</v>
      </c>
    </row>
    <row r="161" spans="1:5" ht="12.75">
      <c r="A161" s="11">
        <v>188.04</v>
      </c>
      <c r="B161">
        <v>1</v>
      </c>
      <c r="C161">
        <v>1</v>
      </c>
      <c r="D161">
        <v>1</v>
      </c>
      <c r="E161">
        <v>1</v>
      </c>
    </row>
    <row r="162" spans="1:5" ht="12.75">
      <c r="A162" s="11">
        <v>187.12</v>
      </c>
      <c r="B162">
        <v>1</v>
      </c>
      <c r="C162">
        <v>1</v>
      </c>
      <c r="D162">
        <v>1</v>
      </c>
      <c r="E162">
        <v>1</v>
      </c>
    </row>
    <row r="163" spans="1:5" ht="12.75">
      <c r="A163" s="11">
        <v>187.06</v>
      </c>
      <c r="B163">
        <v>1</v>
      </c>
      <c r="C163">
        <v>1</v>
      </c>
      <c r="D163">
        <v>1</v>
      </c>
      <c r="E163">
        <v>1</v>
      </c>
    </row>
    <row r="164" spans="1:5" ht="12.75">
      <c r="A164" s="11">
        <v>187.13</v>
      </c>
      <c r="B164">
        <v>1</v>
      </c>
      <c r="C164">
        <v>1</v>
      </c>
      <c r="D164">
        <v>1</v>
      </c>
      <c r="E164">
        <v>1</v>
      </c>
    </row>
    <row r="165" spans="1:5" ht="12.75">
      <c r="A165" s="11">
        <v>187.11</v>
      </c>
      <c r="B165">
        <v>1</v>
      </c>
      <c r="C165">
        <v>1</v>
      </c>
      <c r="D165">
        <v>1</v>
      </c>
      <c r="E165">
        <v>1</v>
      </c>
    </row>
    <row r="166" spans="1:5" ht="12.75">
      <c r="A166" s="11">
        <v>187.07</v>
      </c>
      <c r="B166">
        <v>1</v>
      </c>
      <c r="C166">
        <v>9</v>
      </c>
      <c r="D166">
        <v>1</v>
      </c>
      <c r="E166">
        <v>1</v>
      </c>
    </row>
    <row r="167" spans="1:5" ht="12.75">
      <c r="A167" s="11">
        <v>187.15</v>
      </c>
      <c r="B167">
        <v>1</v>
      </c>
      <c r="C167">
        <v>1</v>
      </c>
      <c r="D167">
        <v>1</v>
      </c>
      <c r="E167">
        <v>1</v>
      </c>
    </row>
    <row r="168" spans="1:5" ht="12.75">
      <c r="A168" s="11">
        <v>187.14</v>
      </c>
      <c r="B168">
        <v>1</v>
      </c>
      <c r="C168">
        <v>1</v>
      </c>
      <c r="D168">
        <v>1</v>
      </c>
      <c r="E168" t="s">
        <v>947</v>
      </c>
    </row>
    <row r="169" spans="1:5" ht="12.75">
      <c r="A169" s="11">
        <v>187.16</v>
      </c>
      <c r="B169">
        <v>1</v>
      </c>
      <c r="C169">
        <v>1</v>
      </c>
      <c r="D169">
        <v>1</v>
      </c>
      <c r="E169">
        <v>1</v>
      </c>
    </row>
    <row r="170" spans="1:5" ht="12.75">
      <c r="A170" s="11">
        <v>182.04</v>
      </c>
      <c r="B170">
        <v>1</v>
      </c>
      <c r="C170">
        <v>1</v>
      </c>
      <c r="D170">
        <v>1</v>
      </c>
      <c r="E170">
        <v>1</v>
      </c>
    </row>
    <row r="171" spans="1:5" ht="12.75">
      <c r="A171" s="11">
        <v>182.05</v>
      </c>
      <c r="B171">
        <v>1</v>
      </c>
      <c r="C171">
        <v>1</v>
      </c>
      <c r="D171">
        <v>1</v>
      </c>
      <c r="E171">
        <v>1</v>
      </c>
    </row>
    <row r="172" spans="1:5" ht="12.75">
      <c r="A172" s="11">
        <v>182.02</v>
      </c>
      <c r="B172">
        <v>1</v>
      </c>
      <c r="C172">
        <v>1</v>
      </c>
      <c r="D172">
        <v>1</v>
      </c>
      <c r="E172">
        <v>1</v>
      </c>
    </row>
    <row r="173" spans="1:5" ht="12.75">
      <c r="A173" s="11">
        <v>183.01</v>
      </c>
      <c r="B173">
        <v>1</v>
      </c>
      <c r="C173">
        <v>1</v>
      </c>
      <c r="D173">
        <v>1</v>
      </c>
      <c r="E173">
        <v>1</v>
      </c>
    </row>
    <row r="174" spans="1:5" ht="12.75">
      <c r="A174" s="11">
        <v>183.03</v>
      </c>
      <c r="B174">
        <v>1</v>
      </c>
      <c r="C174">
        <v>1</v>
      </c>
      <c r="D174">
        <v>2</v>
      </c>
      <c r="E174">
        <v>1</v>
      </c>
    </row>
    <row r="175" spans="1:5" ht="12.75">
      <c r="A175" s="11">
        <v>183.05</v>
      </c>
      <c r="B175">
        <v>1</v>
      </c>
      <c r="C175">
        <v>1</v>
      </c>
      <c r="D175">
        <v>1</v>
      </c>
      <c r="E175">
        <v>1</v>
      </c>
    </row>
    <row r="176" spans="1:5" ht="12.75">
      <c r="A176" s="11">
        <v>183.07</v>
      </c>
      <c r="B176">
        <v>1</v>
      </c>
      <c r="C176">
        <v>1</v>
      </c>
      <c r="D176">
        <v>1</v>
      </c>
      <c r="E176">
        <v>1</v>
      </c>
    </row>
    <row r="177" spans="1:5" ht="12.75">
      <c r="A177" s="11">
        <v>183.06</v>
      </c>
      <c r="B177">
        <v>1</v>
      </c>
      <c r="C177">
        <v>1</v>
      </c>
      <c r="D177">
        <v>1</v>
      </c>
      <c r="E177">
        <v>1</v>
      </c>
    </row>
    <row r="178" spans="1:5" ht="12.75">
      <c r="A178" s="11">
        <v>183.08</v>
      </c>
      <c r="B178">
        <v>1</v>
      </c>
      <c r="C178">
        <v>1</v>
      </c>
      <c r="D178">
        <v>1</v>
      </c>
      <c r="E178">
        <v>1</v>
      </c>
    </row>
    <row r="179" spans="1:5" ht="12.75">
      <c r="A179" s="21">
        <v>183.09</v>
      </c>
      <c r="B179">
        <v>1</v>
      </c>
      <c r="C179">
        <v>1</v>
      </c>
      <c r="D179">
        <v>2</v>
      </c>
      <c r="E179">
        <v>3</v>
      </c>
    </row>
    <row r="180" spans="1:5" ht="12.75">
      <c r="A180" s="11">
        <v>182.06</v>
      </c>
      <c r="B180">
        <v>1</v>
      </c>
      <c r="C180">
        <v>1</v>
      </c>
      <c r="D180">
        <v>1</v>
      </c>
      <c r="E180">
        <v>1</v>
      </c>
    </row>
    <row r="181" spans="1:5" ht="12.75">
      <c r="A181" s="11">
        <v>188.06</v>
      </c>
      <c r="B181">
        <v>1</v>
      </c>
      <c r="C181">
        <v>1</v>
      </c>
      <c r="D181">
        <v>1</v>
      </c>
      <c r="E181">
        <v>1</v>
      </c>
    </row>
    <row r="182" spans="1:5" ht="12.75">
      <c r="A182" s="11">
        <v>188.05</v>
      </c>
      <c r="B182">
        <v>1</v>
      </c>
      <c r="C182">
        <v>1</v>
      </c>
      <c r="D182">
        <v>1</v>
      </c>
      <c r="E182">
        <v>1</v>
      </c>
    </row>
    <row r="183" spans="1:5" ht="12.75">
      <c r="A183" s="11">
        <v>182.01</v>
      </c>
      <c r="B183">
        <v>1</v>
      </c>
      <c r="C183">
        <v>1</v>
      </c>
      <c r="D183">
        <v>1</v>
      </c>
      <c r="E183">
        <v>1</v>
      </c>
    </row>
    <row r="184" spans="1:5" ht="12.75">
      <c r="A184" s="11">
        <v>180.01</v>
      </c>
      <c r="B184">
        <v>2</v>
      </c>
      <c r="C184">
        <v>1</v>
      </c>
      <c r="D184">
        <v>1</v>
      </c>
      <c r="E184">
        <v>1</v>
      </c>
    </row>
    <row r="185" spans="1:5" ht="12.75">
      <c r="A185" s="11">
        <v>180.04</v>
      </c>
      <c r="B185">
        <v>1</v>
      </c>
      <c r="C185">
        <v>1</v>
      </c>
      <c r="D185">
        <v>1</v>
      </c>
      <c r="E185">
        <v>1</v>
      </c>
    </row>
    <row r="186" spans="1:5" ht="12.75">
      <c r="A186" s="11">
        <v>180.03</v>
      </c>
      <c r="B186">
        <v>1</v>
      </c>
      <c r="C186">
        <v>1</v>
      </c>
      <c r="D186">
        <v>1</v>
      </c>
      <c r="E186">
        <v>1</v>
      </c>
    </row>
    <row r="187" spans="1:5" ht="12.75">
      <c r="A187" s="11">
        <v>181.13</v>
      </c>
      <c r="B187">
        <v>2</v>
      </c>
      <c r="C187">
        <v>3</v>
      </c>
      <c r="D187">
        <v>1</v>
      </c>
      <c r="E187">
        <v>1</v>
      </c>
    </row>
    <row r="188" spans="1:5" ht="12.75">
      <c r="A188" s="11">
        <v>181.12</v>
      </c>
      <c r="B188">
        <v>2</v>
      </c>
      <c r="C188">
        <v>1</v>
      </c>
      <c r="D188">
        <v>1</v>
      </c>
      <c r="E188">
        <v>1</v>
      </c>
    </row>
    <row r="189" spans="1:5" ht="12.75">
      <c r="A189" s="11">
        <v>181.14</v>
      </c>
      <c r="B189">
        <v>1</v>
      </c>
      <c r="C189">
        <v>1</v>
      </c>
      <c r="D189">
        <v>1</v>
      </c>
      <c r="E189">
        <v>1</v>
      </c>
    </row>
    <row r="190" spans="1:5" ht="12.75">
      <c r="A190" s="11">
        <v>181.1</v>
      </c>
      <c r="B190">
        <v>1</v>
      </c>
      <c r="C190">
        <v>1</v>
      </c>
      <c r="D190">
        <v>1</v>
      </c>
      <c r="E190">
        <v>1</v>
      </c>
    </row>
    <row r="191" spans="1:5" ht="12.75">
      <c r="A191" s="11">
        <v>181.11</v>
      </c>
      <c r="B191">
        <v>1</v>
      </c>
      <c r="C191">
        <v>1</v>
      </c>
      <c r="D191">
        <v>1</v>
      </c>
      <c r="E191">
        <v>1</v>
      </c>
    </row>
    <row r="192" spans="1:5" ht="12.75">
      <c r="A192" s="11">
        <v>181.09</v>
      </c>
      <c r="B192">
        <v>1</v>
      </c>
      <c r="C192">
        <v>1</v>
      </c>
      <c r="D192">
        <v>1</v>
      </c>
      <c r="E192">
        <v>1</v>
      </c>
    </row>
    <row r="193" spans="1:5" ht="12.75">
      <c r="A193" s="11">
        <v>181.03</v>
      </c>
      <c r="B193">
        <v>1</v>
      </c>
      <c r="C193">
        <v>1</v>
      </c>
      <c r="D193">
        <v>1</v>
      </c>
      <c r="E193">
        <v>1</v>
      </c>
    </row>
    <row r="194" spans="1:5" ht="12.75">
      <c r="A194" s="11">
        <v>181.07</v>
      </c>
      <c r="B194">
        <v>1</v>
      </c>
      <c r="C194">
        <v>8</v>
      </c>
      <c r="D194">
        <v>1</v>
      </c>
      <c r="E194">
        <v>1</v>
      </c>
    </row>
    <row r="195" spans="1:5" ht="12.75">
      <c r="A195" s="11">
        <v>181.08</v>
      </c>
      <c r="B195">
        <v>1</v>
      </c>
      <c r="C195">
        <v>1</v>
      </c>
      <c r="D195">
        <v>1</v>
      </c>
      <c r="E195">
        <v>1</v>
      </c>
    </row>
    <row r="196" spans="1:5" ht="12.75">
      <c r="A196" s="11">
        <v>170.04</v>
      </c>
      <c r="B196">
        <v>2</v>
      </c>
      <c r="C196">
        <v>2</v>
      </c>
      <c r="D196">
        <v>1</v>
      </c>
      <c r="E196">
        <v>1</v>
      </c>
    </row>
    <row r="197" spans="1:5" ht="12.75">
      <c r="A197" s="11">
        <v>170.03</v>
      </c>
      <c r="B197">
        <v>1</v>
      </c>
      <c r="C197">
        <v>2</v>
      </c>
      <c r="D197">
        <v>1</v>
      </c>
      <c r="E197">
        <v>1</v>
      </c>
    </row>
    <row r="198" spans="1:5" ht="12.75">
      <c r="A198" s="11">
        <v>170.05</v>
      </c>
      <c r="B198">
        <v>6</v>
      </c>
      <c r="C198">
        <v>0</v>
      </c>
      <c r="D198">
        <v>0</v>
      </c>
      <c r="E198">
        <v>1</v>
      </c>
    </row>
    <row r="199" spans="1:5" ht="12.75">
      <c r="A199" s="11">
        <v>170.08</v>
      </c>
      <c r="B199">
        <v>1</v>
      </c>
      <c r="C199">
        <v>1</v>
      </c>
      <c r="D199">
        <v>1</v>
      </c>
      <c r="E199">
        <v>1</v>
      </c>
    </row>
    <row r="200" spans="1:5" ht="12.75">
      <c r="A200" s="11">
        <v>170.07</v>
      </c>
      <c r="B200">
        <v>1</v>
      </c>
      <c r="C200">
        <v>1</v>
      </c>
      <c r="D200">
        <v>1</v>
      </c>
      <c r="E200">
        <v>1</v>
      </c>
    </row>
    <row r="201" spans="1:5" ht="12.75">
      <c r="A201" s="11">
        <v>181.05</v>
      </c>
      <c r="B201">
        <v>1</v>
      </c>
      <c r="C201">
        <v>0</v>
      </c>
      <c r="D201">
        <v>1</v>
      </c>
      <c r="E201">
        <v>4</v>
      </c>
    </row>
    <row r="202" spans="1:5" ht="12.75">
      <c r="A202" s="11">
        <v>181.16</v>
      </c>
      <c r="B202">
        <v>1</v>
      </c>
      <c r="C202">
        <v>1</v>
      </c>
      <c r="D202">
        <v>3</v>
      </c>
      <c r="E202">
        <v>1</v>
      </c>
    </row>
    <row r="203" spans="1:5" ht="12.75">
      <c r="A203" s="11">
        <v>181.15</v>
      </c>
      <c r="B203">
        <v>1</v>
      </c>
      <c r="C203">
        <v>1</v>
      </c>
      <c r="D203">
        <v>3</v>
      </c>
      <c r="E203">
        <v>1</v>
      </c>
    </row>
    <row r="204" spans="1:5" ht="12.75">
      <c r="A204" s="1">
        <v>185.05</v>
      </c>
      <c r="B204">
        <v>1</v>
      </c>
      <c r="C204">
        <v>4</v>
      </c>
      <c r="D204">
        <v>1</v>
      </c>
      <c r="E204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01"/>
  <sheetViews>
    <sheetView workbookViewId="0">
      <selection activeCell="I4" sqref="I4"/>
    </sheetView>
  </sheetViews>
  <sheetFormatPr defaultColWidth="14.42578125" defaultRowHeight="15.75" customHeight="1"/>
  <sheetData>
    <row r="1" spans="1:10" ht="15.75" customHeight="1">
      <c r="A1" s="7" t="s">
        <v>506</v>
      </c>
      <c r="B1" s="17" t="s">
        <v>507</v>
      </c>
      <c r="C1" s="18">
        <v>42864</v>
      </c>
      <c r="D1" s="18">
        <v>43022</v>
      </c>
      <c r="E1" s="19" t="s">
        <v>508</v>
      </c>
      <c r="F1" s="17" t="s">
        <v>509</v>
      </c>
      <c r="G1" s="8" t="s">
        <v>510</v>
      </c>
      <c r="H1" s="19" t="s">
        <v>511</v>
      </c>
      <c r="I1" s="13"/>
      <c r="J1" s="13"/>
    </row>
    <row r="2" spans="1:10" ht="15.75" customHeight="1">
      <c r="A2" s="11">
        <v>9330192</v>
      </c>
      <c r="B2" s="20">
        <v>224</v>
      </c>
      <c r="C2" s="20">
        <v>276</v>
      </c>
      <c r="D2" s="20">
        <v>221</v>
      </c>
      <c r="E2" s="20">
        <v>304</v>
      </c>
      <c r="F2">
        <v>182</v>
      </c>
      <c r="G2">
        <v>409</v>
      </c>
      <c r="H2">
        <v>270</v>
      </c>
    </row>
    <row r="3" spans="1:10" ht="15.75" customHeight="1">
      <c r="A3" s="11">
        <v>9330186.0099999998</v>
      </c>
      <c r="B3" s="20">
        <v>462</v>
      </c>
      <c r="C3" s="20">
        <v>388</v>
      </c>
      <c r="D3" s="20">
        <v>356</v>
      </c>
      <c r="E3" s="20">
        <v>560</v>
      </c>
      <c r="F3">
        <v>336</v>
      </c>
      <c r="G3">
        <v>602</v>
      </c>
      <c r="H3">
        <v>478</v>
      </c>
    </row>
    <row r="4" spans="1:10" ht="15.75" customHeight="1">
      <c r="A4" s="11">
        <v>186.02</v>
      </c>
      <c r="B4" s="20">
        <v>512</v>
      </c>
      <c r="C4" s="20">
        <v>283</v>
      </c>
      <c r="D4" s="20">
        <v>63</v>
      </c>
      <c r="E4" s="20">
        <v>546</v>
      </c>
      <c r="F4">
        <v>328</v>
      </c>
      <c r="G4">
        <v>321</v>
      </c>
      <c r="H4">
        <v>353</v>
      </c>
    </row>
    <row r="5" spans="1:10" ht="15.75" customHeight="1">
      <c r="A5" s="11">
        <v>186.05</v>
      </c>
      <c r="B5" s="20">
        <v>492</v>
      </c>
      <c r="C5" s="20">
        <v>546</v>
      </c>
      <c r="D5" s="20">
        <v>734</v>
      </c>
      <c r="E5" s="20">
        <v>724</v>
      </c>
      <c r="F5">
        <v>434</v>
      </c>
      <c r="G5">
        <v>986</v>
      </c>
      <c r="H5">
        <v>728</v>
      </c>
    </row>
    <row r="6" spans="1:10" ht="15.75" customHeight="1">
      <c r="A6" s="11">
        <v>186.06</v>
      </c>
      <c r="B6" s="20">
        <v>152</v>
      </c>
      <c r="C6" s="20">
        <v>227</v>
      </c>
      <c r="D6" s="20">
        <v>416</v>
      </c>
      <c r="E6" s="20">
        <v>344</v>
      </c>
      <c r="F6">
        <v>206</v>
      </c>
      <c r="G6">
        <v>477</v>
      </c>
      <c r="H6">
        <v>372</v>
      </c>
    </row>
    <row r="7" spans="1:10" ht="15.75" customHeight="1">
      <c r="A7" s="11">
        <v>185.09</v>
      </c>
      <c r="B7" s="20">
        <v>497</v>
      </c>
      <c r="C7" s="20">
        <v>295</v>
      </c>
      <c r="D7" s="20">
        <v>359</v>
      </c>
      <c r="E7" s="20">
        <v>338</v>
      </c>
      <c r="F7">
        <v>203</v>
      </c>
      <c r="G7">
        <v>510</v>
      </c>
      <c r="H7">
        <v>347</v>
      </c>
    </row>
    <row r="8" spans="1:10" ht="15.75" customHeight="1">
      <c r="A8" s="11">
        <v>185.11</v>
      </c>
      <c r="B8" s="20">
        <v>532</v>
      </c>
      <c r="C8" s="20">
        <v>663</v>
      </c>
      <c r="D8" s="20">
        <v>604</v>
      </c>
      <c r="E8" s="20">
        <v>546</v>
      </c>
      <c r="F8">
        <v>328</v>
      </c>
      <c r="G8">
        <v>1025</v>
      </c>
      <c r="H8">
        <v>570</v>
      </c>
    </row>
    <row r="9" spans="1:10" ht="15.75" customHeight="1">
      <c r="A9" s="11">
        <v>185.1</v>
      </c>
      <c r="B9" s="20">
        <v>180</v>
      </c>
      <c r="C9" s="20">
        <v>280</v>
      </c>
      <c r="D9" s="20">
        <v>315</v>
      </c>
      <c r="E9" s="20">
        <v>511</v>
      </c>
      <c r="F9">
        <v>307</v>
      </c>
      <c r="G9">
        <v>469</v>
      </c>
      <c r="H9">
        <v>433</v>
      </c>
    </row>
    <row r="10" spans="1:10" ht="15.75" customHeight="1">
      <c r="A10" s="11">
        <v>185.21</v>
      </c>
      <c r="B10" s="20">
        <v>395</v>
      </c>
      <c r="C10" s="20">
        <v>370</v>
      </c>
      <c r="D10" s="20">
        <v>252</v>
      </c>
      <c r="E10" s="20">
        <v>246</v>
      </c>
      <c r="F10">
        <v>148</v>
      </c>
      <c r="G10">
        <v>521</v>
      </c>
      <c r="H10">
        <v>249</v>
      </c>
    </row>
    <row r="11" spans="1:10" ht="15.75" customHeight="1">
      <c r="A11" s="11">
        <v>185.22</v>
      </c>
      <c r="B11" s="20">
        <v>366</v>
      </c>
      <c r="C11" s="20">
        <v>310</v>
      </c>
      <c r="D11" s="20">
        <v>282</v>
      </c>
      <c r="E11" s="20">
        <v>304</v>
      </c>
      <c r="F11">
        <v>182</v>
      </c>
      <c r="G11">
        <v>479</v>
      </c>
      <c r="H11">
        <v>295</v>
      </c>
    </row>
    <row r="12" spans="1:10" ht="15.75" customHeight="1">
      <c r="A12" s="11">
        <v>185.17</v>
      </c>
      <c r="B12" s="20">
        <v>187</v>
      </c>
      <c r="C12" s="20">
        <v>141</v>
      </c>
      <c r="D12" s="20">
        <v>171</v>
      </c>
      <c r="E12" s="20">
        <v>244</v>
      </c>
      <c r="F12">
        <v>146</v>
      </c>
      <c r="G12">
        <v>244</v>
      </c>
      <c r="H12">
        <v>214</v>
      </c>
    </row>
    <row r="13" spans="1:10" ht="15.75" customHeight="1">
      <c r="A13" s="11">
        <v>185.18</v>
      </c>
      <c r="B13" s="20">
        <v>249</v>
      </c>
      <c r="C13" s="20">
        <v>311</v>
      </c>
      <c r="D13" s="20">
        <v>350</v>
      </c>
      <c r="E13" s="20">
        <v>378</v>
      </c>
      <c r="F13">
        <v>227</v>
      </c>
      <c r="G13">
        <v>521</v>
      </c>
      <c r="H13">
        <v>367</v>
      </c>
    </row>
    <row r="14" spans="1:10" ht="15.75" customHeight="1">
      <c r="A14" s="11">
        <v>185.19</v>
      </c>
      <c r="B14" s="20">
        <v>454</v>
      </c>
      <c r="C14" s="20">
        <v>414</v>
      </c>
      <c r="D14" s="20">
        <v>434</v>
      </c>
      <c r="E14" s="20">
        <v>526</v>
      </c>
      <c r="F14">
        <v>316</v>
      </c>
      <c r="G14">
        <v>674</v>
      </c>
      <c r="H14">
        <v>490</v>
      </c>
    </row>
    <row r="15" spans="1:10" ht="15.75" customHeight="1">
      <c r="A15" s="11">
        <v>185.2</v>
      </c>
      <c r="B15" s="20">
        <v>412</v>
      </c>
      <c r="C15" s="20">
        <v>554</v>
      </c>
      <c r="D15" s="20">
        <v>452</v>
      </c>
      <c r="E15" s="20">
        <v>582</v>
      </c>
      <c r="F15">
        <v>349</v>
      </c>
      <c r="G15">
        <v>825</v>
      </c>
      <c r="H15">
        <v>530</v>
      </c>
    </row>
    <row r="16" spans="1:10" ht="15.75" customHeight="1">
      <c r="A16" s="11">
        <v>185.08</v>
      </c>
      <c r="B16" s="20">
        <v>68</v>
      </c>
      <c r="C16" s="20">
        <v>90</v>
      </c>
      <c r="D16" s="20">
        <v>85</v>
      </c>
      <c r="E16" s="20">
        <v>128</v>
      </c>
      <c r="F16">
        <v>77</v>
      </c>
      <c r="G16">
        <v>141</v>
      </c>
      <c r="H16">
        <v>111</v>
      </c>
    </row>
    <row r="17" spans="1:8" ht="15.75" customHeight="1">
      <c r="A17" s="11">
        <v>185.07</v>
      </c>
      <c r="B17" s="20">
        <v>640</v>
      </c>
      <c r="C17" s="20">
        <v>520</v>
      </c>
      <c r="D17" s="20">
        <v>816</v>
      </c>
      <c r="E17" s="20">
        <v>835</v>
      </c>
      <c r="F17">
        <v>501</v>
      </c>
      <c r="G17">
        <v>1010</v>
      </c>
      <c r="H17">
        <v>827</v>
      </c>
    </row>
    <row r="18" spans="1:8" ht="15.75" customHeight="1">
      <c r="A18" s="11">
        <v>185.12</v>
      </c>
      <c r="B18" s="20">
        <v>316</v>
      </c>
      <c r="C18" s="20">
        <v>454</v>
      </c>
      <c r="D18" s="20">
        <v>592</v>
      </c>
      <c r="E18" s="20">
        <v>466</v>
      </c>
      <c r="F18">
        <v>280</v>
      </c>
      <c r="G18">
        <v>809</v>
      </c>
      <c r="H18">
        <v>517</v>
      </c>
    </row>
    <row r="19" spans="1:8" ht="15.75" customHeight="1">
      <c r="A19" s="11">
        <v>185.16</v>
      </c>
      <c r="B19" s="20">
        <v>385</v>
      </c>
      <c r="C19" s="20">
        <v>173</v>
      </c>
      <c r="D19" s="20">
        <v>368</v>
      </c>
      <c r="E19" s="20">
        <v>404</v>
      </c>
      <c r="F19">
        <v>242</v>
      </c>
      <c r="G19">
        <v>394</v>
      </c>
      <c r="H19">
        <v>389</v>
      </c>
    </row>
    <row r="20" spans="1:8" ht="15.75" customHeight="1">
      <c r="A20" s="11">
        <v>185.15</v>
      </c>
      <c r="B20" s="20">
        <v>530</v>
      </c>
      <c r="C20" s="20">
        <v>416</v>
      </c>
      <c r="D20" s="20">
        <v>388</v>
      </c>
      <c r="E20" s="20">
        <v>406</v>
      </c>
      <c r="F20">
        <v>244</v>
      </c>
      <c r="G20">
        <v>649</v>
      </c>
      <c r="H20">
        <v>399</v>
      </c>
    </row>
    <row r="21" spans="1:8" ht="15.75" customHeight="1">
      <c r="A21" s="11">
        <v>186.07</v>
      </c>
      <c r="B21" s="20">
        <v>386</v>
      </c>
      <c r="C21" s="20">
        <v>390</v>
      </c>
      <c r="D21" s="20">
        <v>496</v>
      </c>
      <c r="E21" s="20">
        <v>480</v>
      </c>
      <c r="F21">
        <v>288</v>
      </c>
      <c r="G21">
        <v>688</v>
      </c>
      <c r="H21">
        <v>486</v>
      </c>
    </row>
    <row r="22" spans="1:8" ht="15.75" customHeight="1">
      <c r="A22" s="11">
        <v>186.08</v>
      </c>
      <c r="B22" s="20">
        <v>582</v>
      </c>
      <c r="C22" s="20">
        <v>476</v>
      </c>
      <c r="D22" s="20">
        <v>478</v>
      </c>
      <c r="E22" s="20">
        <v>607</v>
      </c>
      <c r="F22">
        <v>364</v>
      </c>
      <c r="G22">
        <v>763</v>
      </c>
      <c r="H22">
        <v>555</v>
      </c>
    </row>
    <row r="23" spans="1:8" ht="15.75" customHeight="1">
      <c r="A23" s="11">
        <v>191.03</v>
      </c>
      <c r="B23" s="20">
        <v>426</v>
      </c>
      <c r="C23" s="20">
        <v>345</v>
      </c>
      <c r="D23" s="20">
        <v>348</v>
      </c>
      <c r="E23" s="20">
        <v>362</v>
      </c>
      <c r="F23">
        <v>217</v>
      </c>
      <c r="G23">
        <v>554</v>
      </c>
      <c r="H23">
        <v>356</v>
      </c>
    </row>
    <row r="24" spans="1:8" ht="15.75" customHeight="1">
      <c r="A24" s="11">
        <v>191.04</v>
      </c>
      <c r="B24" s="20">
        <v>352</v>
      </c>
      <c r="C24" s="20">
        <v>274</v>
      </c>
      <c r="D24" s="20">
        <v>302</v>
      </c>
      <c r="E24" s="20">
        <v>354</v>
      </c>
      <c r="F24">
        <v>212</v>
      </c>
      <c r="G24">
        <v>455</v>
      </c>
      <c r="H24">
        <v>333</v>
      </c>
    </row>
    <row r="25" spans="1:8" ht="15.75" customHeight="1">
      <c r="A25" s="11">
        <v>191.05</v>
      </c>
      <c r="B25" s="20">
        <v>209</v>
      </c>
      <c r="C25" s="20">
        <v>162</v>
      </c>
      <c r="D25" s="20">
        <v>179</v>
      </c>
      <c r="E25" s="20">
        <v>122</v>
      </c>
      <c r="F25">
        <v>73</v>
      </c>
      <c r="G25">
        <v>269</v>
      </c>
      <c r="H25">
        <v>145</v>
      </c>
    </row>
    <row r="26" spans="1:8" ht="15.75" customHeight="1">
      <c r="A26" s="11">
        <v>191.06</v>
      </c>
      <c r="B26" s="20">
        <v>156</v>
      </c>
      <c r="C26" s="20">
        <v>56</v>
      </c>
      <c r="D26" s="20">
        <v>52</v>
      </c>
      <c r="E26" s="20">
        <v>104</v>
      </c>
      <c r="F26">
        <v>62</v>
      </c>
      <c r="G26">
        <v>87</v>
      </c>
      <c r="H26">
        <v>83</v>
      </c>
    </row>
    <row r="27" spans="1:8" ht="15.75" customHeight="1">
      <c r="A27" s="11">
        <v>191.07</v>
      </c>
      <c r="B27" s="20">
        <v>282</v>
      </c>
      <c r="C27" s="20">
        <v>91</v>
      </c>
      <c r="D27" s="20">
        <v>104</v>
      </c>
      <c r="E27" s="20">
        <v>193</v>
      </c>
      <c r="F27">
        <v>116</v>
      </c>
      <c r="G27">
        <v>153</v>
      </c>
      <c r="H27">
        <v>158</v>
      </c>
    </row>
    <row r="28" spans="1:8" ht="15.75" customHeight="1">
      <c r="A28" s="11">
        <v>190.03</v>
      </c>
      <c r="B28" s="20">
        <v>527</v>
      </c>
      <c r="C28" s="20">
        <v>368</v>
      </c>
      <c r="D28" s="20">
        <v>399</v>
      </c>
      <c r="E28" s="20">
        <v>568</v>
      </c>
      <c r="F28">
        <v>341</v>
      </c>
      <c r="G28">
        <v>607</v>
      </c>
      <c r="H28">
        <v>501</v>
      </c>
    </row>
    <row r="29" spans="1:8" ht="15.75" customHeight="1">
      <c r="A29" s="11">
        <v>190.04</v>
      </c>
      <c r="B29" s="20">
        <v>362</v>
      </c>
      <c r="C29" s="20">
        <v>303</v>
      </c>
      <c r="D29" s="20">
        <v>486</v>
      </c>
      <c r="E29" s="20">
        <v>517</v>
      </c>
      <c r="F29">
        <v>310</v>
      </c>
      <c r="G29">
        <v>595</v>
      </c>
      <c r="H29">
        <v>504</v>
      </c>
    </row>
    <row r="30" spans="1:8" ht="15.75" customHeight="1">
      <c r="A30" s="11">
        <v>190.05</v>
      </c>
      <c r="B30" s="20">
        <v>126</v>
      </c>
      <c r="C30" s="20">
        <v>112</v>
      </c>
      <c r="D30" s="20">
        <v>107</v>
      </c>
      <c r="E30" s="20">
        <v>152</v>
      </c>
      <c r="F30">
        <v>91</v>
      </c>
      <c r="G30">
        <v>176</v>
      </c>
      <c r="H30">
        <v>134</v>
      </c>
    </row>
    <row r="31" spans="1:8" ht="15.75" customHeight="1">
      <c r="A31" s="11">
        <v>190.01</v>
      </c>
      <c r="B31" s="20">
        <v>552</v>
      </c>
      <c r="C31" s="20">
        <v>370</v>
      </c>
      <c r="D31" s="20">
        <v>200</v>
      </c>
      <c r="E31" s="20">
        <v>438</v>
      </c>
      <c r="F31">
        <v>263</v>
      </c>
      <c r="G31">
        <v>490</v>
      </c>
      <c r="H31">
        <v>343</v>
      </c>
    </row>
    <row r="32" spans="1:8" ht="15.75" customHeight="1">
      <c r="A32" s="11">
        <v>189.06</v>
      </c>
      <c r="B32" s="20">
        <v>134</v>
      </c>
      <c r="C32" s="20">
        <v>210</v>
      </c>
      <c r="D32" s="20">
        <v>205</v>
      </c>
      <c r="E32" s="20">
        <v>205</v>
      </c>
      <c r="F32">
        <v>123</v>
      </c>
      <c r="G32">
        <v>333</v>
      </c>
      <c r="H32">
        <v>205</v>
      </c>
    </row>
    <row r="33" spans="1:8" ht="15.75" customHeight="1">
      <c r="A33" s="11">
        <v>187.04</v>
      </c>
      <c r="B33" s="20">
        <v>109</v>
      </c>
      <c r="C33" s="20">
        <v>113</v>
      </c>
      <c r="D33" s="20">
        <v>120</v>
      </c>
      <c r="E33" s="20">
        <v>108</v>
      </c>
      <c r="F33">
        <v>65</v>
      </c>
      <c r="G33">
        <v>185</v>
      </c>
      <c r="H33">
        <v>113</v>
      </c>
    </row>
    <row r="34" spans="1:8" ht="15.75" customHeight="1">
      <c r="A34" s="11">
        <v>187.05</v>
      </c>
      <c r="B34" s="20">
        <v>618</v>
      </c>
      <c r="C34" s="20">
        <v>522</v>
      </c>
      <c r="D34" s="20">
        <v>423</v>
      </c>
      <c r="E34" s="20">
        <v>614</v>
      </c>
      <c r="F34">
        <v>368</v>
      </c>
      <c r="G34">
        <v>776</v>
      </c>
      <c r="H34">
        <v>537</v>
      </c>
    </row>
    <row r="35" spans="1:8" ht="15.75" customHeight="1">
      <c r="A35" s="11">
        <v>184.02</v>
      </c>
      <c r="B35" s="20">
        <v>627</v>
      </c>
      <c r="C35" s="20">
        <v>639</v>
      </c>
      <c r="D35" s="20">
        <v>404</v>
      </c>
      <c r="E35" s="20">
        <v>500</v>
      </c>
      <c r="F35">
        <v>300</v>
      </c>
      <c r="G35">
        <v>881</v>
      </c>
      <c r="H35">
        <v>462</v>
      </c>
    </row>
    <row r="36" spans="1:8" ht="12.75">
      <c r="A36" s="11">
        <v>184.15</v>
      </c>
      <c r="B36" s="20">
        <v>143</v>
      </c>
      <c r="C36" s="20">
        <v>129</v>
      </c>
      <c r="D36" s="20">
        <v>194</v>
      </c>
      <c r="E36" s="20">
        <v>315</v>
      </c>
      <c r="F36">
        <v>189</v>
      </c>
      <c r="G36">
        <v>245</v>
      </c>
      <c r="H36">
        <v>267</v>
      </c>
    </row>
    <row r="37" spans="1:8" ht="12.75">
      <c r="A37" s="11">
        <v>184.16</v>
      </c>
      <c r="B37" s="20">
        <v>395</v>
      </c>
      <c r="C37" s="20">
        <v>432</v>
      </c>
      <c r="D37" s="20">
        <v>339</v>
      </c>
      <c r="E37" s="20">
        <v>253</v>
      </c>
      <c r="F37">
        <v>152</v>
      </c>
      <c r="G37">
        <v>635</v>
      </c>
      <c r="H37">
        <v>288</v>
      </c>
    </row>
    <row r="38" spans="1:8" ht="12.75">
      <c r="A38" s="11">
        <v>184.07</v>
      </c>
      <c r="B38" s="20">
        <v>343</v>
      </c>
      <c r="C38" s="20">
        <v>272</v>
      </c>
      <c r="D38" s="20">
        <v>93</v>
      </c>
      <c r="E38" s="20">
        <v>232</v>
      </c>
      <c r="F38">
        <v>139</v>
      </c>
      <c r="G38">
        <v>328</v>
      </c>
      <c r="H38">
        <v>176</v>
      </c>
    </row>
    <row r="39" spans="1:8" ht="12.75">
      <c r="A39" s="11">
        <v>184.08</v>
      </c>
      <c r="B39" s="20">
        <v>462</v>
      </c>
      <c r="C39" s="20">
        <v>424</v>
      </c>
      <c r="D39" s="20">
        <v>490</v>
      </c>
      <c r="E39" s="20">
        <v>512</v>
      </c>
      <c r="F39">
        <v>307</v>
      </c>
      <c r="G39">
        <v>718</v>
      </c>
      <c r="H39">
        <v>503</v>
      </c>
    </row>
    <row r="40" spans="1:8" ht="12.75">
      <c r="A40" s="11">
        <v>184.06</v>
      </c>
      <c r="B40" s="20">
        <v>1184</v>
      </c>
      <c r="C40" s="20">
        <v>1218</v>
      </c>
      <c r="D40" s="20">
        <v>937</v>
      </c>
      <c r="E40" s="20">
        <v>934</v>
      </c>
      <c r="F40">
        <v>560</v>
      </c>
      <c r="G40">
        <v>1780</v>
      </c>
      <c r="H40">
        <v>935</v>
      </c>
    </row>
    <row r="41" spans="1:8" ht="12.75">
      <c r="A41" s="11">
        <v>184.12</v>
      </c>
      <c r="B41" s="20">
        <v>730</v>
      </c>
      <c r="C41" s="20">
        <v>846</v>
      </c>
      <c r="D41" s="20">
        <v>622</v>
      </c>
      <c r="E41" s="20">
        <v>654</v>
      </c>
      <c r="F41">
        <v>392</v>
      </c>
      <c r="G41">
        <v>1219</v>
      </c>
      <c r="H41">
        <v>641</v>
      </c>
    </row>
    <row r="42" spans="1:8" ht="12.75">
      <c r="A42" s="11">
        <v>184.13</v>
      </c>
      <c r="B42" s="20">
        <v>428</v>
      </c>
      <c r="C42" s="20">
        <v>90</v>
      </c>
      <c r="D42" s="20">
        <v>225</v>
      </c>
      <c r="E42" s="20">
        <v>382</v>
      </c>
      <c r="F42">
        <v>229</v>
      </c>
      <c r="G42">
        <v>225</v>
      </c>
      <c r="H42">
        <v>319</v>
      </c>
    </row>
    <row r="43" spans="1:8" ht="12.75">
      <c r="A43" s="11">
        <v>184.14</v>
      </c>
      <c r="B43" s="20">
        <v>1274</v>
      </c>
      <c r="C43" s="20">
        <v>1006</v>
      </c>
      <c r="D43" s="20">
        <v>644</v>
      </c>
      <c r="E43" s="20">
        <v>525</v>
      </c>
      <c r="F43">
        <v>315</v>
      </c>
      <c r="G43">
        <v>1392</v>
      </c>
      <c r="H43">
        <v>573</v>
      </c>
    </row>
    <row r="44" spans="1:8" ht="12.75">
      <c r="A44" s="11">
        <v>182.03</v>
      </c>
      <c r="B44" s="20">
        <v>316</v>
      </c>
      <c r="C44" s="20">
        <v>121</v>
      </c>
      <c r="D44" s="20">
        <v>86</v>
      </c>
      <c r="E44" s="20">
        <v>280</v>
      </c>
      <c r="F44">
        <v>168</v>
      </c>
      <c r="G44">
        <v>173</v>
      </c>
      <c r="H44">
        <v>202</v>
      </c>
    </row>
    <row r="45" spans="1:8" ht="12.75">
      <c r="A45" s="11">
        <v>184.11</v>
      </c>
      <c r="B45" s="20">
        <v>790</v>
      </c>
      <c r="C45" s="20">
        <v>543</v>
      </c>
      <c r="D45" s="20">
        <v>856</v>
      </c>
      <c r="E45" s="20">
        <v>960</v>
      </c>
      <c r="F45">
        <v>576</v>
      </c>
      <c r="G45">
        <v>1057</v>
      </c>
      <c r="H45">
        <v>918</v>
      </c>
    </row>
    <row r="46" spans="1:8" ht="12.75">
      <c r="A46" s="11">
        <v>184.1</v>
      </c>
      <c r="B46" s="20">
        <v>128</v>
      </c>
      <c r="C46" s="20">
        <v>427</v>
      </c>
      <c r="D46" s="20">
        <v>403</v>
      </c>
      <c r="E46" s="20">
        <v>652</v>
      </c>
      <c r="F46">
        <v>391</v>
      </c>
      <c r="G46">
        <v>669</v>
      </c>
      <c r="H46">
        <v>552</v>
      </c>
    </row>
    <row r="47" spans="1:8" ht="12.75">
      <c r="A47" s="11">
        <v>184.09</v>
      </c>
      <c r="B47" s="20">
        <v>280</v>
      </c>
      <c r="C47" s="20">
        <v>341</v>
      </c>
      <c r="D47" s="20">
        <v>366</v>
      </c>
      <c r="E47" s="20">
        <v>366</v>
      </c>
      <c r="F47">
        <v>220</v>
      </c>
      <c r="G47">
        <v>561</v>
      </c>
      <c r="H47">
        <v>366</v>
      </c>
    </row>
    <row r="48" spans="1:8" ht="12.75">
      <c r="A48" s="11">
        <v>187.03</v>
      </c>
      <c r="B48" s="20">
        <v>522</v>
      </c>
      <c r="C48" s="20">
        <v>544</v>
      </c>
      <c r="D48" s="20">
        <v>317</v>
      </c>
      <c r="E48" s="20">
        <v>548</v>
      </c>
      <c r="F48">
        <v>329</v>
      </c>
      <c r="G48">
        <v>734</v>
      </c>
      <c r="H48">
        <v>456</v>
      </c>
    </row>
    <row r="49" spans="1:8" ht="12.75">
      <c r="A49" s="11">
        <v>189.05</v>
      </c>
      <c r="B49" s="20">
        <v>490</v>
      </c>
      <c r="C49" s="20">
        <v>420</v>
      </c>
      <c r="D49" s="20">
        <v>492</v>
      </c>
      <c r="E49" s="20">
        <v>458</v>
      </c>
      <c r="F49">
        <v>275</v>
      </c>
      <c r="G49">
        <v>715</v>
      </c>
      <c r="H49">
        <v>472</v>
      </c>
    </row>
    <row r="50" spans="1:8" ht="12.75">
      <c r="A50" s="11">
        <v>189.08</v>
      </c>
      <c r="B50" s="20">
        <v>575</v>
      </c>
      <c r="C50" s="20">
        <v>375</v>
      </c>
      <c r="D50" s="20">
        <v>425</v>
      </c>
      <c r="E50" s="20">
        <v>435</v>
      </c>
      <c r="F50">
        <v>261</v>
      </c>
      <c r="G50">
        <v>630</v>
      </c>
      <c r="H50">
        <v>431</v>
      </c>
    </row>
    <row r="51" spans="1:8" ht="12.75">
      <c r="A51" s="11">
        <v>189.03</v>
      </c>
      <c r="B51" s="20">
        <v>176</v>
      </c>
      <c r="C51" s="20">
        <v>192</v>
      </c>
      <c r="D51" s="20">
        <v>210</v>
      </c>
      <c r="E51" s="20">
        <v>320</v>
      </c>
      <c r="F51">
        <v>192</v>
      </c>
      <c r="G51">
        <v>318</v>
      </c>
      <c r="H51">
        <v>276</v>
      </c>
    </row>
    <row r="52" spans="1:8" ht="12.75">
      <c r="A52" s="11">
        <v>188.01</v>
      </c>
      <c r="B52" s="20">
        <v>128</v>
      </c>
      <c r="C52" s="20">
        <v>200</v>
      </c>
      <c r="D52" s="20">
        <v>187</v>
      </c>
      <c r="E52" s="20">
        <v>323</v>
      </c>
      <c r="F52">
        <v>194</v>
      </c>
      <c r="G52">
        <v>312</v>
      </c>
      <c r="H52">
        <v>269</v>
      </c>
    </row>
    <row r="53" spans="1:8" ht="12.75">
      <c r="A53" s="11">
        <v>188.02</v>
      </c>
      <c r="B53" s="20">
        <v>152</v>
      </c>
      <c r="C53" s="20">
        <v>126</v>
      </c>
      <c r="D53" s="20">
        <v>249</v>
      </c>
      <c r="E53" s="20">
        <v>445</v>
      </c>
      <c r="F53">
        <v>267</v>
      </c>
      <c r="G53">
        <v>275</v>
      </c>
      <c r="H53">
        <v>367</v>
      </c>
    </row>
    <row r="54" spans="1:8" ht="12.75">
      <c r="A54" s="11">
        <v>189.07</v>
      </c>
      <c r="B54" s="20">
        <v>185</v>
      </c>
      <c r="C54" s="20">
        <v>121</v>
      </c>
      <c r="D54" s="20">
        <v>337</v>
      </c>
      <c r="E54" s="20">
        <v>342</v>
      </c>
      <c r="F54">
        <v>205</v>
      </c>
      <c r="G54">
        <v>323</v>
      </c>
      <c r="H54">
        <v>340</v>
      </c>
    </row>
    <row r="55" spans="1:8" ht="12.75">
      <c r="A55" s="11">
        <v>189.1</v>
      </c>
      <c r="B55" s="20">
        <v>466</v>
      </c>
      <c r="C55" s="20">
        <v>416</v>
      </c>
      <c r="D55" s="20">
        <v>541</v>
      </c>
      <c r="E55" s="20">
        <v>738</v>
      </c>
      <c r="F55">
        <v>443</v>
      </c>
      <c r="G55">
        <v>741</v>
      </c>
      <c r="H55">
        <v>659</v>
      </c>
    </row>
    <row r="56" spans="1:8" ht="12.75">
      <c r="A56" s="11">
        <v>189.09</v>
      </c>
      <c r="B56" s="20">
        <v>18</v>
      </c>
      <c r="C56" s="20">
        <v>236</v>
      </c>
      <c r="D56" s="20">
        <v>262</v>
      </c>
      <c r="E56" s="20">
        <v>405</v>
      </c>
      <c r="F56">
        <v>243</v>
      </c>
      <c r="G56">
        <v>393</v>
      </c>
      <c r="H56">
        <v>348</v>
      </c>
    </row>
    <row r="57" spans="1:8" ht="12.75">
      <c r="A57" s="11">
        <v>188.08</v>
      </c>
      <c r="B57" s="20">
        <v>166</v>
      </c>
      <c r="C57" s="20">
        <v>216</v>
      </c>
      <c r="D57" s="20">
        <v>427</v>
      </c>
      <c r="E57" s="20">
        <v>542</v>
      </c>
      <c r="F57">
        <v>325</v>
      </c>
      <c r="G57">
        <v>472</v>
      </c>
      <c r="H57">
        <v>496</v>
      </c>
    </row>
    <row r="58" spans="1:8" ht="12.75">
      <c r="A58" s="11">
        <v>188.07</v>
      </c>
      <c r="B58" s="20">
        <v>205</v>
      </c>
      <c r="C58" s="20">
        <v>234</v>
      </c>
      <c r="D58" s="20">
        <v>374</v>
      </c>
      <c r="E58" s="20">
        <v>526</v>
      </c>
      <c r="F58">
        <v>316</v>
      </c>
      <c r="G58">
        <v>458</v>
      </c>
      <c r="H58">
        <v>466</v>
      </c>
    </row>
    <row r="59" spans="1:8" ht="12.75">
      <c r="A59" s="11">
        <v>188.04</v>
      </c>
      <c r="B59" s="20">
        <v>180</v>
      </c>
      <c r="C59" s="20">
        <v>304</v>
      </c>
      <c r="D59" s="20">
        <v>305</v>
      </c>
      <c r="E59" s="20">
        <v>478</v>
      </c>
      <c r="F59">
        <v>287</v>
      </c>
      <c r="G59">
        <v>487</v>
      </c>
      <c r="H59">
        <v>409</v>
      </c>
    </row>
    <row r="60" spans="1:8" ht="12.75">
      <c r="A60" s="11">
        <v>187.12</v>
      </c>
      <c r="B60" s="20">
        <v>188</v>
      </c>
      <c r="C60" s="20">
        <v>265</v>
      </c>
      <c r="D60" s="20">
        <v>317</v>
      </c>
      <c r="E60" s="20">
        <v>343</v>
      </c>
      <c r="F60">
        <v>206</v>
      </c>
      <c r="G60">
        <v>455</v>
      </c>
      <c r="H60">
        <v>333</v>
      </c>
    </row>
    <row r="61" spans="1:8" ht="12.75">
      <c r="A61" s="11">
        <v>187.06</v>
      </c>
      <c r="B61" s="20">
        <v>326</v>
      </c>
      <c r="C61" s="20">
        <v>465</v>
      </c>
      <c r="D61" s="20">
        <v>579</v>
      </c>
      <c r="E61" s="20">
        <v>723</v>
      </c>
      <c r="F61">
        <v>434</v>
      </c>
      <c r="G61">
        <v>812</v>
      </c>
      <c r="H61">
        <v>666</v>
      </c>
    </row>
    <row r="62" spans="1:8" ht="12.75">
      <c r="A62" s="11">
        <v>187.13</v>
      </c>
      <c r="B62" s="20">
        <v>202</v>
      </c>
      <c r="C62" s="20">
        <v>172</v>
      </c>
      <c r="D62" s="20">
        <v>181</v>
      </c>
      <c r="E62" s="20">
        <v>237</v>
      </c>
      <c r="F62">
        <v>142</v>
      </c>
      <c r="G62">
        <v>281</v>
      </c>
      <c r="H62">
        <v>214</v>
      </c>
    </row>
    <row r="63" spans="1:8" ht="12.75">
      <c r="A63" s="11">
        <v>187.11</v>
      </c>
      <c r="B63" s="20">
        <v>676</v>
      </c>
      <c r="C63" s="20">
        <v>592</v>
      </c>
      <c r="D63" s="20">
        <v>532</v>
      </c>
      <c r="E63" s="20">
        <v>646</v>
      </c>
      <c r="F63">
        <v>388</v>
      </c>
      <c r="G63">
        <v>911</v>
      </c>
      <c r="H63">
        <v>601</v>
      </c>
    </row>
    <row r="64" spans="1:8" ht="12.75">
      <c r="A64" s="11">
        <v>187.07</v>
      </c>
      <c r="B64" s="20">
        <v>99</v>
      </c>
      <c r="C64" s="20">
        <v>40</v>
      </c>
      <c r="D64" s="20">
        <v>169</v>
      </c>
      <c r="E64" s="20">
        <v>154</v>
      </c>
      <c r="F64">
        <v>92</v>
      </c>
      <c r="G64">
        <v>141</v>
      </c>
      <c r="H64">
        <v>160</v>
      </c>
    </row>
    <row r="65" spans="1:8" ht="12.75">
      <c r="A65" s="11">
        <v>187.15</v>
      </c>
      <c r="B65" s="20">
        <v>248</v>
      </c>
      <c r="C65" s="20">
        <v>280</v>
      </c>
      <c r="D65" s="20">
        <v>322</v>
      </c>
      <c r="E65" s="20">
        <v>374</v>
      </c>
      <c r="F65">
        <v>224</v>
      </c>
      <c r="G65">
        <v>473</v>
      </c>
      <c r="H65">
        <v>353</v>
      </c>
    </row>
    <row r="66" spans="1:8" ht="12.75">
      <c r="A66" s="11">
        <v>187.14</v>
      </c>
      <c r="B66" s="20">
        <v>343</v>
      </c>
      <c r="C66" s="20">
        <v>204</v>
      </c>
      <c r="D66" s="20">
        <v>201</v>
      </c>
      <c r="E66" s="20">
        <v>46</v>
      </c>
      <c r="F66">
        <v>28</v>
      </c>
      <c r="G66">
        <v>325</v>
      </c>
      <c r="H66">
        <v>108</v>
      </c>
    </row>
    <row r="67" spans="1:8" ht="12.75">
      <c r="A67" s="11">
        <v>187.16</v>
      </c>
      <c r="B67" s="20">
        <v>222</v>
      </c>
      <c r="C67" s="20">
        <v>301</v>
      </c>
      <c r="D67" s="20">
        <v>354</v>
      </c>
      <c r="E67" s="20">
        <v>410</v>
      </c>
      <c r="F67">
        <v>246</v>
      </c>
      <c r="G67">
        <v>513</v>
      </c>
      <c r="H67">
        <v>388</v>
      </c>
    </row>
    <row r="68" spans="1:8" ht="12.75">
      <c r="A68" s="11">
        <v>182.04</v>
      </c>
      <c r="B68" s="20">
        <v>62</v>
      </c>
      <c r="C68" s="20">
        <v>90</v>
      </c>
      <c r="D68" s="20">
        <v>144</v>
      </c>
      <c r="E68" s="20">
        <v>156</v>
      </c>
      <c r="F68">
        <v>94</v>
      </c>
      <c r="G68">
        <v>176</v>
      </c>
      <c r="H68">
        <v>152</v>
      </c>
    </row>
    <row r="69" spans="1:8" ht="12.75">
      <c r="A69" s="11">
        <v>182.05</v>
      </c>
      <c r="B69" s="20">
        <v>525</v>
      </c>
      <c r="C69" s="20">
        <v>515</v>
      </c>
      <c r="D69" s="20">
        <v>510</v>
      </c>
      <c r="E69" s="20">
        <v>585</v>
      </c>
      <c r="F69">
        <v>351</v>
      </c>
      <c r="G69">
        <v>821</v>
      </c>
      <c r="H69">
        <v>555</v>
      </c>
    </row>
    <row r="70" spans="1:8" ht="12.75">
      <c r="A70" s="11">
        <v>182.02</v>
      </c>
      <c r="B70" s="20">
        <v>900</v>
      </c>
      <c r="C70" s="20">
        <v>902</v>
      </c>
      <c r="D70" s="20">
        <v>784</v>
      </c>
      <c r="E70" s="20">
        <v>593</v>
      </c>
      <c r="F70">
        <v>356</v>
      </c>
      <c r="G70">
        <v>1372</v>
      </c>
      <c r="H70">
        <v>670</v>
      </c>
    </row>
    <row r="71" spans="1:8" ht="12.75">
      <c r="A71" s="11">
        <v>183.01</v>
      </c>
      <c r="B71" s="20">
        <v>405</v>
      </c>
      <c r="C71" s="20">
        <v>356</v>
      </c>
      <c r="D71" s="20">
        <v>394</v>
      </c>
      <c r="E71" s="20">
        <v>525</v>
      </c>
      <c r="F71">
        <v>315</v>
      </c>
      <c r="G71">
        <v>592</v>
      </c>
      <c r="H71">
        <v>473</v>
      </c>
    </row>
    <row r="72" spans="1:8" ht="12.75">
      <c r="A72" s="11">
        <v>183.03</v>
      </c>
      <c r="B72" s="20">
        <v>254</v>
      </c>
      <c r="C72" s="20">
        <v>375</v>
      </c>
      <c r="D72" s="20">
        <v>246</v>
      </c>
      <c r="E72" s="20">
        <v>417</v>
      </c>
      <c r="F72">
        <v>250</v>
      </c>
      <c r="G72">
        <v>523</v>
      </c>
      <c r="H72">
        <v>348</v>
      </c>
    </row>
    <row r="73" spans="1:8" ht="12.75">
      <c r="A73" s="11">
        <v>183.05</v>
      </c>
      <c r="B73" s="20">
        <v>1117</v>
      </c>
      <c r="C73" s="20">
        <v>1248</v>
      </c>
      <c r="D73" s="20">
        <v>932</v>
      </c>
      <c r="E73" s="20">
        <v>909</v>
      </c>
      <c r="F73">
        <v>545</v>
      </c>
      <c r="G73">
        <v>1807</v>
      </c>
      <c r="H73">
        <v>918</v>
      </c>
    </row>
    <row r="74" spans="1:8" ht="12.75">
      <c r="A74" s="11">
        <v>183.07</v>
      </c>
      <c r="B74" s="20">
        <v>305</v>
      </c>
      <c r="C74" s="20">
        <v>530</v>
      </c>
      <c r="D74" s="20">
        <v>654</v>
      </c>
      <c r="E74" s="20">
        <v>826</v>
      </c>
      <c r="F74">
        <v>496</v>
      </c>
      <c r="G74">
        <v>922</v>
      </c>
      <c r="H74">
        <v>758</v>
      </c>
    </row>
    <row r="75" spans="1:8" ht="12.75">
      <c r="A75" s="11">
        <v>183.06</v>
      </c>
      <c r="B75" s="20">
        <v>148</v>
      </c>
      <c r="C75" s="20">
        <v>132</v>
      </c>
      <c r="D75" s="20">
        <v>141</v>
      </c>
      <c r="E75" s="20">
        <v>134</v>
      </c>
      <c r="F75">
        <v>80</v>
      </c>
      <c r="G75">
        <v>217</v>
      </c>
      <c r="H75">
        <v>136</v>
      </c>
    </row>
    <row r="76" spans="1:8" ht="12.75">
      <c r="A76" s="11">
        <v>183.08</v>
      </c>
      <c r="B76" s="20">
        <v>1298</v>
      </c>
      <c r="C76" s="20">
        <v>768</v>
      </c>
      <c r="D76" s="20">
        <v>618</v>
      </c>
      <c r="E76" s="20">
        <v>554</v>
      </c>
      <c r="F76">
        <v>332</v>
      </c>
      <c r="G76">
        <v>1139</v>
      </c>
      <c r="H76">
        <v>579</v>
      </c>
    </row>
    <row r="77" spans="1:8" ht="12.75">
      <c r="A77" s="21">
        <v>183.09</v>
      </c>
      <c r="B77" s="20">
        <v>1552</v>
      </c>
      <c r="C77" s="20">
        <v>857</v>
      </c>
      <c r="D77" s="20">
        <v>577</v>
      </c>
      <c r="E77" s="20">
        <v>479</v>
      </c>
      <c r="F77">
        <v>287</v>
      </c>
      <c r="G77">
        <v>1203</v>
      </c>
      <c r="H77">
        <v>518</v>
      </c>
    </row>
    <row r="78" spans="1:8" ht="12.75">
      <c r="A78" s="11">
        <v>182.06</v>
      </c>
      <c r="B78" s="20">
        <v>41</v>
      </c>
      <c r="C78" s="20">
        <v>70</v>
      </c>
      <c r="D78" s="20">
        <v>90</v>
      </c>
      <c r="E78" s="20">
        <v>104</v>
      </c>
      <c r="F78">
        <v>62</v>
      </c>
      <c r="G78">
        <v>124</v>
      </c>
      <c r="H78">
        <v>98</v>
      </c>
    </row>
    <row r="79" spans="1:8" ht="12.75">
      <c r="A79" s="11">
        <v>188.06</v>
      </c>
      <c r="B79" s="20">
        <v>78</v>
      </c>
      <c r="C79" s="20">
        <v>94</v>
      </c>
      <c r="D79" s="20">
        <v>108</v>
      </c>
      <c r="E79" s="20">
        <v>114</v>
      </c>
      <c r="F79">
        <v>68</v>
      </c>
      <c r="G79">
        <v>159</v>
      </c>
      <c r="H79">
        <v>111</v>
      </c>
    </row>
    <row r="80" spans="1:8" ht="12.75">
      <c r="A80" s="11">
        <v>188.05</v>
      </c>
      <c r="B80" s="20">
        <v>140</v>
      </c>
      <c r="C80" s="20">
        <v>176</v>
      </c>
      <c r="D80" s="20">
        <v>185</v>
      </c>
      <c r="E80" s="20">
        <v>254</v>
      </c>
      <c r="F80">
        <v>152</v>
      </c>
      <c r="G80">
        <v>287</v>
      </c>
      <c r="H80">
        <v>226</v>
      </c>
    </row>
    <row r="81" spans="1:8" ht="12.75">
      <c r="A81" s="11">
        <v>182.01</v>
      </c>
      <c r="B81" s="20">
        <v>351</v>
      </c>
      <c r="C81" s="20">
        <v>336</v>
      </c>
      <c r="D81" s="20">
        <v>350</v>
      </c>
      <c r="E81" s="20">
        <v>378</v>
      </c>
      <c r="F81">
        <v>227</v>
      </c>
      <c r="G81">
        <v>546</v>
      </c>
      <c r="H81">
        <v>367</v>
      </c>
    </row>
    <row r="82" spans="1:8" ht="12.75">
      <c r="A82" s="11">
        <v>180.01</v>
      </c>
      <c r="B82" s="20">
        <v>540</v>
      </c>
      <c r="C82" s="20">
        <v>824</v>
      </c>
      <c r="D82" s="20">
        <v>699</v>
      </c>
      <c r="E82" s="20">
        <v>667</v>
      </c>
      <c r="F82">
        <v>400</v>
      </c>
      <c r="G82">
        <v>1243</v>
      </c>
      <c r="H82">
        <v>680</v>
      </c>
    </row>
    <row r="83" spans="1:8" ht="12.75">
      <c r="A83" s="11">
        <v>180.04</v>
      </c>
      <c r="B83" s="20">
        <v>703</v>
      </c>
      <c r="C83" s="20">
        <v>490</v>
      </c>
      <c r="D83" s="20">
        <v>558</v>
      </c>
      <c r="E83" s="20">
        <v>584</v>
      </c>
      <c r="F83">
        <v>350</v>
      </c>
      <c r="G83">
        <v>825</v>
      </c>
      <c r="H83">
        <v>573</v>
      </c>
    </row>
    <row r="84" spans="1:8" ht="12.75">
      <c r="A84" s="11">
        <v>180.03</v>
      </c>
      <c r="B84" s="20">
        <v>650</v>
      </c>
      <c r="C84" s="20">
        <v>462</v>
      </c>
      <c r="D84" s="20">
        <v>527</v>
      </c>
      <c r="E84" s="20">
        <v>552</v>
      </c>
      <c r="F84">
        <v>331</v>
      </c>
      <c r="G84">
        <v>778</v>
      </c>
      <c r="H84">
        <v>542</v>
      </c>
    </row>
    <row r="85" spans="1:8" ht="12.75">
      <c r="A85" s="11">
        <v>181.13</v>
      </c>
      <c r="B85" s="20">
        <v>90</v>
      </c>
      <c r="C85" s="20">
        <v>89</v>
      </c>
      <c r="D85" s="20">
        <v>182</v>
      </c>
      <c r="E85" s="20">
        <v>256</v>
      </c>
      <c r="F85">
        <v>154</v>
      </c>
      <c r="G85">
        <v>198</v>
      </c>
      <c r="H85">
        <v>227</v>
      </c>
    </row>
    <row r="86" spans="1:8" ht="12.75">
      <c r="A86" s="11">
        <v>181.12</v>
      </c>
      <c r="B86" s="20">
        <v>74</v>
      </c>
      <c r="C86" s="20">
        <v>163</v>
      </c>
      <c r="D86" s="20">
        <v>264</v>
      </c>
      <c r="E86" s="20">
        <v>274</v>
      </c>
      <c r="F86">
        <v>164</v>
      </c>
      <c r="G86">
        <v>321</v>
      </c>
      <c r="H86">
        <v>270</v>
      </c>
    </row>
    <row r="87" spans="1:8" ht="12.75">
      <c r="A87" s="11">
        <v>181.14</v>
      </c>
      <c r="B87" s="20">
        <v>266</v>
      </c>
      <c r="C87" s="20">
        <v>186</v>
      </c>
      <c r="D87" s="20">
        <v>204</v>
      </c>
      <c r="E87" s="20">
        <v>239</v>
      </c>
      <c r="F87">
        <v>143</v>
      </c>
      <c r="G87">
        <v>308</v>
      </c>
      <c r="H87">
        <v>225</v>
      </c>
    </row>
    <row r="88" spans="1:8" ht="12.75">
      <c r="A88" s="11">
        <v>181.1</v>
      </c>
      <c r="B88" s="20">
        <v>132</v>
      </c>
      <c r="C88" s="20">
        <v>212</v>
      </c>
      <c r="D88" s="20">
        <v>244</v>
      </c>
      <c r="E88" s="20">
        <v>393</v>
      </c>
      <c r="F88">
        <v>236</v>
      </c>
      <c r="G88">
        <v>358</v>
      </c>
      <c r="H88">
        <v>334</v>
      </c>
    </row>
    <row r="89" spans="1:8" ht="12.75">
      <c r="A89" s="11">
        <v>181.11</v>
      </c>
      <c r="B89" s="20">
        <v>108</v>
      </c>
      <c r="C89" s="20">
        <v>95</v>
      </c>
      <c r="D89" s="20">
        <v>133</v>
      </c>
      <c r="E89" s="20">
        <v>214</v>
      </c>
      <c r="F89">
        <v>128</v>
      </c>
      <c r="G89">
        <v>175</v>
      </c>
      <c r="H89">
        <v>181</v>
      </c>
    </row>
    <row r="90" spans="1:8" ht="12.75">
      <c r="A90" s="11">
        <v>181.09</v>
      </c>
      <c r="B90" s="20">
        <v>188</v>
      </c>
      <c r="C90" s="20">
        <v>380</v>
      </c>
      <c r="D90" s="20">
        <v>569</v>
      </c>
      <c r="E90" s="20">
        <v>554</v>
      </c>
      <c r="F90">
        <v>332</v>
      </c>
      <c r="G90">
        <v>721</v>
      </c>
      <c r="H90">
        <v>560</v>
      </c>
    </row>
    <row r="91" spans="1:8" ht="12.75">
      <c r="A91" s="11">
        <v>181.03</v>
      </c>
      <c r="B91" s="20">
        <v>220</v>
      </c>
      <c r="C91" s="20">
        <v>196</v>
      </c>
      <c r="D91" s="20">
        <v>326</v>
      </c>
      <c r="E91" s="20">
        <v>390</v>
      </c>
      <c r="F91">
        <v>234</v>
      </c>
      <c r="G91">
        <v>392</v>
      </c>
      <c r="H91">
        <v>364</v>
      </c>
    </row>
    <row r="92" spans="1:8" ht="12.75">
      <c r="A92" s="11">
        <v>181.07</v>
      </c>
      <c r="B92" s="20">
        <v>175</v>
      </c>
      <c r="C92" s="20">
        <v>19</v>
      </c>
      <c r="D92" s="20">
        <v>251</v>
      </c>
      <c r="E92" s="20">
        <v>282</v>
      </c>
      <c r="F92">
        <v>169</v>
      </c>
      <c r="G92">
        <v>170</v>
      </c>
      <c r="H92">
        <v>269</v>
      </c>
    </row>
    <row r="93" spans="1:8" ht="12.75">
      <c r="A93" s="11">
        <v>181.08</v>
      </c>
      <c r="B93" s="20">
        <v>122</v>
      </c>
      <c r="C93" s="20">
        <v>158</v>
      </c>
      <c r="D93" s="20">
        <v>154</v>
      </c>
      <c r="E93" s="20">
        <v>168</v>
      </c>
      <c r="F93">
        <v>101</v>
      </c>
      <c r="G93">
        <v>250</v>
      </c>
      <c r="H93">
        <v>163</v>
      </c>
    </row>
    <row r="94" spans="1:8" ht="12.75">
      <c r="A94" s="11">
        <v>170.04</v>
      </c>
      <c r="B94" s="20">
        <v>118</v>
      </c>
      <c r="C94" s="20">
        <v>146</v>
      </c>
      <c r="D94" s="20">
        <v>228</v>
      </c>
      <c r="E94" s="20">
        <v>330</v>
      </c>
      <c r="F94">
        <v>198</v>
      </c>
      <c r="G94">
        <v>283</v>
      </c>
      <c r="H94">
        <v>289</v>
      </c>
    </row>
    <row r="95" spans="1:8" ht="12.75">
      <c r="A95" s="11">
        <v>170.03</v>
      </c>
      <c r="B95" s="20">
        <v>55</v>
      </c>
      <c r="C95" s="20">
        <v>20</v>
      </c>
      <c r="D95" s="20">
        <v>60</v>
      </c>
      <c r="E95" s="20">
        <v>85</v>
      </c>
      <c r="F95">
        <v>51</v>
      </c>
      <c r="G95">
        <v>56</v>
      </c>
      <c r="H95">
        <v>75</v>
      </c>
    </row>
    <row r="96" spans="1:8" ht="12.75">
      <c r="A96" s="11">
        <v>170.05</v>
      </c>
      <c r="B96" s="20">
        <v>18</v>
      </c>
      <c r="C96" s="20">
        <v>94</v>
      </c>
      <c r="D96" s="20">
        <v>126</v>
      </c>
      <c r="E96" s="20">
        <v>50</v>
      </c>
      <c r="F96">
        <v>30</v>
      </c>
      <c r="G96">
        <v>170</v>
      </c>
      <c r="H96">
        <v>80</v>
      </c>
    </row>
    <row r="97" spans="1:8" ht="12.75">
      <c r="A97" s="11">
        <v>170.08</v>
      </c>
      <c r="B97" s="20">
        <v>144</v>
      </c>
      <c r="C97" s="20">
        <v>149</v>
      </c>
      <c r="D97" s="20">
        <v>174</v>
      </c>
      <c r="E97" s="20">
        <v>182</v>
      </c>
      <c r="F97">
        <v>109</v>
      </c>
      <c r="G97">
        <v>253</v>
      </c>
      <c r="H97">
        <v>179</v>
      </c>
    </row>
    <row r="98" spans="1:8" ht="12.75">
      <c r="A98" s="11">
        <v>170.07</v>
      </c>
      <c r="B98" s="20">
        <v>292</v>
      </c>
      <c r="C98" s="20">
        <v>207</v>
      </c>
      <c r="D98" s="20">
        <v>216</v>
      </c>
      <c r="E98" s="20">
        <v>242</v>
      </c>
      <c r="F98">
        <v>145</v>
      </c>
      <c r="G98">
        <v>337</v>
      </c>
      <c r="H98">
        <v>231</v>
      </c>
    </row>
    <row r="99" spans="1:8" ht="12.75">
      <c r="A99" s="11">
        <v>181.05</v>
      </c>
      <c r="B99" s="20">
        <v>300</v>
      </c>
      <c r="C99" s="20">
        <v>1980</v>
      </c>
      <c r="D99" s="20">
        <v>356</v>
      </c>
      <c r="E99" s="20">
        <v>20</v>
      </c>
      <c r="F99">
        <v>12</v>
      </c>
      <c r="G99">
        <v>2194</v>
      </c>
      <c r="H99">
        <v>154</v>
      </c>
    </row>
    <row r="100" spans="1:8" ht="12.75">
      <c r="A100" s="11">
        <v>181.16</v>
      </c>
      <c r="B100" s="20">
        <v>76</v>
      </c>
      <c r="C100" s="20">
        <v>118</v>
      </c>
      <c r="D100" s="20">
        <v>103</v>
      </c>
      <c r="E100" s="20">
        <v>164</v>
      </c>
      <c r="F100">
        <v>98</v>
      </c>
      <c r="G100">
        <v>180</v>
      </c>
      <c r="H100">
        <v>139</v>
      </c>
    </row>
    <row r="101" spans="1:8" ht="12.75">
      <c r="A101" s="11">
        <v>181.15</v>
      </c>
      <c r="B101" s="20">
        <v>74</v>
      </c>
      <c r="C101" s="20">
        <v>119</v>
      </c>
      <c r="D101" s="20">
        <v>103</v>
      </c>
      <c r="E101" s="20">
        <v>162</v>
      </c>
      <c r="F101">
        <v>97</v>
      </c>
      <c r="G101">
        <v>181</v>
      </c>
      <c r="H101">
        <v>138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105"/>
  <sheetViews>
    <sheetView workbookViewId="0">
      <selection activeCell="G3" sqref="G3"/>
    </sheetView>
  </sheetViews>
  <sheetFormatPr defaultColWidth="14.42578125" defaultRowHeight="15.75" customHeight="1"/>
  <sheetData>
    <row r="1" spans="1:15" ht="15.75" customHeight="1">
      <c r="A1" s="7" t="s">
        <v>506</v>
      </c>
      <c r="B1" s="17" t="s">
        <v>507</v>
      </c>
      <c r="C1" s="18">
        <v>42864</v>
      </c>
      <c r="D1" s="18">
        <v>43022</v>
      </c>
      <c r="E1" s="19" t="s">
        <v>508</v>
      </c>
      <c r="F1" s="17" t="s">
        <v>529</v>
      </c>
      <c r="G1" s="8" t="s">
        <v>509</v>
      </c>
      <c r="J1" s="13"/>
      <c r="K1" s="13"/>
      <c r="L1" s="13"/>
    </row>
    <row r="2" spans="1:15" ht="15.75" customHeight="1">
      <c r="A2" s="11">
        <v>9330192</v>
      </c>
      <c r="B2" s="13">
        <v>221</v>
      </c>
      <c r="C2" s="13">
        <v>257</v>
      </c>
      <c r="D2" s="13">
        <v>256</v>
      </c>
      <c r="E2" s="13">
        <v>291</v>
      </c>
      <c r="F2" s="13">
        <v>4194</v>
      </c>
      <c r="G2">
        <v>175</v>
      </c>
      <c r="J2" s="13">
        <v>5.2766247331569399E-2</v>
      </c>
      <c r="K2" s="13">
        <v>6.1393041152786709E-2</v>
      </c>
      <c r="L2" s="13">
        <v>6.1009367441504425E-2</v>
      </c>
      <c r="M2">
        <v>6.9489852864372731E-2</v>
      </c>
      <c r="N2">
        <v>411</v>
      </c>
      <c r="O2">
        <v>277</v>
      </c>
    </row>
    <row r="3" spans="1:15" ht="15.75" customHeight="1">
      <c r="A3" s="11">
        <v>9330186.0099999998</v>
      </c>
      <c r="B3" s="13">
        <v>475</v>
      </c>
      <c r="C3" s="13">
        <v>460</v>
      </c>
      <c r="D3" s="13">
        <v>479</v>
      </c>
      <c r="E3" s="13">
        <v>505</v>
      </c>
      <c r="F3" s="13">
        <v>7494</v>
      </c>
      <c r="G3">
        <v>303</v>
      </c>
      <c r="J3" s="13">
        <v>6.3427301888008436E-2</v>
      </c>
      <c r="K3" s="13">
        <v>6.1325578474809614E-2</v>
      </c>
      <c r="L3" s="13">
        <v>6.3977185133478678E-2</v>
      </c>
      <c r="M3">
        <v>6.7346993482185313E-2</v>
      </c>
      <c r="N3">
        <v>747</v>
      </c>
      <c r="O3">
        <v>495</v>
      </c>
    </row>
    <row r="4" spans="1:15" ht="15.75" customHeight="1">
      <c r="A4" s="11">
        <v>186.02</v>
      </c>
      <c r="B4" s="13">
        <v>370</v>
      </c>
      <c r="C4" s="13">
        <v>379</v>
      </c>
      <c r="D4" s="13">
        <v>399</v>
      </c>
      <c r="E4" s="13">
        <v>409</v>
      </c>
      <c r="F4" s="13">
        <v>6106</v>
      </c>
      <c r="G4">
        <v>245</v>
      </c>
      <c r="J4" s="13">
        <v>6.05713915717465E-2</v>
      </c>
      <c r="K4" s="13">
        <v>6.2030309591413882E-2</v>
      </c>
      <c r="L4" s="13">
        <v>6.534041077869257E-2</v>
      </c>
      <c r="M4">
        <v>6.705053265838605E-2</v>
      </c>
      <c r="N4">
        <v>618</v>
      </c>
      <c r="O4">
        <v>405</v>
      </c>
    </row>
    <row r="5" spans="1:15" ht="15.75" customHeight="1">
      <c r="A5" s="11">
        <v>186.05</v>
      </c>
      <c r="B5" s="13">
        <v>503</v>
      </c>
      <c r="C5" s="13">
        <v>573</v>
      </c>
      <c r="D5" s="13">
        <v>567</v>
      </c>
      <c r="E5" s="13">
        <v>556</v>
      </c>
      <c r="F5" s="13">
        <v>7592</v>
      </c>
      <c r="G5">
        <v>334</v>
      </c>
      <c r="J5" s="13">
        <v>6.6243410120918722E-2</v>
      </c>
      <c r="K5" s="13">
        <v>7.5534112284319679E-2</v>
      </c>
      <c r="L5" s="13">
        <v>7.4683270048530814E-2</v>
      </c>
      <c r="M5">
        <v>7.320041582566339E-2</v>
      </c>
      <c r="N5">
        <v>913</v>
      </c>
      <c r="O5">
        <v>560</v>
      </c>
    </row>
    <row r="6" spans="1:15" ht="15.75" customHeight="1">
      <c r="A6" s="11">
        <v>186.06</v>
      </c>
      <c r="B6" s="13">
        <v>333</v>
      </c>
      <c r="C6" s="13">
        <v>315</v>
      </c>
      <c r="D6" s="13">
        <v>301</v>
      </c>
      <c r="E6" s="13">
        <v>264</v>
      </c>
      <c r="F6" s="13">
        <v>4206</v>
      </c>
      <c r="G6">
        <v>158</v>
      </c>
      <c r="J6" s="13">
        <v>7.9231510328722443E-2</v>
      </c>
      <c r="K6" s="13">
        <v>7.4818260311470694E-2</v>
      </c>
      <c r="L6" s="13">
        <v>7.1589806664214051E-2</v>
      </c>
      <c r="M6">
        <v>6.2886289424603878E-2</v>
      </c>
      <c r="N6">
        <v>496</v>
      </c>
      <c r="O6">
        <v>279</v>
      </c>
    </row>
    <row r="7" spans="1:15" ht="15.75" customHeight="1">
      <c r="A7" s="11">
        <v>185.09</v>
      </c>
      <c r="B7" s="13">
        <v>387</v>
      </c>
      <c r="C7" s="13">
        <v>333</v>
      </c>
      <c r="D7" s="13">
        <v>322</v>
      </c>
      <c r="E7" s="13">
        <v>282</v>
      </c>
      <c r="F7" s="13">
        <v>5127</v>
      </c>
      <c r="G7">
        <v>169</v>
      </c>
      <c r="J7" s="13">
        <v>7.5415148322747511E-2</v>
      </c>
      <c r="K7" s="13">
        <v>6.5021811078026029E-2</v>
      </c>
      <c r="L7" s="13">
        <v>6.2805159795874477E-2</v>
      </c>
      <c r="M7">
        <v>5.4988243199467983E-2</v>
      </c>
      <c r="N7">
        <v>526</v>
      </c>
      <c r="O7">
        <v>298</v>
      </c>
    </row>
    <row r="8" spans="1:15" ht="15.75" customHeight="1">
      <c r="A8" s="11">
        <v>185.11</v>
      </c>
      <c r="B8" s="13">
        <v>646</v>
      </c>
      <c r="C8" s="13">
        <v>644</v>
      </c>
      <c r="D8" s="13">
        <v>574</v>
      </c>
      <c r="E8" s="13">
        <v>489</v>
      </c>
      <c r="F8" s="13">
        <v>7844</v>
      </c>
      <c r="G8">
        <v>293</v>
      </c>
      <c r="J8" s="13">
        <v>8.2347042508968737E-2</v>
      </c>
      <c r="K8" s="13">
        <v>8.215576594661203E-2</v>
      </c>
      <c r="L8" s="13">
        <v>7.3228873103017303E-2</v>
      </c>
      <c r="M8">
        <v>6.2296973342806344E-2</v>
      </c>
      <c r="N8">
        <v>988</v>
      </c>
      <c r="O8">
        <v>523</v>
      </c>
    </row>
    <row r="9" spans="1:15" ht="15.75" customHeight="1">
      <c r="A9" s="11">
        <v>185.1</v>
      </c>
      <c r="B9" s="13">
        <v>502</v>
      </c>
      <c r="C9" s="13">
        <v>499</v>
      </c>
      <c r="D9" s="13">
        <v>430</v>
      </c>
      <c r="E9" s="13">
        <v>404</v>
      </c>
      <c r="F9" s="13">
        <v>5894</v>
      </c>
      <c r="G9">
        <v>242</v>
      </c>
      <c r="J9" s="13">
        <v>8.5120226897720308E-2</v>
      </c>
      <c r="K9" s="13">
        <v>8.4672241334140752E-2</v>
      </c>
      <c r="L9" s="13">
        <v>7.2879552513365781E-2</v>
      </c>
      <c r="M9">
        <v>6.8469601815079412E-2</v>
      </c>
      <c r="N9">
        <v>757</v>
      </c>
      <c r="O9">
        <v>414</v>
      </c>
    </row>
    <row r="10" spans="1:15" ht="15.75" customHeight="1">
      <c r="A10" s="11">
        <v>185.21</v>
      </c>
      <c r="B10" s="13">
        <v>280</v>
      </c>
      <c r="C10" s="13">
        <v>289</v>
      </c>
      <c r="D10" s="13">
        <v>279</v>
      </c>
      <c r="E10" s="13">
        <v>250</v>
      </c>
      <c r="F10" s="13">
        <v>3845</v>
      </c>
      <c r="G10">
        <v>150</v>
      </c>
      <c r="J10" s="13">
        <v>7.2864503639820097E-2</v>
      </c>
      <c r="K10" s="13">
        <v>7.5216186766819682E-2</v>
      </c>
      <c r="L10" s="13">
        <v>7.2452995316919372E-2</v>
      </c>
      <c r="M10">
        <v>6.5008172207539294E-2</v>
      </c>
      <c r="N10">
        <v>456</v>
      </c>
      <c r="O10">
        <v>262</v>
      </c>
    </row>
    <row r="11" spans="1:15" ht="15.75" customHeight="1">
      <c r="A11" s="11">
        <v>185.22</v>
      </c>
      <c r="B11" s="13">
        <v>323</v>
      </c>
      <c r="C11" s="13">
        <v>293</v>
      </c>
      <c r="D11" s="13">
        <v>258</v>
      </c>
      <c r="E11" s="13">
        <v>261</v>
      </c>
      <c r="F11" s="13">
        <v>3771</v>
      </c>
      <c r="G11">
        <v>157</v>
      </c>
      <c r="J11" s="13">
        <v>8.5633782509176762E-2</v>
      </c>
      <c r="K11" s="13">
        <v>7.7657682148514401E-2</v>
      </c>
      <c r="L11" s="13">
        <v>6.8362265424273927E-2</v>
      </c>
      <c r="M11">
        <v>6.9284697982813975E-2</v>
      </c>
      <c r="N11">
        <v>448</v>
      </c>
      <c r="O11">
        <v>260</v>
      </c>
    </row>
    <row r="12" spans="1:15" ht="15.75" customHeight="1">
      <c r="A12" s="11">
        <v>185.17</v>
      </c>
      <c r="B12" s="13">
        <v>175</v>
      </c>
      <c r="C12" s="13">
        <v>175</v>
      </c>
      <c r="D12" s="13">
        <v>197</v>
      </c>
      <c r="E12" s="13">
        <v>235</v>
      </c>
      <c r="F12" s="13">
        <v>3520</v>
      </c>
      <c r="G12">
        <v>141</v>
      </c>
      <c r="J12" s="13">
        <v>4.9609842638934962E-2</v>
      </c>
      <c r="K12" s="13">
        <v>4.9693018515046178E-2</v>
      </c>
      <c r="L12" s="13">
        <v>5.6042591176946661E-2</v>
      </c>
      <c r="M12">
        <v>6.6892742651061432E-2</v>
      </c>
      <c r="N12">
        <v>293</v>
      </c>
      <c r="O12">
        <v>220</v>
      </c>
    </row>
    <row r="13" spans="1:15" ht="15.75" customHeight="1">
      <c r="A13" s="11">
        <v>185.18</v>
      </c>
      <c r="B13" s="13">
        <v>308</v>
      </c>
      <c r="C13" s="13">
        <v>325</v>
      </c>
      <c r="D13" s="13">
        <v>348</v>
      </c>
      <c r="E13" s="13">
        <v>388</v>
      </c>
      <c r="F13" s="13">
        <v>5295</v>
      </c>
      <c r="G13">
        <v>233</v>
      </c>
      <c r="J13" s="13">
        <v>5.8231361772321397E-2</v>
      </c>
      <c r="K13" s="13">
        <v>6.1315180704429609E-2</v>
      </c>
      <c r="L13" s="13">
        <v>6.5809093375837485E-2</v>
      </c>
      <c r="M13">
        <v>7.3211070677014295E-2</v>
      </c>
      <c r="N13">
        <v>534</v>
      </c>
      <c r="O13">
        <v>372</v>
      </c>
    </row>
    <row r="14" spans="1:15" ht="15.75" customHeight="1">
      <c r="A14" s="11">
        <v>185.19</v>
      </c>
      <c r="B14" s="13">
        <v>494</v>
      </c>
      <c r="C14" s="13">
        <v>418</v>
      </c>
      <c r="D14" s="13">
        <v>425</v>
      </c>
      <c r="E14" s="13">
        <v>399</v>
      </c>
      <c r="F14" s="13">
        <v>5975</v>
      </c>
      <c r="G14">
        <v>239</v>
      </c>
      <c r="J14" s="13">
        <v>8.2701066844830057E-2</v>
      </c>
      <c r="K14" s="13">
        <v>6.9951249126724818E-2</v>
      </c>
      <c r="L14" s="13">
        <v>7.1169258272852365E-2</v>
      </c>
      <c r="M14">
        <v>6.6779239083678832E-2</v>
      </c>
      <c r="N14">
        <v>673</v>
      </c>
      <c r="O14">
        <v>409</v>
      </c>
    </row>
    <row r="15" spans="1:15" ht="15.75" customHeight="1">
      <c r="A15" s="11">
        <v>185.2</v>
      </c>
      <c r="B15" s="13">
        <v>441</v>
      </c>
      <c r="C15" s="13">
        <v>402</v>
      </c>
      <c r="D15" s="13">
        <v>387</v>
      </c>
      <c r="E15" s="13">
        <v>365</v>
      </c>
      <c r="F15" s="13">
        <v>5166</v>
      </c>
      <c r="G15">
        <v>219</v>
      </c>
      <c r="J15" s="13">
        <v>8.5421631008531618E-2</v>
      </c>
      <c r="K15" s="13">
        <v>7.7747486970751234E-2</v>
      </c>
      <c r="L15" s="13">
        <v>7.4922846024041007E-2</v>
      </c>
      <c r="M15">
        <v>7.0649910519067993E-2</v>
      </c>
      <c r="N15">
        <v>634</v>
      </c>
      <c r="O15">
        <v>374</v>
      </c>
    </row>
    <row r="16" spans="1:15" ht="15.75" customHeight="1">
      <c r="A16" s="11">
        <v>185.08</v>
      </c>
      <c r="B16" s="13">
        <v>62</v>
      </c>
      <c r="C16" s="13">
        <v>75</v>
      </c>
      <c r="D16" s="13">
        <v>92</v>
      </c>
      <c r="E16" s="13">
        <v>126</v>
      </c>
      <c r="F16" s="13">
        <v>1483</v>
      </c>
      <c r="G16">
        <v>76</v>
      </c>
      <c r="J16" s="13">
        <v>4.1688785527102978E-2</v>
      </c>
      <c r="K16" s="13">
        <v>5.0696954759557454E-2</v>
      </c>
      <c r="L16" s="13">
        <v>6.1730053001002719E-2</v>
      </c>
      <c r="M16">
        <v>8.5262940586634306E-2</v>
      </c>
      <c r="N16">
        <v>130</v>
      </c>
      <c r="O16">
        <v>112</v>
      </c>
    </row>
    <row r="17" spans="1:15" ht="15.75" customHeight="1">
      <c r="A17" s="11">
        <v>185.07</v>
      </c>
      <c r="B17" s="13">
        <v>652</v>
      </c>
      <c r="C17" s="13">
        <v>709</v>
      </c>
      <c r="D17" s="13">
        <v>743</v>
      </c>
      <c r="E17" s="13">
        <v>753</v>
      </c>
      <c r="F17" s="13">
        <v>9630</v>
      </c>
      <c r="G17">
        <v>452</v>
      </c>
      <c r="J17" s="13">
        <v>6.766986730654484E-2</v>
      </c>
      <c r="K17" s="13">
        <v>7.3640258868892416E-2</v>
      </c>
      <c r="L17" s="13">
        <v>7.7105609958412258E-2</v>
      </c>
      <c r="M17">
        <v>7.8154025808619743E-2</v>
      </c>
      <c r="N17">
        <v>1155</v>
      </c>
      <c r="O17">
        <v>749</v>
      </c>
    </row>
    <row r="18" spans="1:15" ht="15.75" customHeight="1">
      <c r="A18" s="11">
        <v>185.12</v>
      </c>
      <c r="B18" s="13">
        <v>454</v>
      </c>
      <c r="C18" s="13">
        <v>501</v>
      </c>
      <c r="D18" s="13">
        <v>531</v>
      </c>
      <c r="E18" s="13">
        <v>480</v>
      </c>
      <c r="F18" s="13">
        <v>6780</v>
      </c>
      <c r="G18">
        <v>288</v>
      </c>
      <c r="J18" s="13">
        <v>6.7034849601726926E-2</v>
      </c>
      <c r="K18" s="13">
        <v>7.3860576130826167E-2</v>
      </c>
      <c r="L18" s="13">
        <v>7.8345135666942858E-2</v>
      </c>
      <c r="M18">
        <v>7.072437018093472E-2</v>
      </c>
      <c r="N18">
        <v>820</v>
      </c>
      <c r="O18">
        <v>500</v>
      </c>
    </row>
    <row r="19" spans="1:15" ht="15.75" customHeight="1">
      <c r="A19" s="11">
        <v>185.16</v>
      </c>
      <c r="B19" s="13">
        <v>385</v>
      </c>
      <c r="C19" s="13">
        <v>393</v>
      </c>
      <c r="D19" s="13">
        <v>393</v>
      </c>
      <c r="E19" s="13">
        <v>360</v>
      </c>
      <c r="F19" s="13">
        <v>4968</v>
      </c>
      <c r="G19">
        <v>216</v>
      </c>
      <c r="J19" s="13">
        <v>7.7553347705189485E-2</v>
      </c>
      <c r="K19" s="13">
        <v>7.9091059220405935E-2</v>
      </c>
      <c r="L19" s="13">
        <v>7.9067119651991716E-2</v>
      </c>
      <c r="M19">
        <v>7.2469536899192916E-2</v>
      </c>
      <c r="N19">
        <v>629</v>
      </c>
      <c r="O19">
        <v>373</v>
      </c>
    </row>
    <row r="20" spans="1:15" ht="15.75" customHeight="1">
      <c r="A20" s="11">
        <v>185.15</v>
      </c>
      <c r="B20" s="13">
        <v>484</v>
      </c>
      <c r="C20" s="13">
        <v>421</v>
      </c>
      <c r="D20" s="13">
        <v>368</v>
      </c>
      <c r="E20" s="13">
        <v>330</v>
      </c>
      <c r="F20" s="13">
        <v>5867</v>
      </c>
      <c r="G20">
        <v>198</v>
      </c>
      <c r="J20" s="13">
        <v>8.2473047872880026E-2</v>
      </c>
      <c r="K20" s="13">
        <v>7.1681130283216363E-2</v>
      </c>
      <c r="L20" s="13">
        <v>6.2747503066409666E-2</v>
      </c>
      <c r="M20">
        <v>5.624302564717383E-2</v>
      </c>
      <c r="N20">
        <v>642</v>
      </c>
      <c r="O20">
        <v>345</v>
      </c>
    </row>
    <row r="21" spans="1:15" ht="15.75" customHeight="1">
      <c r="A21" s="11">
        <v>186.07</v>
      </c>
      <c r="B21" s="13">
        <v>442</v>
      </c>
      <c r="C21" s="13">
        <v>448</v>
      </c>
      <c r="D21" s="13">
        <v>435</v>
      </c>
      <c r="E21" s="13">
        <v>397</v>
      </c>
      <c r="F21" s="13">
        <v>5886</v>
      </c>
      <c r="G21">
        <v>238</v>
      </c>
      <c r="J21" s="13">
        <v>7.5124028113233238E-2</v>
      </c>
      <c r="K21" s="13">
        <v>7.6050911830426352E-2</v>
      </c>
      <c r="L21" s="13">
        <v>7.3918462272490576E-2</v>
      </c>
      <c r="M21">
        <v>6.7383829231547246E-2</v>
      </c>
      <c r="N21">
        <v>709</v>
      </c>
      <c r="O21">
        <v>412</v>
      </c>
    </row>
    <row r="22" spans="1:15" ht="15.75" customHeight="1">
      <c r="A22" s="11">
        <v>186.08</v>
      </c>
      <c r="B22" s="13">
        <v>466</v>
      </c>
      <c r="C22" s="13">
        <v>503</v>
      </c>
      <c r="D22" s="13">
        <v>512</v>
      </c>
      <c r="E22" s="13">
        <v>495</v>
      </c>
      <c r="F22" s="13">
        <v>6646</v>
      </c>
      <c r="G22">
        <v>297</v>
      </c>
      <c r="J22" s="13">
        <v>7.0150310562045515E-2</v>
      </c>
      <c r="K22" s="13">
        <v>7.5656087674873418E-2</v>
      </c>
      <c r="L22" s="13">
        <v>7.7001665740919434E-2</v>
      </c>
      <c r="M22">
        <v>7.4511224940751214E-2</v>
      </c>
      <c r="N22">
        <v>810</v>
      </c>
      <c r="O22">
        <v>502</v>
      </c>
    </row>
    <row r="23" spans="1:15" ht="15.75" customHeight="1">
      <c r="A23" s="11">
        <v>191.03</v>
      </c>
      <c r="B23" s="13">
        <v>391</v>
      </c>
      <c r="C23" s="13">
        <v>378</v>
      </c>
      <c r="D23" s="13">
        <v>370</v>
      </c>
      <c r="E23" s="13">
        <v>408</v>
      </c>
      <c r="F23" s="13">
        <v>5619</v>
      </c>
      <c r="G23">
        <v>245</v>
      </c>
      <c r="J23" s="13">
        <v>6.953632488810263E-2</v>
      </c>
      <c r="K23" s="13">
        <v>6.7256453154803206E-2</v>
      </c>
      <c r="L23" s="13">
        <v>6.5771934021439271E-2</v>
      </c>
      <c r="M23">
        <v>7.2639897108735446E-2</v>
      </c>
      <c r="N23">
        <v>600</v>
      </c>
      <c r="O23">
        <v>393</v>
      </c>
    </row>
    <row r="24" spans="1:15" ht="15.75" customHeight="1">
      <c r="A24" s="11">
        <v>191.04</v>
      </c>
      <c r="B24" s="13">
        <v>373</v>
      </c>
      <c r="C24" s="13">
        <v>332</v>
      </c>
      <c r="D24" s="13">
        <v>344</v>
      </c>
      <c r="E24" s="13">
        <v>352</v>
      </c>
      <c r="F24" s="13">
        <v>6927</v>
      </c>
      <c r="G24">
        <v>211</v>
      </c>
      <c r="J24" s="13">
        <v>5.3895745983783487E-2</v>
      </c>
      <c r="K24" s="13">
        <v>4.7886979454361038E-2</v>
      </c>
      <c r="L24" s="13">
        <v>4.970783186169965E-2</v>
      </c>
      <c r="M24">
        <v>5.0861146687535747E-2</v>
      </c>
      <c r="N24">
        <v>538</v>
      </c>
      <c r="O24">
        <v>349</v>
      </c>
    </row>
    <row r="25" spans="1:15" ht="15.75" customHeight="1">
      <c r="A25" s="11">
        <v>191.05</v>
      </c>
      <c r="B25" s="13">
        <v>223</v>
      </c>
      <c r="C25" s="13">
        <v>219</v>
      </c>
      <c r="D25" s="13">
        <v>260</v>
      </c>
      <c r="E25" s="13">
        <v>276</v>
      </c>
      <c r="F25" s="13">
        <v>4036</v>
      </c>
      <c r="G25">
        <v>166</v>
      </c>
      <c r="J25" s="13">
        <v>5.5164270826918306E-2</v>
      </c>
      <c r="K25" s="13">
        <v>5.4158926284322173E-2</v>
      </c>
      <c r="L25" s="13">
        <v>6.4483754281915412E-2</v>
      </c>
      <c r="M25">
        <v>6.8393058425777795E-2</v>
      </c>
      <c r="N25">
        <v>375</v>
      </c>
      <c r="O25">
        <v>270</v>
      </c>
    </row>
    <row r="26" spans="1:15" ht="15.75" customHeight="1">
      <c r="A26" s="11">
        <v>191.06</v>
      </c>
      <c r="B26" s="13">
        <v>143</v>
      </c>
      <c r="C26" s="13">
        <v>108</v>
      </c>
      <c r="D26" s="13">
        <v>123</v>
      </c>
      <c r="E26" s="13">
        <v>138</v>
      </c>
      <c r="F26" s="13">
        <v>2701</v>
      </c>
      <c r="G26">
        <v>83</v>
      </c>
      <c r="J26" s="13">
        <v>5.3034840064541636E-2</v>
      </c>
      <c r="K26" s="13">
        <v>3.9940637729819539E-2</v>
      </c>
      <c r="L26" s="13">
        <v>4.549155622203517E-2</v>
      </c>
      <c r="M26">
        <v>5.1274131395512422E-2</v>
      </c>
      <c r="N26">
        <v>182</v>
      </c>
      <c r="O26">
        <v>132</v>
      </c>
    </row>
    <row r="27" spans="1:15" ht="15.75" customHeight="1">
      <c r="A27" s="11">
        <v>191.07</v>
      </c>
      <c r="B27" s="13">
        <v>220</v>
      </c>
      <c r="C27" s="13">
        <v>153</v>
      </c>
      <c r="D27" s="13">
        <v>179</v>
      </c>
      <c r="E27" s="13">
        <v>207</v>
      </c>
      <c r="F27" s="13">
        <v>3929</v>
      </c>
      <c r="G27">
        <v>124</v>
      </c>
      <c r="J27" s="13">
        <v>5.6022783745556026E-2</v>
      </c>
      <c r="K27" s="13">
        <v>3.8934253300029503E-2</v>
      </c>
      <c r="L27" s="13">
        <v>4.5645389191064513E-2</v>
      </c>
      <c r="M27">
        <v>5.2717524976071586E-2</v>
      </c>
      <c r="N27">
        <v>260</v>
      </c>
      <c r="O27">
        <v>196</v>
      </c>
    </row>
    <row r="28" spans="1:15" ht="15.75" customHeight="1">
      <c r="A28" s="11">
        <v>190.03</v>
      </c>
      <c r="B28" s="13">
        <v>420</v>
      </c>
      <c r="C28" s="13">
        <v>420</v>
      </c>
      <c r="D28" s="13">
        <v>469</v>
      </c>
      <c r="E28" s="13">
        <v>513</v>
      </c>
      <c r="F28" s="13">
        <v>6896</v>
      </c>
      <c r="G28">
        <v>308</v>
      </c>
      <c r="J28" s="13">
        <v>6.0915105663632646E-2</v>
      </c>
      <c r="K28" s="13">
        <v>6.0914321056002363E-2</v>
      </c>
      <c r="L28" s="13">
        <v>6.8056865850298118E-2</v>
      </c>
      <c r="M28">
        <v>7.4391526321284485E-2</v>
      </c>
      <c r="N28">
        <v>701</v>
      </c>
      <c r="O28">
        <v>495</v>
      </c>
    </row>
    <row r="29" spans="1:15" ht="15.75" customHeight="1">
      <c r="A29" s="11">
        <v>190.04</v>
      </c>
      <c r="B29" s="13">
        <v>342</v>
      </c>
      <c r="C29" s="13">
        <v>426</v>
      </c>
      <c r="D29" s="13">
        <v>482</v>
      </c>
      <c r="E29" s="13">
        <v>507</v>
      </c>
      <c r="F29" s="13">
        <v>6984</v>
      </c>
      <c r="G29">
        <v>304</v>
      </c>
      <c r="J29" s="13">
        <v>4.8995897827123935E-2</v>
      </c>
      <c r="K29" s="13">
        <v>6.0960462588660183E-2</v>
      </c>
      <c r="L29" s="13">
        <v>6.8975893825202847E-2</v>
      </c>
      <c r="M29">
        <v>7.2550165629407026E-2</v>
      </c>
      <c r="N29">
        <v>715</v>
      </c>
      <c r="O29">
        <v>497</v>
      </c>
    </row>
    <row r="30" spans="1:15" ht="15.75" customHeight="1">
      <c r="A30" s="11">
        <v>190.05</v>
      </c>
      <c r="B30" s="13">
        <v>122</v>
      </c>
      <c r="C30" s="13">
        <v>125</v>
      </c>
      <c r="D30" s="13">
        <v>131</v>
      </c>
      <c r="E30" s="13">
        <v>138</v>
      </c>
      <c r="F30" s="13">
        <v>1791</v>
      </c>
      <c r="G30">
        <v>83</v>
      </c>
      <c r="J30" s="13">
        <v>6.821962279743643E-2</v>
      </c>
      <c r="K30" s="13">
        <v>6.988373101523998E-2</v>
      </c>
      <c r="L30" s="13">
        <v>7.2973965873089186E-2</v>
      </c>
      <c r="M30">
        <v>7.7014364215468173E-2</v>
      </c>
      <c r="N30">
        <v>204</v>
      </c>
      <c r="O30">
        <v>135</v>
      </c>
    </row>
    <row r="31" spans="1:15" ht="15.75" customHeight="1">
      <c r="A31" s="11">
        <v>190.01</v>
      </c>
      <c r="B31" s="13">
        <v>513</v>
      </c>
      <c r="C31" s="13">
        <v>446</v>
      </c>
      <c r="D31" s="13">
        <v>452</v>
      </c>
      <c r="E31" s="13">
        <v>489</v>
      </c>
      <c r="F31" s="13">
        <v>8998</v>
      </c>
      <c r="G31">
        <v>293</v>
      </c>
      <c r="J31" s="13">
        <v>5.6984327393364662E-2</v>
      </c>
      <c r="K31" s="13">
        <v>4.961966556431515E-2</v>
      </c>
      <c r="L31" s="13">
        <v>5.0261428311601519E-2</v>
      </c>
      <c r="M31">
        <v>5.433670987650964E-2</v>
      </c>
      <c r="N31">
        <v>717</v>
      </c>
      <c r="O31">
        <v>474</v>
      </c>
    </row>
    <row r="32" spans="1:15" ht="15.75" customHeight="1">
      <c r="A32" s="11">
        <v>189.06</v>
      </c>
      <c r="B32" s="13">
        <v>196</v>
      </c>
      <c r="C32" s="13">
        <v>209</v>
      </c>
      <c r="D32" s="13">
        <v>218</v>
      </c>
      <c r="E32" s="13">
        <v>246</v>
      </c>
      <c r="F32" s="13">
        <v>3227</v>
      </c>
      <c r="G32">
        <v>148</v>
      </c>
      <c r="J32" s="13">
        <v>6.0625877484667107E-2</v>
      </c>
      <c r="K32" s="13">
        <v>6.4899381758171393E-2</v>
      </c>
      <c r="L32" s="13">
        <v>6.7555235350624396E-2</v>
      </c>
      <c r="M32">
        <v>7.6377496982684312E-2</v>
      </c>
      <c r="N32">
        <v>340</v>
      </c>
      <c r="O32">
        <v>235</v>
      </c>
    </row>
    <row r="33" spans="1:15" ht="15.75" customHeight="1">
      <c r="A33" s="11">
        <v>187.04</v>
      </c>
      <c r="B33" s="13">
        <v>105</v>
      </c>
      <c r="C33" s="13">
        <v>117</v>
      </c>
      <c r="D33" s="13">
        <v>120</v>
      </c>
      <c r="E33" s="13">
        <v>101</v>
      </c>
      <c r="F33" s="13">
        <v>1707</v>
      </c>
      <c r="G33">
        <v>61</v>
      </c>
      <c r="J33" s="13">
        <v>6.1668858519717484E-2</v>
      </c>
      <c r="K33" s="13">
        <v>6.8644304948288909E-2</v>
      </c>
      <c r="L33" s="13">
        <v>7.0192123255276212E-2</v>
      </c>
      <c r="M33">
        <v>5.8878679948288909E-2</v>
      </c>
      <c r="N33">
        <v>189</v>
      </c>
      <c r="O33">
        <v>109</v>
      </c>
    </row>
    <row r="34" spans="1:15" ht="15.75" customHeight="1">
      <c r="A34" s="11">
        <v>187.05</v>
      </c>
      <c r="B34" s="13">
        <v>614</v>
      </c>
      <c r="C34" s="13">
        <v>543</v>
      </c>
      <c r="D34" s="13">
        <v>530</v>
      </c>
      <c r="E34" s="13">
        <v>485</v>
      </c>
      <c r="F34" s="13">
        <v>7419</v>
      </c>
      <c r="G34">
        <v>291</v>
      </c>
      <c r="J34" s="13">
        <v>8.2712887559025311E-2</v>
      </c>
      <c r="K34" s="13">
        <v>7.3123791985001949E-2</v>
      </c>
      <c r="L34" s="13">
        <v>7.1471221774759564E-2</v>
      </c>
      <c r="M34">
        <v>6.5412746488735601E-2</v>
      </c>
      <c r="N34">
        <v>861</v>
      </c>
      <c r="O34">
        <v>503</v>
      </c>
    </row>
    <row r="35" spans="1:15" ht="15.75" customHeight="1">
      <c r="A35" s="11">
        <v>184.02</v>
      </c>
      <c r="B35" s="13">
        <v>507</v>
      </c>
      <c r="C35" s="13">
        <v>510</v>
      </c>
      <c r="D35" s="13">
        <v>476</v>
      </c>
      <c r="E35" s="13">
        <v>497</v>
      </c>
      <c r="F35" s="13">
        <v>7951</v>
      </c>
      <c r="G35">
        <v>298</v>
      </c>
      <c r="J35" s="13">
        <v>6.3768413552748704E-2</v>
      </c>
      <c r="K35" s="13">
        <v>6.4101347365506739E-2</v>
      </c>
      <c r="L35" s="13">
        <v>5.987681057072454E-2</v>
      </c>
      <c r="M35">
        <v>6.2540281072788723E-2</v>
      </c>
      <c r="N35">
        <v>796</v>
      </c>
      <c r="O35">
        <v>489</v>
      </c>
    </row>
    <row r="36" spans="1:15" ht="12.75">
      <c r="A36" s="11">
        <v>184.15</v>
      </c>
      <c r="B36" s="13">
        <v>171</v>
      </c>
      <c r="C36" s="13">
        <v>182</v>
      </c>
      <c r="D36" s="13">
        <v>239</v>
      </c>
      <c r="E36" s="13">
        <v>293</v>
      </c>
      <c r="F36" s="13">
        <v>3364</v>
      </c>
      <c r="G36">
        <v>176</v>
      </c>
      <c r="J36" s="13">
        <v>5.0804174747355282E-2</v>
      </c>
      <c r="K36" s="13">
        <v>5.3975153945731748E-2</v>
      </c>
      <c r="L36" s="13">
        <v>7.0905739027650766E-2</v>
      </c>
      <c r="M36">
        <v>8.718970876829632E-2</v>
      </c>
      <c r="N36">
        <v>325</v>
      </c>
      <c r="O36">
        <v>271</v>
      </c>
    </row>
    <row r="37" spans="1:15" ht="12.75">
      <c r="A37" s="11">
        <v>184.16</v>
      </c>
      <c r="B37" s="13">
        <v>337</v>
      </c>
      <c r="C37" s="13">
        <v>374</v>
      </c>
      <c r="D37" s="13">
        <v>439</v>
      </c>
      <c r="E37" s="13">
        <v>467</v>
      </c>
      <c r="F37" s="13">
        <v>5860</v>
      </c>
      <c r="G37">
        <v>280</v>
      </c>
      <c r="J37" s="13">
        <v>5.7536180472013608E-2</v>
      </c>
      <c r="K37" s="13">
        <v>6.3898282690646957E-2</v>
      </c>
      <c r="L37" s="13">
        <v>7.4879128586714458E-2</v>
      </c>
      <c r="M37">
        <v>7.9775132768462043E-2</v>
      </c>
      <c r="N37">
        <v>637</v>
      </c>
      <c r="O37">
        <v>456</v>
      </c>
    </row>
    <row r="38" spans="1:15" ht="12.75">
      <c r="A38" s="11">
        <v>184.07</v>
      </c>
      <c r="B38" s="13">
        <v>328</v>
      </c>
      <c r="C38" s="13">
        <v>347</v>
      </c>
      <c r="D38" s="13">
        <v>369</v>
      </c>
      <c r="E38" s="13">
        <v>342</v>
      </c>
      <c r="F38" s="13">
        <v>5501</v>
      </c>
      <c r="G38">
        <v>205</v>
      </c>
      <c r="J38" s="13">
        <v>5.9610976783346703E-2</v>
      </c>
      <c r="K38" s="13">
        <v>6.3098212711488563E-2</v>
      </c>
      <c r="L38" s="13">
        <v>6.7021862846908031E-2</v>
      </c>
      <c r="M38">
        <v>6.2083246277032433E-2</v>
      </c>
      <c r="N38">
        <v>568</v>
      </c>
      <c r="O38">
        <v>353</v>
      </c>
    </row>
    <row r="39" spans="1:15" ht="12.75">
      <c r="A39" s="11">
        <v>184.08</v>
      </c>
      <c r="B39" s="13">
        <v>382</v>
      </c>
      <c r="C39" s="13">
        <v>427</v>
      </c>
      <c r="D39" s="13">
        <v>490</v>
      </c>
      <c r="E39" s="13">
        <v>446</v>
      </c>
      <c r="F39" s="13">
        <v>5537</v>
      </c>
      <c r="G39">
        <v>268</v>
      </c>
      <c r="J39" s="13">
        <v>6.8955473210792359E-2</v>
      </c>
      <c r="K39" s="13">
        <v>7.7178009802123276E-2</v>
      </c>
      <c r="L39" s="13">
        <v>8.8582680781262343E-2</v>
      </c>
      <c r="M39">
        <v>8.0517328744279096E-2</v>
      </c>
      <c r="N39">
        <v>721</v>
      </c>
      <c r="O39">
        <v>464</v>
      </c>
    </row>
    <row r="40" spans="1:15" ht="12.75">
      <c r="A40" s="11">
        <v>184.06</v>
      </c>
      <c r="B40" s="13">
        <v>938</v>
      </c>
      <c r="C40" s="13">
        <v>876</v>
      </c>
      <c r="D40" s="13">
        <v>794</v>
      </c>
      <c r="E40" s="13">
        <v>677</v>
      </c>
      <c r="F40" s="13">
        <v>10901</v>
      </c>
      <c r="G40">
        <v>406</v>
      </c>
      <c r="J40" s="13">
        <v>8.6084213670581444E-2</v>
      </c>
      <c r="K40" s="13">
        <v>8.037352090164146E-2</v>
      </c>
      <c r="L40" s="13">
        <v>7.2844240366225943E-2</v>
      </c>
      <c r="M40">
        <v>6.206548006566668E-2</v>
      </c>
      <c r="N40">
        <v>1352</v>
      </c>
      <c r="O40">
        <v>724</v>
      </c>
    </row>
    <row r="41" spans="1:15" ht="12.75">
      <c r="A41" s="11">
        <v>184.12</v>
      </c>
      <c r="B41" s="13">
        <v>693</v>
      </c>
      <c r="C41" s="13">
        <v>443</v>
      </c>
      <c r="D41" s="13">
        <v>488</v>
      </c>
      <c r="E41" s="13">
        <v>491</v>
      </c>
      <c r="F41" s="13">
        <v>8362</v>
      </c>
      <c r="G41">
        <v>295</v>
      </c>
      <c r="J41" s="13">
        <v>8.2901293552362226E-2</v>
      </c>
      <c r="K41" s="13">
        <v>5.2931919782631183E-2</v>
      </c>
      <c r="L41" s="13">
        <v>5.83523100012176E-2</v>
      </c>
      <c r="M41">
        <v>5.8737614489741206E-2</v>
      </c>
      <c r="N41">
        <v>736</v>
      </c>
      <c r="O41">
        <v>490</v>
      </c>
    </row>
    <row r="42" spans="1:15" ht="12.75">
      <c r="A42" s="11">
        <v>184.13</v>
      </c>
      <c r="B42" s="13">
        <v>403</v>
      </c>
      <c r="C42" s="13">
        <v>331</v>
      </c>
      <c r="D42" s="13">
        <v>315</v>
      </c>
      <c r="E42" s="13">
        <v>331</v>
      </c>
      <c r="F42" s="13">
        <v>5668</v>
      </c>
      <c r="G42">
        <v>199</v>
      </c>
      <c r="J42" s="13">
        <v>7.1079420259556547E-2</v>
      </c>
      <c r="K42" s="13">
        <v>5.8377846058709659E-2</v>
      </c>
      <c r="L42" s="13">
        <v>5.5597149068926724E-2</v>
      </c>
      <c r="M42">
        <v>5.8367771622670483E-2</v>
      </c>
      <c r="N42">
        <v>520</v>
      </c>
      <c r="O42">
        <v>325</v>
      </c>
    </row>
    <row r="43" spans="1:15" ht="12.75">
      <c r="A43" s="11">
        <v>184.14</v>
      </c>
      <c r="B43" s="13">
        <v>858</v>
      </c>
      <c r="C43" s="13">
        <v>734</v>
      </c>
      <c r="D43" s="13">
        <v>499</v>
      </c>
      <c r="E43" s="13">
        <v>458</v>
      </c>
      <c r="F43" s="13">
        <v>8940</v>
      </c>
      <c r="G43">
        <v>275</v>
      </c>
      <c r="J43" s="13">
        <v>9.5943814823261753E-2</v>
      </c>
      <c r="K43" s="13">
        <v>8.213428086352495E-2</v>
      </c>
      <c r="L43" s="13">
        <v>5.5841884822722232E-2</v>
      </c>
      <c r="M43">
        <v>5.1189232138728738E-2</v>
      </c>
      <c r="N43">
        <v>1033</v>
      </c>
      <c r="O43">
        <v>474</v>
      </c>
    </row>
    <row r="44" spans="1:15" ht="12.75">
      <c r="A44" s="11">
        <v>182.03</v>
      </c>
      <c r="B44" s="13">
        <v>171</v>
      </c>
      <c r="C44" s="13">
        <v>191</v>
      </c>
      <c r="D44" s="13">
        <v>285</v>
      </c>
      <c r="E44" s="13">
        <v>397</v>
      </c>
      <c r="F44" s="13">
        <v>3963</v>
      </c>
      <c r="G44">
        <v>238</v>
      </c>
      <c r="J44" s="13">
        <v>4.3046996773245735E-2</v>
      </c>
      <c r="K44" s="13">
        <v>4.8132856896281398E-2</v>
      </c>
      <c r="L44" s="13">
        <v>7.2017294559579004E-2</v>
      </c>
      <c r="M44">
        <v>0.10028872577244247</v>
      </c>
      <c r="N44">
        <v>362</v>
      </c>
      <c r="O44">
        <v>352</v>
      </c>
    </row>
    <row r="45" spans="1:15" ht="12.75">
      <c r="A45" s="11">
        <v>184.11</v>
      </c>
      <c r="B45" s="13">
        <v>689</v>
      </c>
      <c r="C45" s="13">
        <v>687</v>
      </c>
      <c r="D45" s="13">
        <v>727</v>
      </c>
      <c r="E45" s="13">
        <v>656</v>
      </c>
      <c r="F45" s="13">
        <v>9574</v>
      </c>
      <c r="G45">
        <v>394</v>
      </c>
      <c r="J45" s="13">
        <v>7.1958716689223851E-2</v>
      </c>
      <c r="K45" s="13">
        <v>7.1786160379107816E-2</v>
      </c>
      <c r="L45" s="13">
        <v>7.5884201783686683E-2</v>
      </c>
      <c r="M45">
        <v>6.8552192228003003E-2</v>
      </c>
      <c r="N45">
        <v>1123</v>
      </c>
      <c r="O45">
        <v>684</v>
      </c>
    </row>
    <row r="46" spans="1:15" ht="12.75">
      <c r="A46" s="11">
        <v>184.1</v>
      </c>
      <c r="B46" s="13">
        <v>330</v>
      </c>
      <c r="C46" s="13">
        <v>355</v>
      </c>
      <c r="D46" s="13">
        <v>411</v>
      </c>
      <c r="E46" s="13">
        <v>453</v>
      </c>
      <c r="F46" s="13">
        <v>5190</v>
      </c>
      <c r="G46">
        <v>272</v>
      </c>
      <c r="J46" s="13">
        <v>6.3584591267361684E-2</v>
      </c>
      <c r="K46" s="13">
        <v>6.8390684893463866E-2</v>
      </c>
      <c r="L46" s="13">
        <v>7.9196351392446601E-2</v>
      </c>
      <c r="M46">
        <v>8.7208943522182794E-2</v>
      </c>
      <c r="N46">
        <v>602</v>
      </c>
      <c r="O46">
        <v>436</v>
      </c>
    </row>
    <row r="47" spans="1:15" ht="12.75">
      <c r="A47" s="11">
        <v>184.09</v>
      </c>
      <c r="B47" s="13">
        <v>287</v>
      </c>
      <c r="C47" s="13">
        <v>346</v>
      </c>
      <c r="D47" s="13">
        <v>353</v>
      </c>
      <c r="E47" s="13">
        <v>388</v>
      </c>
      <c r="F47" s="13">
        <v>4736</v>
      </c>
      <c r="G47">
        <v>233</v>
      </c>
      <c r="J47" s="13">
        <v>6.0635932577853296E-2</v>
      </c>
      <c r="K47" s="13">
        <v>7.3064374950266575E-2</v>
      </c>
      <c r="L47" s="13">
        <v>7.4570654234479672E-2</v>
      </c>
      <c r="M47">
        <v>8.1820969017829148E-2</v>
      </c>
      <c r="N47">
        <v>558</v>
      </c>
      <c r="O47">
        <v>374</v>
      </c>
    </row>
    <row r="48" spans="1:15" ht="12.75">
      <c r="A48" s="11">
        <v>187.03</v>
      </c>
      <c r="B48" s="13">
        <v>520</v>
      </c>
      <c r="C48" s="13">
        <v>520</v>
      </c>
      <c r="D48" s="13">
        <v>525</v>
      </c>
      <c r="E48" s="13">
        <v>562</v>
      </c>
      <c r="F48" s="13">
        <v>7767</v>
      </c>
      <c r="G48">
        <v>337</v>
      </c>
      <c r="J48" s="13">
        <v>6.6973693343228502E-2</v>
      </c>
      <c r="K48" s="13">
        <v>6.6946125011756327E-2</v>
      </c>
      <c r="L48" s="13">
        <v>6.7594109145539844E-2</v>
      </c>
      <c r="M48">
        <v>7.2365227308850338E-2</v>
      </c>
      <c r="N48">
        <v>835</v>
      </c>
      <c r="O48">
        <v>547</v>
      </c>
    </row>
    <row r="49" spans="1:15" ht="12.75">
      <c r="A49" s="11">
        <v>189.05</v>
      </c>
      <c r="B49" s="13">
        <v>390</v>
      </c>
      <c r="C49" s="13">
        <v>380</v>
      </c>
      <c r="D49" s="13">
        <v>398</v>
      </c>
      <c r="E49" s="13">
        <v>443</v>
      </c>
      <c r="F49" s="13">
        <v>8245</v>
      </c>
      <c r="G49">
        <v>266</v>
      </c>
      <c r="J49" s="13">
        <v>4.7251405237601934E-2</v>
      </c>
      <c r="K49" s="13">
        <v>4.6143590203240187E-2</v>
      </c>
      <c r="L49" s="13">
        <v>4.8258815377375891E-2</v>
      </c>
      <c r="M49">
        <v>5.3770139153427293E-2</v>
      </c>
      <c r="N49">
        <v>619</v>
      </c>
      <c r="O49">
        <v>425</v>
      </c>
    </row>
    <row r="50" spans="1:15" ht="12.75">
      <c r="A50" s="11">
        <v>189.08</v>
      </c>
      <c r="B50" s="13">
        <v>534</v>
      </c>
      <c r="C50" s="13">
        <v>508</v>
      </c>
      <c r="D50" s="13">
        <v>480</v>
      </c>
      <c r="E50" s="13">
        <v>491</v>
      </c>
      <c r="F50" s="13">
        <v>7063</v>
      </c>
      <c r="G50">
        <v>295</v>
      </c>
      <c r="J50" s="13">
        <v>7.5633373753262637E-2</v>
      </c>
      <c r="K50" s="13">
        <v>7.1896918118760075E-2</v>
      </c>
      <c r="L50" s="13">
        <v>6.7952004673696415E-2</v>
      </c>
      <c r="M50">
        <v>6.9504955114454536E-2</v>
      </c>
      <c r="N50">
        <v>796</v>
      </c>
      <c r="O50">
        <v>487</v>
      </c>
    </row>
    <row r="51" spans="1:15" ht="12.75">
      <c r="A51" s="11">
        <v>189.03</v>
      </c>
      <c r="B51" s="13">
        <v>193</v>
      </c>
      <c r="C51" s="13">
        <v>230</v>
      </c>
      <c r="D51" s="13">
        <v>265</v>
      </c>
      <c r="E51" s="13">
        <v>255</v>
      </c>
      <c r="F51" s="13">
        <v>3389</v>
      </c>
      <c r="G51">
        <v>153</v>
      </c>
      <c r="J51" s="13">
        <v>5.7072348907291841E-2</v>
      </c>
      <c r="K51" s="13">
        <v>6.7957905227439913E-2</v>
      </c>
      <c r="L51" s="13">
        <v>7.8048548987969535E-2</v>
      </c>
      <c r="M51">
        <v>7.512872837719195E-2</v>
      </c>
      <c r="N51">
        <v>389</v>
      </c>
      <c r="O51">
        <v>259</v>
      </c>
    </row>
    <row r="52" spans="1:15" ht="12.75">
      <c r="A52" s="11">
        <v>188.01</v>
      </c>
      <c r="B52" s="13">
        <v>154</v>
      </c>
      <c r="C52" s="13">
        <v>212</v>
      </c>
      <c r="D52" s="13">
        <v>251</v>
      </c>
      <c r="E52" s="13">
        <v>291</v>
      </c>
      <c r="F52" s="13">
        <v>3094</v>
      </c>
      <c r="G52">
        <v>175</v>
      </c>
      <c r="J52" s="13">
        <v>4.9921833335444046E-2</v>
      </c>
      <c r="K52" s="13">
        <v>6.8680191164751325E-2</v>
      </c>
      <c r="L52" s="13">
        <v>8.1085308841580828E-2</v>
      </c>
      <c r="M52">
        <v>9.4049178628535027E-2</v>
      </c>
      <c r="N52">
        <v>363</v>
      </c>
      <c r="O52">
        <v>275</v>
      </c>
    </row>
    <row r="53" spans="1:15" ht="12.75">
      <c r="A53" s="11">
        <v>188.02</v>
      </c>
      <c r="B53" s="13">
        <v>165</v>
      </c>
      <c r="C53" s="13">
        <v>202</v>
      </c>
      <c r="D53" s="13">
        <v>267</v>
      </c>
      <c r="E53" s="13">
        <v>292</v>
      </c>
      <c r="F53" s="13">
        <v>3034</v>
      </c>
      <c r="G53">
        <v>175</v>
      </c>
      <c r="J53" s="13">
        <v>5.4490088511463822E-2</v>
      </c>
      <c r="K53" s="13">
        <v>6.6424402675862901E-2</v>
      </c>
      <c r="L53" s="13">
        <v>8.7920158392616896E-2</v>
      </c>
      <c r="M53">
        <v>9.6151800308251198E-2</v>
      </c>
      <c r="N53">
        <v>362</v>
      </c>
      <c r="O53">
        <v>282</v>
      </c>
    </row>
    <row r="54" spans="1:15" ht="12.75">
      <c r="A54" s="11">
        <v>189.07</v>
      </c>
      <c r="B54" s="13">
        <v>200</v>
      </c>
      <c r="C54" s="13">
        <v>234</v>
      </c>
      <c r="D54" s="13">
        <v>210</v>
      </c>
      <c r="E54" s="13">
        <v>217</v>
      </c>
      <c r="F54" s="13">
        <v>3401</v>
      </c>
      <c r="G54">
        <v>130</v>
      </c>
      <c r="J54" s="13">
        <v>5.8753751832762685E-2</v>
      </c>
      <c r="K54" s="13">
        <v>6.894690775872922E-2</v>
      </c>
      <c r="L54" s="13">
        <v>6.1628549264254928E-2</v>
      </c>
      <c r="M54">
        <v>6.3685964997786476E-2</v>
      </c>
      <c r="N54">
        <v>360</v>
      </c>
      <c r="O54">
        <v>214</v>
      </c>
    </row>
    <row r="55" spans="1:15" ht="12.75">
      <c r="A55" s="11">
        <v>189.1</v>
      </c>
      <c r="B55" s="13">
        <v>394</v>
      </c>
      <c r="C55" s="13">
        <v>440</v>
      </c>
      <c r="D55" s="13">
        <v>555</v>
      </c>
      <c r="E55" s="13">
        <v>601</v>
      </c>
      <c r="F55" s="13">
        <v>6749</v>
      </c>
      <c r="G55">
        <v>361</v>
      </c>
      <c r="J55" s="13">
        <v>5.8389398209795842E-2</v>
      </c>
      <c r="K55" s="13">
        <v>6.5163154741632492E-2</v>
      </c>
      <c r="L55" s="13">
        <v>8.2182938158056412E-2</v>
      </c>
      <c r="M55">
        <v>8.9042086776725371E-2</v>
      </c>
      <c r="N55">
        <v>773</v>
      </c>
      <c r="O55">
        <v>583</v>
      </c>
    </row>
    <row r="56" spans="1:15" ht="12.75">
      <c r="A56" s="11">
        <v>189.09</v>
      </c>
      <c r="B56" s="13">
        <v>208</v>
      </c>
      <c r="C56" s="13">
        <v>247</v>
      </c>
      <c r="D56" s="13">
        <v>344</v>
      </c>
      <c r="E56" s="13">
        <v>369</v>
      </c>
      <c r="F56" s="13">
        <v>4485</v>
      </c>
      <c r="G56">
        <v>221</v>
      </c>
      <c r="J56" s="13">
        <v>4.6468916306193597E-2</v>
      </c>
      <c r="K56" s="13">
        <v>5.5162918792575358E-2</v>
      </c>
      <c r="L56" s="13">
        <v>7.67582130993886E-2</v>
      </c>
      <c r="M56">
        <v>8.2291540027216864E-2</v>
      </c>
      <c r="N56">
        <v>453</v>
      </c>
      <c r="O56">
        <v>359</v>
      </c>
    </row>
    <row r="57" spans="1:15" ht="12.75">
      <c r="A57" s="11">
        <v>188.08</v>
      </c>
      <c r="B57" s="13">
        <v>147</v>
      </c>
      <c r="C57" s="13">
        <v>236</v>
      </c>
      <c r="D57" s="13">
        <v>372</v>
      </c>
      <c r="E57" s="13">
        <v>418</v>
      </c>
      <c r="F57" s="13">
        <v>3840</v>
      </c>
      <c r="G57">
        <v>251</v>
      </c>
      <c r="J57" s="13">
        <v>3.8386768536103816E-2</v>
      </c>
      <c r="K57" s="13">
        <v>6.1396041044556794E-2</v>
      </c>
      <c r="L57" s="13">
        <v>9.6796296778085156E-2</v>
      </c>
      <c r="M57">
        <v>0.10882685375491785</v>
      </c>
      <c r="N57">
        <v>459</v>
      </c>
      <c r="O57">
        <v>400</v>
      </c>
    </row>
    <row r="58" spans="1:15" ht="12.75">
      <c r="A58" s="11">
        <v>188.07</v>
      </c>
      <c r="B58" s="13">
        <v>188</v>
      </c>
      <c r="C58" s="13">
        <v>267</v>
      </c>
      <c r="D58" s="13">
        <v>400</v>
      </c>
      <c r="E58" s="13">
        <v>485</v>
      </c>
      <c r="F58" s="13">
        <v>4309</v>
      </c>
      <c r="G58">
        <v>291</v>
      </c>
      <c r="J58" s="13">
        <v>4.360430260594645E-2</v>
      </c>
      <c r="K58" s="13">
        <v>6.2022918607399197E-2</v>
      </c>
      <c r="L58" s="13">
        <v>9.2735895062873247E-2</v>
      </c>
      <c r="M58">
        <v>0.11256594090475218</v>
      </c>
      <c r="N58">
        <v>507</v>
      </c>
      <c r="O58">
        <v>451</v>
      </c>
    </row>
    <row r="59" spans="1:15" ht="12.75">
      <c r="A59" s="11">
        <v>188.04</v>
      </c>
      <c r="B59" s="13">
        <v>195</v>
      </c>
      <c r="C59" s="13">
        <v>246</v>
      </c>
      <c r="D59" s="13">
        <v>331</v>
      </c>
      <c r="E59" s="13">
        <v>371</v>
      </c>
      <c r="F59" s="13">
        <v>3998</v>
      </c>
      <c r="G59">
        <v>223</v>
      </c>
      <c r="J59" s="13">
        <v>4.8830397688961018E-2</v>
      </c>
      <c r="K59" s="13">
        <v>6.1558821190698873E-2</v>
      </c>
      <c r="L59" s="13">
        <v>8.274039608407284E-2</v>
      </c>
      <c r="M59">
        <v>9.2807537789873829E-2</v>
      </c>
      <c r="N59">
        <v>445</v>
      </c>
      <c r="O59">
        <v>355</v>
      </c>
    </row>
    <row r="60" spans="1:15" ht="12.75">
      <c r="A60" s="11">
        <v>187.12</v>
      </c>
      <c r="B60" s="13">
        <v>230</v>
      </c>
      <c r="C60" s="13">
        <v>271</v>
      </c>
      <c r="D60" s="13">
        <v>312</v>
      </c>
      <c r="E60" s="13">
        <v>319</v>
      </c>
      <c r="F60" s="13">
        <v>4254</v>
      </c>
      <c r="G60">
        <v>191</v>
      </c>
      <c r="J60" s="13">
        <v>5.4148851599596072E-2</v>
      </c>
      <c r="K60" s="13">
        <v>6.3603549405925705E-2</v>
      </c>
      <c r="L60" s="13">
        <v>7.3328964613368283E-2</v>
      </c>
      <c r="M60">
        <v>7.508540489439873E-2</v>
      </c>
      <c r="N60">
        <v>458</v>
      </c>
      <c r="O60">
        <v>316</v>
      </c>
    </row>
    <row r="61" spans="1:15" ht="12.75">
      <c r="A61" s="11">
        <v>187.06</v>
      </c>
      <c r="B61" s="13">
        <v>359</v>
      </c>
      <c r="C61" s="13">
        <v>428</v>
      </c>
      <c r="D61" s="13">
        <v>505</v>
      </c>
      <c r="E61" s="13">
        <v>551</v>
      </c>
      <c r="F61" s="13">
        <v>6970</v>
      </c>
      <c r="G61">
        <v>331</v>
      </c>
      <c r="J61" s="13">
        <v>5.1540065648768452E-2</v>
      </c>
      <c r="K61" s="13">
        <v>6.1432421858607027E-2</v>
      </c>
      <c r="L61" s="13">
        <v>7.2421850871355609E-2</v>
      </c>
      <c r="M61">
        <v>7.906195711305547E-2</v>
      </c>
      <c r="N61">
        <v>731</v>
      </c>
      <c r="O61">
        <v>533</v>
      </c>
    </row>
    <row r="62" spans="1:15" ht="12.75">
      <c r="A62" s="11">
        <v>187.13</v>
      </c>
      <c r="B62" s="13">
        <v>224</v>
      </c>
      <c r="C62" s="13">
        <v>236</v>
      </c>
      <c r="D62" s="13">
        <v>284</v>
      </c>
      <c r="E62" s="13">
        <v>320</v>
      </c>
      <c r="F62" s="13">
        <v>3915</v>
      </c>
      <c r="G62">
        <v>192</v>
      </c>
      <c r="J62" s="13">
        <v>5.7208153711565943E-2</v>
      </c>
      <c r="K62" s="13">
        <v>6.0168596130872144E-2</v>
      </c>
      <c r="L62" s="13">
        <v>7.2596508559281528E-2</v>
      </c>
      <c r="M62">
        <v>8.1660644911437874E-2</v>
      </c>
      <c r="N62">
        <v>406</v>
      </c>
      <c r="O62">
        <v>306</v>
      </c>
    </row>
    <row r="63" spans="1:15" ht="12.75">
      <c r="A63" s="11">
        <v>187.11</v>
      </c>
      <c r="B63" s="13">
        <v>470</v>
      </c>
      <c r="C63" s="13">
        <v>445</v>
      </c>
      <c r="D63" s="13">
        <v>461</v>
      </c>
      <c r="E63" s="13">
        <v>421</v>
      </c>
      <c r="F63" s="13">
        <v>6577</v>
      </c>
      <c r="G63">
        <v>253</v>
      </c>
      <c r="J63" s="13">
        <v>7.1468820424536575E-2</v>
      </c>
      <c r="K63" s="13">
        <v>6.7656713700729204E-2</v>
      </c>
      <c r="L63" s="13">
        <v>7.0047703854547477E-2</v>
      </c>
      <c r="M63">
        <v>6.4025104171385794E-2</v>
      </c>
      <c r="N63">
        <v>722</v>
      </c>
      <c r="O63">
        <v>437</v>
      </c>
    </row>
    <row r="64" spans="1:15" ht="12.75">
      <c r="A64" s="11">
        <v>187.07</v>
      </c>
      <c r="B64" s="13">
        <v>95</v>
      </c>
      <c r="C64" s="13">
        <v>128</v>
      </c>
      <c r="D64" s="13">
        <v>171</v>
      </c>
      <c r="E64" s="13">
        <v>190</v>
      </c>
      <c r="F64" s="13">
        <v>2013</v>
      </c>
      <c r="G64">
        <v>114</v>
      </c>
      <c r="J64" s="13">
        <v>4.7114795420995462E-2</v>
      </c>
      <c r="K64" s="13">
        <v>6.3716240054220163E-2</v>
      </c>
      <c r="L64" s="13">
        <v>8.4849571530698456E-2</v>
      </c>
      <c r="M64">
        <v>9.4444289706524062E-2</v>
      </c>
      <c r="N64">
        <v>231</v>
      </c>
      <c r="O64">
        <v>182</v>
      </c>
    </row>
    <row r="65" spans="1:15" ht="12.75">
      <c r="A65" s="11">
        <v>187.15</v>
      </c>
      <c r="B65" s="13">
        <v>203</v>
      </c>
      <c r="C65" s="13">
        <v>248</v>
      </c>
      <c r="D65" s="13">
        <v>283</v>
      </c>
      <c r="E65" s="13">
        <v>307</v>
      </c>
      <c r="F65" s="13">
        <v>4078</v>
      </c>
      <c r="G65">
        <v>184</v>
      </c>
      <c r="J65" s="13">
        <v>4.9845237211539564E-2</v>
      </c>
      <c r="K65" s="13">
        <v>6.0737969036282341E-2</v>
      </c>
      <c r="L65" s="13">
        <v>6.9338962577537105E-2</v>
      </c>
      <c r="M65">
        <v>7.5361750549867823E-2</v>
      </c>
      <c r="N65">
        <v>418</v>
      </c>
      <c r="O65">
        <v>297</v>
      </c>
    </row>
    <row r="66" spans="1:15" ht="12.75">
      <c r="A66" s="11">
        <v>187.14</v>
      </c>
      <c r="B66" s="13">
        <v>215</v>
      </c>
      <c r="C66" s="13">
        <v>226</v>
      </c>
      <c r="D66" s="13">
        <v>251</v>
      </c>
      <c r="E66" s="13">
        <v>229</v>
      </c>
      <c r="F66" s="13">
        <v>3822</v>
      </c>
      <c r="G66">
        <v>137</v>
      </c>
      <c r="J66" s="13">
        <v>5.6216680084511556E-2</v>
      </c>
      <c r="K66" s="13">
        <v>5.9133277238258772E-2</v>
      </c>
      <c r="L66" s="13">
        <v>6.5633576766567336E-2</v>
      </c>
      <c r="M66">
        <v>6.0008079656621659E-2</v>
      </c>
      <c r="N66">
        <v>377</v>
      </c>
      <c r="O66">
        <v>238</v>
      </c>
    </row>
    <row r="67" spans="1:15" ht="12.75">
      <c r="A67" s="11">
        <v>187.16</v>
      </c>
      <c r="B67" s="13">
        <v>156</v>
      </c>
      <c r="C67" s="13">
        <v>200</v>
      </c>
      <c r="D67" s="13">
        <v>239</v>
      </c>
      <c r="E67" s="13">
        <v>257</v>
      </c>
      <c r="F67" s="13">
        <v>3082</v>
      </c>
      <c r="G67">
        <v>154</v>
      </c>
      <c r="J67" s="13">
        <v>5.0712902563647022E-2</v>
      </c>
      <c r="K67" s="13">
        <v>6.4872309617234974E-2</v>
      </c>
      <c r="L67" s="13">
        <v>7.7581162774952694E-2</v>
      </c>
      <c r="M67">
        <v>8.3505888425657537E-2</v>
      </c>
      <c r="N67">
        <v>343</v>
      </c>
      <c r="O67">
        <v>250</v>
      </c>
    </row>
    <row r="68" spans="1:15" ht="12.75">
      <c r="A68" s="11">
        <v>182.04</v>
      </c>
      <c r="B68" s="13">
        <v>55</v>
      </c>
      <c r="C68" s="13">
        <v>100</v>
      </c>
      <c r="D68" s="13">
        <v>152</v>
      </c>
      <c r="E68" s="13">
        <v>181</v>
      </c>
      <c r="F68" s="13">
        <v>1782</v>
      </c>
      <c r="G68">
        <v>109</v>
      </c>
      <c r="J68" s="13">
        <v>3.0926877604673504E-2</v>
      </c>
      <c r="K68" s="13">
        <v>5.6076747699237248E-2</v>
      </c>
      <c r="L68" s="13">
        <v>8.5559373426383312E-2</v>
      </c>
      <c r="M68">
        <v>0.10136311890440752</v>
      </c>
      <c r="N68">
        <v>191</v>
      </c>
      <c r="O68">
        <v>169</v>
      </c>
    </row>
    <row r="69" spans="1:15" ht="12.75">
      <c r="A69" s="11">
        <v>182.05</v>
      </c>
      <c r="B69" s="13">
        <v>427</v>
      </c>
      <c r="C69" s="13">
        <v>442</v>
      </c>
      <c r="D69" s="13">
        <v>463</v>
      </c>
      <c r="E69" s="13">
        <v>508</v>
      </c>
      <c r="F69" s="13">
        <v>7395</v>
      </c>
      <c r="G69">
        <v>305</v>
      </c>
      <c r="J69" s="13">
        <v>5.7786961191854717E-2</v>
      </c>
      <c r="K69" s="13">
        <v>5.9757256393235564E-2</v>
      </c>
      <c r="L69" s="13">
        <v>6.2639197632330085E-2</v>
      </c>
      <c r="M69">
        <v>6.872671364441893E-2</v>
      </c>
      <c r="N69">
        <v>720</v>
      </c>
      <c r="O69">
        <v>490</v>
      </c>
    </row>
    <row r="70" spans="1:15" ht="12.75">
      <c r="A70" s="11">
        <v>182.02</v>
      </c>
      <c r="B70" s="13">
        <v>725</v>
      </c>
      <c r="C70" s="13">
        <v>687</v>
      </c>
      <c r="D70" s="13">
        <v>509</v>
      </c>
      <c r="E70" s="13">
        <v>398</v>
      </c>
      <c r="F70" s="13">
        <v>6949</v>
      </c>
      <c r="G70">
        <v>239</v>
      </c>
      <c r="J70" s="13">
        <v>0.10427465764308359</v>
      </c>
      <c r="K70" s="13">
        <v>9.8850025165324637E-2</v>
      </c>
      <c r="L70" s="13">
        <v>7.3211465261235203E-2</v>
      </c>
      <c r="M70">
        <v>5.7305072568769475E-2</v>
      </c>
      <c r="N70">
        <v>992</v>
      </c>
      <c r="O70">
        <v>442</v>
      </c>
    </row>
    <row r="71" spans="1:15" ht="12.75">
      <c r="A71" s="11">
        <v>183.01</v>
      </c>
      <c r="B71" s="13">
        <v>424</v>
      </c>
      <c r="C71" s="13">
        <v>459</v>
      </c>
      <c r="D71" s="13">
        <v>538</v>
      </c>
      <c r="E71" s="13">
        <v>521</v>
      </c>
      <c r="F71" s="13">
        <v>6341</v>
      </c>
      <c r="G71">
        <v>313</v>
      </c>
      <c r="J71" s="13">
        <v>6.6913098064522183E-2</v>
      </c>
      <c r="K71" s="13">
        <v>7.2348057454493617E-2</v>
      </c>
      <c r="L71" s="13">
        <v>8.4768434040753793E-2</v>
      </c>
      <c r="M71">
        <v>8.2173922630006502E-2</v>
      </c>
      <c r="N71">
        <v>782</v>
      </c>
      <c r="O71">
        <v>528</v>
      </c>
    </row>
    <row r="72" spans="1:15" ht="12.75">
      <c r="A72" s="11">
        <v>183.03</v>
      </c>
      <c r="B72" s="13">
        <v>352</v>
      </c>
      <c r="C72" s="13">
        <v>349</v>
      </c>
      <c r="D72" s="13">
        <v>368</v>
      </c>
      <c r="E72" s="13">
        <v>418</v>
      </c>
      <c r="F72" s="13">
        <v>6180</v>
      </c>
      <c r="G72">
        <v>251</v>
      </c>
      <c r="J72" s="13">
        <v>5.7004085254265487E-2</v>
      </c>
      <c r="K72" s="13">
        <v>5.6508429449627667E-2</v>
      </c>
      <c r="L72" s="13">
        <v>5.9586014070551106E-2</v>
      </c>
      <c r="M72">
        <v>6.7655953693996462E-2</v>
      </c>
      <c r="N72">
        <v>570</v>
      </c>
      <c r="O72">
        <v>398</v>
      </c>
    </row>
    <row r="73" spans="1:15" ht="12.75">
      <c r="A73" s="11">
        <v>183.05</v>
      </c>
      <c r="B73" s="13">
        <v>1051</v>
      </c>
      <c r="C73" s="13">
        <v>944</v>
      </c>
      <c r="D73" s="13">
        <v>857</v>
      </c>
      <c r="E73" s="13">
        <v>727</v>
      </c>
      <c r="F73" s="13">
        <v>11293</v>
      </c>
      <c r="G73">
        <v>436</v>
      </c>
      <c r="J73" s="13">
        <v>9.3099623449090924E-2</v>
      </c>
      <c r="K73" s="13">
        <v>8.3596639859010613E-2</v>
      </c>
      <c r="L73" s="13">
        <v>7.5865751462459635E-2</v>
      </c>
      <c r="M73">
        <v>6.4407099072440382E-2</v>
      </c>
      <c r="N73">
        <v>1458</v>
      </c>
      <c r="O73">
        <v>779</v>
      </c>
    </row>
    <row r="74" spans="1:15" ht="12.75">
      <c r="A74" s="11">
        <v>183.07</v>
      </c>
      <c r="B74" s="13">
        <v>313</v>
      </c>
      <c r="C74" s="13">
        <v>388</v>
      </c>
      <c r="D74" s="13">
        <v>477</v>
      </c>
      <c r="E74" s="13">
        <v>534</v>
      </c>
      <c r="F74" s="13">
        <v>6691</v>
      </c>
      <c r="G74">
        <v>320</v>
      </c>
      <c r="J74" s="13">
        <v>4.6820444955318549E-2</v>
      </c>
      <c r="K74" s="13">
        <v>5.7918878471110283E-2</v>
      </c>
      <c r="L74" s="13">
        <v>7.1343815678132361E-2</v>
      </c>
      <c r="M74">
        <v>7.9762987878286604E-2</v>
      </c>
      <c r="N74">
        <v>674</v>
      </c>
      <c r="O74">
        <v>511</v>
      </c>
    </row>
    <row r="75" spans="1:15" ht="12.75">
      <c r="A75" s="11">
        <v>183.06</v>
      </c>
      <c r="B75" s="13">
        <v>142</v>
      </c>
      <c r="C75" s="13">
        <v>148</v>
      </c>
      <c r="D75" s="13">
        <v>150</v>
      </c>
      <c r="E75" s="13">
        <v>134</v>
      </c>
      <c r="F75" s="13">
        <v>2372</v>
      </c>
      <c r="G75">
        <v>80</v>
      </c>
      <c r="J75" s="13">
        <v>5.9772820590273328E-2</v>
      </c>
      <c r="K75" s="13">
        <v>6.2233747447049279E-2</v>
      </c>
      <c r="L75" s="13">
        <v>6.3238420361978243E-2</v>
      </c>
      <c r="M75">
        <v>5.6589458960392171E-2</v>
      </c>
      <c r="N75">
        <v>238</v>
      </c>
      <c r="O75">
        <v>140</v>
      </c>
    </row>
    <row r="76" spans="1:15" ht="12.75">
      <c r="A76" s="11">
        <v>183.08</v>
      </c>
      <c r="B76" s="13">
        <v>559</v>
      </c>
      <c r="C76" s="13">
        <v>348</v>
      </c>
      <c r="D76" s="13">
        <v>308</v>
      </c>
      <c r="E76" s="13">
        <v>284</v>
      </c>
      <c r="F76" s="26">
        <v>8253</v>
      </c>
      <c r="G76">
        <v>170</v>
      </c>
      <c r="J76" s="26">
        <v>6.7720441340012177E-2</v>
      </c>
      <c r="K76" s="26">
        <v>4.2115290193460463E-2</v>
      </c>
      <c r="L76" s="26">
        <v>3.7268638561502067E-2</v>
      </c>
      <c r="M76">
        <v>3.4390170683532909E-2</v>
      </c>
      <c r="N76">
        <v>533</v>
      </c>
      <c r="O76">
        <v>294</v>
      </c>
    </row>
    <row r="77" spans="1:15" ht="12.75">
      <c r="A77" s="21">
        <v>183.09</v>
      </c>
      <c r="B77" s="13">
        <v>1534</v>
      </c>
      <c r="C77" s="13">
        <v>1018</v>
      </c>
      <c r="D77" s="13">
        <v>1018</v>
      </c>
      <c r="E77" s="13">
        <v>973</v>
      </c>
      <c r="F77" s="26">
        <v>12265</v>
      </c>
      <c r="G77">
        <v>584</v>
      </c>
      <c r="J77" s="26">
        <v>0.1250776533438844</v>
      </c>
      <c r="K77" s="26">
        <v>8.3015580609723777E-2</v>
      </c>
      <c r="L77" s="26">
        <v>8.3009200032944472E-2</v>
      </c>
      <c r="M77">
        <v>7.9333435974395461E-2</v>
      </c>
      <c r="N77">
        <v>1629</v>
      </c>
      <c r="O77">
        <v>991</v>
      </c>
    </row>
    <row r="78" spans="1:15" ht="12.75">
      <c r="A78" s="11">
        <v>182.06</v>
      </c>
      <c r="B78" s="13">
        <v>46</v>
      </c>
      <c r="C78" s="13">
        <v>68</v>
      </c>
      <c r="D78" s="13">
        <v>88</v>
      </c>
      <c r="E78" s="13">
        <v>95</v>
      </c>
      <c r="F78" s="13">
        <v>1168</v>
      </c>
      <c r="G78">
        <v>57</v>
      </c>
      <c r="J78" s="13">
        <v>3.9694859316440123E-2</v>
      </c>
      <c r="K78" s="13">
        <v>5.853890473793142E-2</v>
      </c>
      <c r="L78" s="13">
        <v>7.5264306091626113E-2</v>
      </c>
      <c r="M78">
        <v>8.1564300497846395E-2</v>
      </c>
      <c r="N78">
        <v>121</v>
      </c>
      <c r="O78">
        <v>92</v>
      </c>
    </row>
    <row r="79" spans="1:15" ht="12.75">
      <c r="A79" s="11">
        <v>188.06</v>
      </c>
      <c r="B79" s="13">
        <v>85</v>
      </c>
      <c r="C79" s="13">
        <v>88</v>
      </c>
      <c r="D79" s="13">
        <v>126</v>
      </c>
      <c r="E79" s="13">
        <v>115</v>
      </c>
      <c r="F79" s="13">
        <v>1484</v>
      </c>
      <c r="G79">
        <v>69</v>
      </c>
      <c r="J79" s="13">
        <v>5.7211229086229082E-2</v>
      </c>
      <c r="K79" s="13">
        <v>5.9322715572715568E-2</v>
      </c>
      <c r="L79" s="13">
        <v>8.476110038610038E-2</v>
      </c>
      <c r="M79">
        <v>7.7689296439296437E-2</v>
      </c>
      <c r="N79">
        <v>164</v>
      </c>
      <c r="O79">
        <v>119</v>
      </c>
    </row>
    <row r="80" spans="1:15" ht="12.75">
      <c r="A80" s="11">
        <v>188.05</v>
      </c>
      <c r="B80" s="13">
        <v>107</v>
      </c>
      <c r="C80" s="13">
        <v>161</v>
      </c>
      <c r="D80" s="13">
        <v>236</v>
      </c>
      <c r="E80" s="13">
        <v>311</v>
      </c>
      <c r="F80" s="13">
        <v>2724</v>
      </c>
      <c r="G80">
        <v>187</v>
      </c>
      <c r="J80" s="13">
        <v>3.9256472965069913E-2</v>
      </c>
      <c r="K80" s="13">
        <v>5.9184745725606953E-2</v>
      </c>
      <c r="L80" s="13">
        <v>8.6465959662614583E-2</v>
      </c>
      <c r="M80">
        <v>0.11419752121168528</v>
      </c>
      <c r="N80">
        <v>303</v>
      </c>
      <c r="O80">
        <v>281</v>
      </c>
    </row>
    <row r="81" spans="1:15" ht="12.75">
      <c r="A81" s="11">
        <v>182.01</v>
      </c>
      <c r="B81" s="13">
        <v>235</v>
      </c>
      <c r="C81" s="13">
        <v>310</v>
      </c>
      <c r="D81" s="13">
        <v>362</v>
      </c>
      <c r="E81" s="13">
        <v>387</v>
      </c>
      <c r="F81" s="13">
        <v>5196</v>
      </c>
      <c r="G81">
        <v>232</v>
      </c>
      <c r="J81" s="13">
        <v>4.5138506232703941E-2</v>
      </c>
      <c r="K81" s="13">
        <v>5.9692260242940762E-2</v>
      </c>
      <c r="L81" s="13">
        <v>6.9665428391252171E-2</v>
      </c>
      <c r="M81">
        <v>7.445704913917664E-2</v>
      </c>
      <c r="N81">
        <v>527</v>
      </c>
      <c r="O81">
        <v>377</v>
      </c>
    </row>
    <row r="82" spans="1:15" ht="12.75">
      <c r="A82" s="11">
        <v>180.01</v>
      </c>
      <c r="B82" s="13">
        <v>579</v>
      </c>
      <c r="C82" s="13">
        <v>568</v>
      </c>
      <c r="D82" s="13">
        <v>485</v>
      </c>
      <c r="E82" s="13">
        <v>464</v>
      </c>
      <c r="F82" s="13">
        <v>7633</v>
      </c>
      <c r="G82">
        <v>278</v>
      </c>
      <c r="J82" s="13">
        <v>7.5840149457240574E-2</v>
      </c>
      <c r="K82" s="13">
        <v>7.442022446638849E-2</v>
      </c>
      <c r="L82" s="13">
        <v>6.3530339184958998E-2</v>
      </c>
      <c r="M82">
        <v>6.0807867864601621E-2</v>
      </c>
      <c r="N82">
        <v>859</v>
      </c>
      <c r="O82">
        <v>472</v>
      </c>
    </row>
    <row r="83" spans="1:15" ht="12.75">
      <c r="A83" s="11">
        <v>180.04</v>
      </c>
      <c r="B83" s="13">
        <v>435</v>
      </c>
      <c r="C83" s="13">
        <v>459</v>
      </c>
      <c r="D83" s="13">
        <v>592</v>
      </c>
      <c r="E83" s="13">
        <v>647</v>
      </c>
      <c r="F83" s="26">
        <v>9554</v>
      </c>
      <c r="G83">
        <v>388</v>
      </c>
      <c r="J83" s="26">
        <v>4.5535330528145096E-2</v>
      </c>
      <c r="K83" s="26">
        <v>4.8041464697376461E-2</v>
      </c>
      <c r="L83" s="26">
        <v>6.2013970519556677E-2</v>
      </c>
      <c r="M83">
        <v>6.7731750676977426E-2</v>
      </c>
      <c r="N83">
        <v>814</v>
      </c>
      <c r="O83">
        <v>625</v>
      </c>
    </row>
    <row r="84" spans="1:15" ht="12.75">
      <c r="A84" s="11">
        <v>180.03</v>
      </c>
      <c r="B84" s="13">
        <v>406</v>
      </c>
      <c r="C84" s="13">
        <v>427</v>
      </c>
      <c r="D84" s="13">
        <v>550</v>
      </c>
      <c r="E84" s="13">
        <v>601</v>
      </c>
      <c r="F84" s="26">
        <v>8884</v>
      </c>
      <c r="G84">
        <v>361</v>
      </c>
      <c r="J84" s="26">
        <v>4.5685272546972591E-2</v>
      </c>
      <c r="K84" s="26">
        <v>4.8045349053222081E-2</v>
      </c>
      <c r="L84" s="26">
        <v>6.1935437167977961E-2</v>
      </c>
      <c r="M84">
        <v>6.7653564142884925E-2</v>
      </c>
      <c r="N84">
        <v>757</v>
      </c>
      <c r="O84">
        <v>581</v>
      </c>
    </row>
    <row r="85" spans="1:15" ht="12.75">
      <c r="A85" s="11">
        <v>181.13</v>
      </c>
      <c r="B85" s="13">
        <v>144</v>
      </c>
      <c r="C85" s="13">
        <v>169</v>
      </c>
      <c r="D85" s="13">
        <v>213</v>
      </c>
      <c r="E85" s="13">
        <v>239</v>
      </c>
      <c r="F85" s="13">
        <v>3664</v>
      </c>
      <c r="G85">
        <v>143</v>
      </c>
      <c r="J85" s="13">
        <v>3.9367829941770863E-2</v>
      </c>
      <c r="K85" s="13">
        <v>4.6245761714481068E-2</v>
      </c>
      <c r="L85" s="13">
        <v>5.810186456541111E-2</v>
      </c>
      <c r="M85">
        <v>6.5281870506016262E-2</v>
      </c>
      <c r="N85">
        <v>297</v>
      </c>
      <c r="O85">
        <v>229</v>
      </c>
    </row>
    <row r="86" spans="1:15" ht="12.75">
      <c r="A86" s="11">
        <v>181.12</v>
      </c>
      <c r="B86" s="13">
        <v>111</v>
      </c>
      <c r="C86" s="13">
        <v>151</v>
      </c>
      <c r="D86" s="13">
        <v>192</v>
      </c>
      <c r="E86" s="13">
        <v>202</v>
      </c>
      <c r="F86" s="13">
        <v>2787</v>
      </c>
      <c r="G86">
        <v>121</v>
      </c>
      <c r="J86" s="13">
        <v>3.9905839239588237E-2</v>
      </c>
      <c r="K86" s="13">
        <v>5.4028362747967268E-2</v>
      </c>
      <c r="L86" s="13">
        <v>6.883425161282114E-2</v>
      </c>
      <c r="M86">
        <v>7.240281718815611E-2</v>
      </c>
      <c r="N86">
        <v>266</v>
      </c>
      <c r="O86">
        <v>198</v>
      </c>
    </row>
    <row r="87" spans="1:15" ht="12.75">
      <c r="A87" s="11">
        <v>181.14</v>
      </c>
      <c r="B87" s="13">
        <v>189</v>
      </c>
      <c r="C87" s="13">
        <v>188</v>
      </c>
      <c r="D87" s="13">
        <v>214</v>
      </c>
      <c r="E87" s="13">
        <v>234</v>
      </c>
      <c r="F87" s="13">
        <v>3749</v>
      </c>
      <c r="G87">
        <v>140</v>
      </c>
      <c r="J87" s="13">
        <v>5.0401799307026859E-2</v>
      </c>
      <c r="K87" s="13">
        <v>5.0265200212698646E-2</v>
      </c>
      <c r="L87" s="13">
        <v>5.7182162613105034E-2</v>
      </c>
      <c r="M87">
        <v>6.2389260697985741E-2</v>
      </c>
      <c r="N87">
        <v>316</v>
      </c>
      <c r="O87">
        <v>226</v>
      </c>
    </row>
    <row r="88" spans="1:15" ht="12.75">
      <c r="A88" s="11">
        <v>181.1</v>
      </c>
      <c r="B88" s="13">
        <v>148</v>
      </c>
      <c r="C88" s="13">
        <v>210</v>
      </c>
      <c r="D88" s="13">
        <v>299</v>
      </c>
      <c r="E88" s="13">
        <v>395</v>
      </c>
      <c r="F88" s="13">
        <v>5241</v>
      </c>
      <c r="G88">
        <v>237</v>
      </c>
      <c r="J88" s="13">
        <v>2.8314950189768793E-2</v>
      </c>
      <c r="K88" s="13">
        <v>4.0105485550785733E-2</v>
      </c>
      <c r="L88" s="13">
        <v>5.6970240549034434E-2</v>
      </c>
      <c r="M88">
        <v>7.5364365260507937E-2</v>
      </c>
      <c r="N88">
        <v>389</v>
      </c>
      <c r="O88">
        <v>357</v>
      </c>
    </row>
    <row r="89" spans="1:15" ht="12.75">
      <c r="A89" s="11">
        <v>181.11</v>
      </c>
      <c r="B89" s="13">
        <v>78</v>
      </c>
      <c r="C89" s="13">
        <v>87</v>
      </c>
      <c r="D89" s="13">
        <v>132</v>
      </c>
      <c r="E89" s="13">
        <v>177</v>
      </c>
      <c r="F89" s="13">
        <v>2574</v>
      </c>
      <c r="G89">
        <v>106</v>
      </c>
      <c r="J89" s="13">
        <v>3.029447155101047E-2</v>
      </c>
      <c r="K89" s="13">
        <v>3.3862106897763984E-2</v>
      </c>
      <c r="L89" s="13">
        <v>5.1458318913213744E-2</v>
      </c>
      <c r="M89">
        <v>6.8631214876010427E-2</v>
      </c>
      <c r="N89">
        <v>166</v>
      </c>
      <c r="O89">
        <v>159</v>
      </c>
    </row>
    <row r="90" spans="1:15" ht="12.75">
      <c r="A90" s="11">
        <v>181.09</v>
      </c>
      <c r="B90" s="13">
        <v>187</v>
      </c>
      <c r="C90" s="13">
        <v>329</v>
      </c>
      <c r="D90" s="13">
        <v>516</v>
      </c>
      <c r="E90" s="13">
        <v>555</v>
      </c>
      <c r="F90" s="13">
        <v>6187</v>
      </c>
      <c r="G90">
        <v>333</v>
      </c>
      <c r="J90" s="13">
        <v>3.0292389544229192E-2</v>
      </c>
      <c r="K90" s="13">
        <v>5.315464860506159E-2</v>
      </c>
      <c r="L90" s="13">
        <v>8.3447038149290775E-2</v>
      </c>
      <c r="M90">
        <v>8.9693311041146279E-2</v>
      </c>
      <c r="N90">
        <v>639</v>
      </c>
      <c r="O90">
        <v>539</v>
      </c>
    </row>
    <row r="91" spans="1:15" ht="12.75">
      <c r="A91" s="11">
        <v>181.03</v>
      </c>
      <c r="B91" s="13">
        <v>209</v>
      </c>
      <c r="C91" s="13">
        <v>276</v>
      </c>
      <c r="D91" s="13">
        <v>400</v>
      </c>
      <c r="E91" s="13">
        <v>443</v>
      </c>
      <c r="F91" s="13">
        <v>5221</v>
      </c>
      <c r="G91">
        <v>266</v>
      </c>
      <c r="J91" s="13">
        <v>4.0123428563066915E-2</v>
      </c>
      <c r="K91" s="13">
        <v>5.2830943541426006E-2</v>
      </c>
      <c r="L91" s="13">
        <v>7.6540242237783732E-2</v>
      </c>
      <c r="M91">
        <v>8.4759113265843483E-2</v>
      </c>
      <c r="N91">
        <v>516</v>
      </c>
      <c r="O91">
        <v>426</v>
      </c>
    </row>
    <row r="92" spans="1:15" ht="12.75">
      <c r="A92" s="11">
        <v>181.07</v>
      </c>
      <c r="B92" s="13">
        <v>136</v>
      </c>
      <c r="C92" s="13">
        <v>196</v>
      </c>
      <c r="D92" s="13">
        <v>262</v>
      </c>
      <c r="E92" s="13">
        <v>295</v>
      </c>
      <c r="F92" s="13">
        <v>3582</v>
      </c>
      <c r="G92">
        <v>177</v>
      </c>
      <c r="J92" s="13">
        <v>3.79574880876992E-2</v>
      </c>
      <c r="K92" s="13">
        <v>5.4830381644265139E-2</v>
      </c>
      <c r="L92" s="13">
        <v>7.3107966121392809E-2</v>
      </c>
      <c r="M92">
        <v>8.224646188656691E-2</v>
      </c>
      <c r="N92">
        <v>353</v>
      </c>
      <c r="O92">
        <v>282</v>
      </c>
    </row>
    <row r="93" spans="1:15" ht="12.75">
      <c r="A93" s="11">
        <v>181.08</v>
      </c>
      <c r="B93" s="13">
        <v>113</v>
      </c>
      <c r="C93" s="13">
        <v>143</v>
      </c>
      <c r="D93" s="13">
        <v>157</v>
      </c>
      <c r="E93" s="13">
        <v>179</v>
      </c>
      <c r="F93" s="13">
        <v>2530</v>
      </c>
      <c r="G93">
        <v>107</v>
      </c>
      <c r="J93" s="13">
        <v>4.4717378189263274E-2</v>
      </c>
      <c r="K93" s="13">
        <v>5.6618973196966745E-2</v>
      </c>
      <c r="L93" s="13">
        <v>6.1892806868366339E-2</v>
      </c>
      <c r="M93">
        <v>7.0702560277926887E-2</v>
      </c>
      <c r="N93">
        <v>237</v>
      </c>
      <c r="O93">
        <v>170</v>
      </c>
    </row>
    <row r="94" spans="1:15" ht="12.75">
      <c r="A94" s="11">
        <v>170.04</v>
      </c>
      <c r="B94" s="13">
        <v>167</v>
      </c>
      <c r="C94" s="13">
        <v>206</v>
      </c>
      <c r="D94" s="13">
        <v>244</v>
      </c>
      <c r="E94" s="13">
        <v>275</v>
      </c>
      <c r="F94" s="13">
        <v>5457</v>
      </c>
      <c r="G94">
        <v>165</v>
      </c>
      <c r="J94" s="13">
        <v>3.0626230061903622E-2</v>
      </c>
      <c r="K94" s="13">
        <v>3.7693030655889651E-2</v>
      </c>
      <c r="L94" s="13">
        <v>4.4728983858198151E-2</v>
      </c>
      <c r="M94">
        <v>5.033718149225995E-2</v>
      </c>
      <c r="N94">
        <v>352</v>
      </c>
      <c r="O94">
        <v>263</v>
      </c>
    </row>
    <row r="95" spans="1:15" ht="12.75">
      <c r="A95" s="11">
        <v>170.03</v>
      </c>
      <c r="B95" s="13">
        <v>51</v>
      </c>
      <c r="C95" s="13">
        <v>38</v>
      </c>
      <c r="D95" s="13">
        <v>73</v>
      </c>
      <c r="E95" s="13">
        <v>83</v>
      </c>
      <c r="F95" s="13">
        <v>3921</v>
      </c>
      <c r="G95">
        <v>50</v>
      </c>
      <c r="J95" s="13">
        <v>1.3013559436848701E-2</v>
      </c>
      <c r="K95" s="13">
        <v>9.6921936331237132E-3</v>
      </c>
      <c r="L95" s="13">
        <v>1.8584293934569979E-2</v>
      </c>
      <c r="M95">
        <v>2.1256477707653574E-2</v>
      </c>
      <c r="N95">
        <v>82</v>
      </c>
      <c r="O95">
        <v>79</v>
      </c>
    </row>
    <row r="96" spans="1:15" ht="12.75">
      <c r="A96" s="11">
        <v>170.05</v>
      </c>
      <c r="B96" s="13">
        <v>52</v>
      </c>
      <c r="C96" s="13">
        <v>38</v>
      </c>
      <c r="D96" s="13">
        <v>41</v>
      </c>
      <c r="E96" s="13">
        <v>55</v>
      </c>
      <c r="F96" s="13">
        <v>2629</v>
      </c>
      <c r="G96">
        <v>33</v>
      </c>
      <c r="J96" s="13">
        <v>1.987603544242704E-2</v>
      </c>
      <c r="K96" s="13">
        <v>1.4613793308466978E-2</v>
      </c>
      <c r="L96" s="13">
        <v>1.5647705632701882E-2</v>
      </c>
      <c r="M96">
        <v>2.0909947766661947E-2</v>
      </c>
      <c r="N96">
        <v>63</v>
      </c>
      <c r="O96">
        <v>49</v>
      </c>
    </row>
    <row r="97" spans="1:15" ht="12.75">
      <c r="A97" s="11">
        <v>170.08</v>
      </c>
      <c r="B97" s="13">
        <v>139</v>
      </c>
      <c r="C97" s="13">
        <v>139</v>
      </c>
      <c r="D97" s="13">
        <v>163</v>
      </c>
      <c r="E97" s="13">
        <v>181</v>
      </c>
      <c r="F97" s="13">
        <v>3823</v>
      </c>
      <c r="G97">
        <v>109</v>
      </c>
      <c r="J97" s="13">
        <v>3.6417890839502476E-2</v>
      </c>
      <c r="K97" s="13">
        <v>3.6338071866818117E-2</v>
      </c>
      <c r="L97" s="13">
        <v>4.2559511475466216E-2</v>
      </c>
      <c r="M97">
        <v>4.7352702455450091E-2</v>
      </c>
      <c r="N97">
        <v>237</v>
      </c>
      <c r="O97">
        <v>174</v>
      </c>
    </row>
    <row r="98" spans="1:15" ht="12.75">
      <c r="A98" s="11">
        <v>170.07</v>
      </c>
      <c r="B98" s="13">
        <v>191</v>
      </c>
      <c r="C98" s="13">
        <v>186</v>
      </c>
      <c r="D98" s="13">
        <v>212</v>
      </c>
      <c r="E98" s="13">
        <v>209</v>
      </c>
      <c r="F98" s="13">
        <v>4122</v>
      </c>
      <c r="G98">
        <v>125</v>
      </c>
      <c r="J98" s="13">
        <v>4.6352360414872985E-2</v>
      </c>
      <c r="K98" s="13">
        <v>4.518546849193892E-2</v>
      </c>
      <c r="L98" s="13">
        <v>5.1321895661919886E-2</v>
      </c>
      <c r="M98">
        <v>5.0644764160970801E-2</v>
      </c>
      <c r="N98">
        <v>313</v>
      </c>
      <c r="O98">
        <v>210</v>
      </c>
    </row>
    <row r="99" spans="1:15" ht="12.75">
      <c r="A99" s="11">
        <v>181.05</v>
      </c>
      <c r="B99" s="13">
        <v>306</v>
      </c>
      <c r="C99" s="13">
        <v>309</v>
      </c>
      <c r="D99" s="13">
        <v>358</v>
      </c>
      <c r="E99" s="13">
        <v>408</v>
      </c>
      <c r="F99" s="13">
        <v>7758</v>
      </c>
      <c r="G99">
        <v>245</v>
      </c>
      <c r="J99" s="13">
        <v>3.9495247835870939E-2</v>
      </c>
      <c r="K99" s="13">
        <v>3.9830368046779946E-2</v>
      </c>
      <c r="L99" s="13">
        <v>4.6189854392016116E-2</v>
      </c>
      <c r="M99">
        <v>5.2550685161741079E-2</v>
      </c>
      <c r="N99">
        <v>524</v>
      </c>
      <c r="O99">
        <v>388</v>
      </c>
    </row>
    <row r="100" spans="1:15" ht="12.75">
      <c r="A100" s="11">
        <v>181.16</v>
      </c>
      <c r="B100" s="13">
        <v>100</v>
      </c>
      <c r="C100" s="13">
        <v>110</v>
      </c>
      <c r="D100" s="13">
        <v>235</v>
      </c>
      <c r="E100" s="13">
        <v>155</v>
      </c>
      <c r="F100" s="26">
        <v>2600</v>
      </c>
      <c r="G100">
        <v>93</v>
      </c>
      <c r="J100" s="26">
        <v>3.5592362677206765E-2</v>
      </c>
      <c r="K100" s="26">
        <v>4.0863741045031834E-2</v>
      </c>
      <c r="L100" s="26">
        <v>5.0003187530381146E-2</v>
      </c>
      <c r="M100">
        <v>5.7422164492505319E-2</v>
      </c>
      <c r="N100">
        <v>251</v>
      </c>
      <c r="O100">
        <v>187</v>
      </c>
    </row>
    <row r="101" spans="1:15" ht="12.75">
      <c r="A101" s="11">
        <v>181.15</v>
      </c>
      <c r="B101" s="13">
        <v>100</v>
      </c>
      <c r="C101" s="13">
        <v>110</v>
      </c>
      <c r="D101" s="13">
        <v>235</v>
      </c>
      <c r="E101" s="13">
        <v>155</v>
      </c>
      <c r="F101" s="26">
        <v>2600</v>
      </c>
      <c r="G101">
        <v>93</v>
      </c>
      <c r="J101" s="26">
        <v>3.5397126441361393E-2</v>
      </c>
      <c r="K101" s="26">
        <v>4.0863741045031834E-2</v>
      </c>
      <c r="L101" s="26">
        <v>5.0003187530381146E-2</v>
      </c>
      <c r="M101">
        <v>5.7226928256659947E-2</v>
      </c>
      <c r="N101">
        <v>251</v>
      </c>
      <c r="O101">
        <v>187</v>
      </c>
    </row>
    <row r="102" spans="1:15" ht="12.75">
      <c r="A102" s="1">
        <v>185.05</v>
      </c>
      <c r="B102">
        <v>402</v>
      </c>
      <c r="C102">
        <v>449</v>
      </c>
      <c r="D102">
        <v>522</v>
      </c>
      <c r="E102">
        <v>518</v>
      </c>
      <c r="F102" s="1">
        <v>5943</v>
      </c>
      <c r="G102">
        <v>311</v>
      </c>
      <c r="J102">
        <f>(0.06826568266+'2011'!H102)/2</f>
        <v>6.7611102199565204E-2</v>
      </c>
      <c r="K102">
        <f>(0.0857933579335793+'2011'!I102)/2</f>
        <v>7.5505374618963561E-2</v>
      </c>
      <c r="L102">
        <f>(0.0922509225092251+'2011'!J102)/2</f>
        <v>8.7864591689395172E-2</v>
      </c>
      <c r="M102">
        <f>(0.0821033210332103+'2011'!K102)/2</f>
        <v>8.7138617038344274E-2</v>
      </c>
      <c r="N102">
        <v>762</v>
      </c>
      <c r="O102">
        <v>520</v>
      </c>
    </row>
    <row r="103" spans="1:15" ht="12.75">
      <c r="J103">
        <f t="shared" ref="J103:M103" si="0">SUM(J2:J102)/101</f>
        <v>5.8341714887844474E-2</v>
      </c>
      <c r="K103">
        <f t="shared" si="0"/>
        <v>6.0977122761343032E-2</v>
      </c>
      <c r="L103">
        <f t="shared" si="0"/>
        <v>6.7469408148226676E-2</v>
      </c>
      <c r="M103">
        <f t="shared" si="0"/>
        <v>7.0623272907516674E-2</v>
      </c>
      <c r="N103">
        <f>K103+0.6*L103</f>
        <v>0.10145876765027903</v>
      </c>
      <c r="O103">
        <f>0.6*M103+0.4*L103</f>
        <v>6.9361727003800666E-2</v>
      </c>
    </row>
    <row r="104" spans="1:15" ht="12.75">
      <c r="M104" s="1" t="s">
        <v>529</v>
      </c>
      <c r="N104">
        <f t="shared" ref="N104:O104" si="1">SUM(N2:N102)</f>
        <v>55797</v>
      </c>
      <c r="O104">
        <f t="shared" si="1"/>
        <v>36949</v>
      </c>
    </row>
    <row r="105" spans="1:15" ht="12.75">
      <c r="M105" s="1" t="s">
        <v>636</v>
      </c>
      <c r="N105">
        <v>40016</v>
      </c>
      <c r="O105">
        <v>27300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103"/>
  <sheetViews>
    <sheetView workbookViewId="0">
      <pane xSplit="1" topLeftCell="B1" activePane="topRight" state="frozen"/>
      <selection pane="topRight" activeCell="C2" sqref="C2"/>
    </sheetView>
  </sheetViews>
  <sheetFormatPr defaultColWidth="14.42578125" defaultRowHeight="15.75" customHeight="1"/>
  <sheetData>
    <row r="1" spans="1:11" ht="15.75" customHeight="1">
      <c r="A1" s="7" t="s">
        <v>506</v>
      </c>
      <c r="B1" s="23" t="s">
        <v>507</v>
      </c>
      <c r="C1" s="24">
        <v>42864</v>
      </c>
      <c r="D1" s="24">
        <v>43022</v>
      </c>
      <c r="E1" s="25" t="s">
        <v>508</v>
      </c>
      <c r="F1" s="1" t="s">
        <v>630</v>
      </c>
      <c r="H1" s="1" t="s">
        <v>631</v>
      </c>
      <c r="I1" s="1" t="s">
        <v>632</v>
      </c>
      <c r="J1" s="1" t="s">
        <v>633</v>
      </c>
      <c r="K1" s="1" t="s">
        <v>634</v>
      </c>
    </row>
    <row r="2" spans="1:11" ht="15.75" customHeight="1">
      <c r="A2" s="11">
        <v>9330192</v>
      </c>
      <c r="B2" s="13">
        <v>220</v>
      </c>
      <c r="C2" s="13">
        <v>265</v>
      </c>
      <c r="D2" s="13">
        <v>230</v>
      </c>
      <c r="E2" s="13">
        <v>295</v>
      </c>
      <c r="F2" s="1">
        <v>4145</v>
      </c>
      <c r="H2">
        <f t="shared" ref="H2:K2" si="0">B2/$F2</f>
        <v>5.3075995174909532E-2</v>
      </c>
      <c r="I2">
        <f t="shared" si="0"/>
        <v>6.3932448733413749E-2</v>
      </c>
      <c r="J2">
        <f t="shared" si="0"/>
        <v>5.5488540410132688E-2</v>
      </c>
      <c r="K2">
        <f t="shared" si="0"/>
        <v>7.1170084439083237E-2</v>
      </c>
    </row>
    <row r="3" spans="1:11" ht="15.75" customHeight="1">
      <c r="A3" s="11">
        <v>9330186.0099999998</v>
      </c>
      <c r="B3" s="13">
        <v>440</v>
      </c>
      <c r="C3" s="13">
        <v>410</v>
      </c>
      <c r="D3" s="13">
        <v>415</v>
      </c>
      <c r="E3" s="13">
        <v>485</v>
      </c>
      <c r="F3" s="1">
        <v>7137</v>
      </c>
      <c r="H3">
        <f t="shared" ref="H3:H101" si="1">B3/F3</f>
        <v>6.1650553453832142E-2</v>
      </c>
      <c r="I3">
        <f t="shared" ref="I3:K3" si="2">C3/$F3</f>
        <v>5.7447106627434498E-2</v>
      </c>
      <c r="J3">
        <f t="shared" si="2"/>
        <v>5.814768109850077E-2</v>
      </c>
      <c r="K3">
        <f t="shared" si="2"/>
        <v>6.7955723693428616E-2</v>
      </c>
    </row>
    <row r="4" spans="1:11" ht="15.75" customHeight="1">
      <c r="A4" s="11">
        <v>186.02</v>
      </c>
      <c r="B4" s="13">
        <v>345</v>
      </c>
      <c r="C4" s="13">
        <v>330</v>
      </c>
      <c r="D4" s="13">
        <v>325</v>
      </c>
      <c r="E4" s="13">
        <v>380</v>
      </c>
      <c r="F4" s="1">
        <v>5495</v>
      </c>
      <c r="H4">
        <f t="shared" si="1"/>
        <v>6.2784349408553236E-2</v>
      </c>
      <c r="I4">
        <f t="shared" ref="I4:K4" si="3">C4/$F4</f>
        <v>6.0054595086442217E-2</v>
      </c>
      <c r="J4">
        <f t="shared" si="3"/>
        <v>5.9144676979071886E-2</v>
      </c>
      <c r="K4">
        <f t="shared" si="3"/>
        <v>6.9153776160145591E-2</v>
      </c>
    </row>
    <row r="5" spans="1:11" ht="15.75" customHeight="1">
      <c r="A5" s="11">
        <v>186.05</v>
      </c>
      <c r="B5" s="13">
        <v>460</v>
      </c>
      <c r="C5" s="13">
        <v>520</v>
      </c>
      <c r="D5" s="13">
        <v>570</v>
      </c>
      <c r="E5" s="13">
        <v>560</v>
      </c>
      <c r="F5" s="1">
        <v>7187</v>
      </c>
      <c r="H5">
        <f t="shared" si="1"/>
        <v>6.4004452483651039E-2</v>
      </c>
      <c r="I5">
        <f t="shared" ref="I5:K5" si="4">C5/$F5</f>
        <v>7.2352859329344654E-2</v>
      </c>
      <c r="J5">
        <f t="shared" si="4"/>
        <v>7.9309865034089322E-2</v>
      </c>
      <c r="K5">
        <f t="shared" si="4"/>
        <v>7.7918463893140388E-2</v>
      </c>
    </row>
    <row r="6" spans="1:11" ht="15.75" customHeight="1">
      <c r="A6" s="11">
        <v>186.06</v>
      </c>
      <c r="B6" s="13">
        <v>295</v>
      </c>
      <c r="C6" s="13">
        <v>290</v>
      </c>
      <c r="D6" s="13">
        <v>305</v>
      </c>
      <c r="E6" s="13">
        <v>265</v>
      </c>
      <c r="F6" s="1">
        <v>4079</v>
      </c>
      <c r="H6">
        <f t="shared" si="1"/>
        <v>7.2321647462613381E-2</v>
      </c>
      <c r="I6">
        <f t="shared" ref="I6:K6" si="5">C6/$F6</f>
        <v>7.1095856827653833E-2</v>
      </c>
      <c r="J6">
        <f t="shared" si="5"/>
        <v>7.477322873253249E-2</v>
      </c>
      <c r="K6">
        <f t="shared" si="5"/>
        <v>6.4966903652856095E-2</v>
      </c>
    </row>
    <row r="7" spans="1:11" ht="15.75" customHeight="1">
      <c r="A7" s="11">
        <v>185.09</v>
      </c>
      <c r="B7" s="13">
        <v>405</v>
      </c>
      <c r="C7" s="13">
        <v>295</v>
      </c>
      <c r="D7" s="13">
        <v>315</v>
      </c>
      <c r="E7" s="13">
        <v>285</v>
      </c>
      <c r="F7" s="1">
        <v>5002</v>
      </c>
      <c r="H7">
        <f t="shared" si="1"/>
        <v>8.0967612954818066E-2</v>
      </c>
      <c r="I7">
        <f t="shared" ref="I7:K7" si="6">C7/$F7</f>
        <v>5.8976409436225508E-2</v>
      </c>
      <c r="J7">
        <f t="shared" si="6"/>
        <v>6.2974810075969612E-2</v>
      </c>
      <c r="K7">
        <f t="shared" si="6"/>
        <v>5.6977209116353456E-2</v>
      </c>
    </row>
    <row r="8" spans="1:11" ht="15.75" customHeight="1">
      <c r="A8" s="11">
        <v>185.11</v>
      </c>
      <c r="B8" s="13">
        <v>595</v>
      </c>
      <c r="C8" s="13">
        <v>635</v>
      </c>
      <c r="D8" s="13">
        <v>570</v>
      </c>
      <c r="E8" s="13">
        <v>495</v>
      </c>
      <c r="F8" s="1">
        <v>7856</v>
      </c>
      <c r="H8">
        <f t="shared" si="1"/>
        <v>7.573828920570265E-2</v>
      </c>
      <c r="I8">
        <f t="shared" ref="I8:K8" si="7">C8/$F8</f>
        <v>8.0829938900203666E-2</v>
      </c>
      <c r="J8">
        <f t="shared" si="7"/>
        <v>7.2556008146639511E-2</v>
      </c>
      <c r="K8">
        <f t="shared" si="7"/>
        <v>6.3009164969450096E-2</v>
      </c>
    </row>
    <row r="9" spans="1:11" ht="15.75" customHeight="1">
      <c r="A9" s="11">
        <v>185.1</v>
      </c>
      <c r="B9" s="13">
        <v>465</v>
      </c>
      <c r="C9" s="13">
        <v>470</v>
      </c>
      <c r="D9" s="13">
        <v>410</v>
      </c>
      <c r="E9" s="13">
        <v>415</v>
      </c>
      <c r="F9" s="1">
        <v>5781</v>
      </c>
      <c r="H9">
        <f t="shared" si="1"/>
        <v>8.0435910742086142E-2</v>
      </c>
      <c r="I9">
        <f t="shared" ref="I9:K9" si="8">C9/$F9</f>
        <v>8.1300813008130079E-2</v>
      </c>
      <c r="J9">
        <f t="shared" si="8"/>
        <v>7.0921985815602842E-2</v>
      </c>
      <c r="K9">
        <f t="shared" si="8"/>
        <v>7.178688808164678E-2</v>
      </c>
    </row>
    <row r="10" spans="1:11" ht="15.75" customHeight="1">
      <c r="A10" s="11">
        <v>185.21</v>
      </c>
      <c r="B10" s="13">
        <v>230</v>
      </c>
      <c r="C10" s="13">
        <v>250</v>
      </c>
      <c r="D10" s="13">
        <v>275</v>
      </c>
      <c r="E10" s="13">
        <v>240</v>
      </c>
      <c r="F10" s="1">
        <v>3640</v>
      </c>
      <c r="H10">
        <f t="shared" si="1"/>
        <v>6.3186813186813184E-2</v>
      </c>
      <c r="I10">
        <f t="shared" ref="I10:K10" si="9">C10/$F10</f>
        <v>6.8681318681318687E-2</v>
      </c>
      <c r="J10">
        <f t="shared" si="9"/>
        <v>7.5549450549450545E-2</v>
      </c>
      <c r="K10">
        <f t="shared" si="9"/>
        <v>6.5934065934065936E-2</v>
      </c>
    </row>
    <row r="11" spans="1:11" ht="15.75" customHeight="1">
      <c r="A11" s="11">
        <v>185.22</v>
      </c>
      <c r="B11" s="13">
        <v>375</v>
      </c>
      <c r="C11" s="13">
        <v>310</v>
      </c>
      <c r="D11" s="13">
        <v>285</v>
      </c>
      <c r="E11" s="13">
        <v>315</v>
      </c>
      <c r="F11" s="1">
        <v>4214</v>
      </c>
      <c r="H11">
        <f t="shared" si="1"/>
        <v>8.8989084005695301E-2</v>
      </c>
      <c r="I11">
        <f t="shared" ref="I11:K11" si="10">C11/$F11</f>
        <v>7.3564309444708112E-2</v>
      </c>
      <c r="J11">
        <f t="shared" si="10"/>
        <v>6.7631703844328428E-2</v>
      </c>
      <c r="K11">
        <f t="shared" si="10"/>
        <v>7.4750830564784057E-2</v>
      </c>
    </row>
    <row r="12" spans="1:11" ht="15.75" customHeight="1">
      <c r="A12" s="11">
        <v>185.17</v>
      </c>
      <c r="B12" s="13">
        <v>170</v>
      </c>
      <c r="C12" s="13">
        <v>145</v>
      </c>
      <c r="D12" s="13">
        <v>170</v>
      </c>
      <c r="E12" s="13">
        <v>225</v>
      </c>
      <c r="F12" s="1">
        <v>3649</v>
      </c>
      <c r="H12">
        <f t="shared" si="1"/>
        <v>4.6588106330501505E-2</v>
      </c>
      <c r="I12">
        <f t="shared" ref="I12:K12" si="11">C12/$F12</f>
        <v>3.9736914223074814E-2</v>
      </c>
      <c r="J12">
        <f t="shared" si="11"/>
        <v>4.6588106330501505E-2</v>
      </c>
      <c r="K12">
        <f t="shared" si="11"/>
        <v>6.1660728966840231E-2</v>
      </c>
    </row>
    <row r="13" spans="1:11" ht="15.75" customHeight="1">
      <c r="A13" s="11">
        <v>185.18</v>
      </c>
      <c r="B13" s="13">
        <v>305</v>
      </c>
      <c r="C13" s="13">
        <v>300</v>
      </c>
      <c r="D13" s="13">
        <v>315</v>
      </c>
      <c r="E13" s="13">
        <v>355</v>
      </c>
      <c r="F13" s="1">
        <v>4779</v>
      </c>
      <c r="H13">
        <f t="shared" si="1"/>
        <v>6.3820883029922573E-2</v>
      </c>
      <c r="I13">
        <f t="shared" ref="I13:K13" si="12">C13/$F13</f>
        <v>6.2774639045825489E-2</v>
      </c>
      <c r="J13">
        <f t="shared" si="12"/>
        <v>6.5913370998116755E-2</v>
      </c>
      <c r="K13">
        <f t="shared" si="12"/>
        <v>7.4283322870893495E-2</v>
      </c>
    </row>
    <row r="14" spans="1:11" ht="15.75" customHeight="1">
      <c r="A14" s="11">
        <v>185.19</v>
      </c>
      <c r="B14" s="13">
        <v>410</v>
      </c>
      <c r="C14" s="13">
        <v>355</v>
      </c>
      <c r="D14" s="13">
        <v>365</v>
      </c>
      <c r="E14" s="13">
        <v>375</v>
      </c>
      <c r="F14" s="1">
        <v>5418</v>
      </c>
      <c r="H14">
        <f t="shared" si="1"/>
        <v>7.5673680324843118E-2</v>
      </c>
      <c r="I14">
        <f t="shared" ref="I14:K14" si="13">C14/$F14</f>
        <v>6.5522332964193436E-2</v>
      </c>
      <c r="J14">
        <f t="shared" si="13"/>
        <v>6.7368032484311557E-2</v>
      </c>
      <c r="K14">
        <f t="shared" si="13"/>
        <v>6.9213732004429679E-2</v>
      </c>
    </row>
    <row r="15" spans="1:11" ht="15.75" customHeight="1">
      <c r="A15" s="11">
        <v>185.2</v>
      </c>
      <c r="B15" s="13">
        <v>390</v>
      </c>
      <c r="C15" s="13">
        <v>390</v>
      </c>
      <c r="D15" s="13">
        <v>360</v>
      </c>
      <c r="E15" s="13">
        <v>370</v>
      </c>
      <c r="F15" s="1">
        <v>4808</v>
      </c>
      <c r="H15">
        <f t="shared" si="1"/>
        <v>8.1114808652246254E-2</v>
      </c>
      <c r="I15">
        <f t="shared" ref="I15:K15" si="14">C15/$F15</f>
        <v>8.1114808652246254E-2</v>
      </c>
      <c r="J15">
        <f t="shared" si="14"/>
        <v>7.4875207986688855E-2</v>
      </c>
      <c r="K15">
        <f t="shared" si="14"/>
        <v>7.6955074875207988E-2</v>
      </c>
    </row>
    <row r="16" spans="1:11" ht="15.75" customHeight="1">
      <c r="A16" s="11">
        <v>185.08</v>
      </c>
      <c r="B16" s="13">
        <v>60</v>
      </c>
      <c r="C16" s="13">
        <v>75</v>
      </c>
      <c r="D16" s="13">
        <v>85</v>
      </c>
      <c r="E16" s="13">
        <v>120</v>
      </c>
      <c r="F16" s="1">
        <v>1432</v>
      </c>
      <c r="H16">
        <f t="shared" si="1"/>
        <v>4.189944134078212E-2</v>
      </c>
      <c r="I16">
        <f t="shared" ref="I16:K16" si="15">C16/$F16</f>
        <v>5.2374301675977654E-2</v>
      </c>
      <c r="J16">
        <f t="shared" si="15"/>
        <v>5.9357541899441341E-2</v>
      </c>
      <c r="K16">
        <f t="shared" si="15"/>
        <v>8.3798882681564241E-2</v>
      </c>
    </row>
    <row r="17" spans="1:11" ht="15.75" customHeight="1">
      <c r="A17" s="11">
        <v>185.07</v>
      </c>
      <c r="B17" s="13">
        <v>505</v>
      </c>
      <c r="C17" s="13">
        <v>510</v>
      </c>
      <c r="D17" s="13">
        <v>595</v>
      </c>
      <c r="E17" s="13">
        <v>605</v>
      </c>
      <c r="F17" s="1">
        <v>7752</v>
      </c>
      <c r="H17">
        <f t="shared" si="1"/>
        <v>6.514447884416924E-2</v>
      </c>
      <c r="I17">
        <f t="shared" ref="I17:K17" si="16">C17/$F17</f>
        <v>6.5789473684210523E-2</v>
      </c>
      <c r="J17">
        <f t="shared" si="16"/>
        <v>7.6754385964912283E-2</v>
      </c>
      <c r="K17">
        <f t="shared" si="16"/>
        <v>7.8044375644994834E-2</v>
      </c>
    </row>
    <row r="18" spans="1:11" ht="15.75" customHeight="1">
      <c r="A18" s="11">
        <v>185.12</v>
      </c>
      <c r="B18" s="13">
        <v>395</v>
      </c>
      <c r="C18" s="13">
        <v>470</v>
      </c>
      <c r="D18" s="13">
        <v>535</v>
      </c>
      <c r="E18" s="13">
        <v>460</v>
      </c>
      <c r="F18" s="1">
        <v>6657</v>
      </c>
      <c r="H18">
        <f t="shared" si="1"/>
        <v>5.9336037254018328E-2</v>
      </c>
      <c r="I18">
        <f t="shared" ref="I18:K18" si="17">C18/$F18</f>
        <v>7.060237344149016E-2</v>
      </c>
      <c r="J18">
        <f t="shared" si="17"/>
        <v>8.0366531470632413E-2</v>
      </c>
      <c r="K18">
        <f t="shared" si="17"/>
        <v>6.9100195283160581E-2</v>
      </c>
    </row>
    <row r="19" spans="1:11" ht="15.75" customHeight="1">
      <c r="A19" s="11">
        <v>185.16</v>
      </c>
      <c r="B19" s="13">
        <v>385</v>
      </c>
      <c r="C19" s="13">
        <v>370</v>
      </c>
      <c r="D19" s="13">
        <v>390</v>
      </c>
      <c r="E19" s="13">
        <v>400</v>
      </c>
      <c r="F19" s="1">
        <v>4994</v>
      </c>
      <c r="H19">
        <f t="shared" si="1"/>
        <v>7.7092511013215861E-2</v>
      </c>
      <c r="I19">
        <f t="shared" ref="I19:K19" si="18">C19/$F19</f>
        <v>7.4088906688025633E-2</v>
      </c>
      <c r="J19">
        <f t="shared" si="18"/>
        <v>7.8093712454945938E-2</v>
      </c>
      <c r="K19">
        <f t="shared" si="18"/>
        <v>8.009611533840609E-2</v>
      </c>
    </row>
    <row r="20" spans="1:11" ht="15.75" customHeight="1">
      <c r="A20" s="11">
        <v>185.15</v>
      </c>
      <c r="B20" s="13">
        <v>510</v>
      </c>
      <c r="C20" s="13">
        <v>420</v>
      </c>
      <c r="D20" s="13">
        <v>380</v>
      </c>
      <c r="E20" s="13">
        <v>370</v>
      </c>
      <c r="F20" s="1">
        <v>6175</v>
      </c>
      <c r="H20">
        <f t="shared" si="1"/>
        <v>8.2591093117408906E-2</v>
      </c>
      <c r="I20">
        <f t="shared" ref="I20:K20" si="19">C20/$F20</f>
        <v>6.8016194331983804E-2</v>
      </c>
      <c r="J20">
        <f t="shared" si="19"/>
        <v>6.1538461538461542E-2</v>
      </c>
      <c r="K20">
        <f t="shared" si="19"/>
        <v>5.991902834008097E-2</v>
      </c>
    </row>
    <row r="21" spans="1:11" ht="15.75" customHeight="1">
      <c r="A21" s="11">
        <v>186.07</v>
      </c>
      <c r="B21" s="13">
        <v>400</v>
      </c>
      <c r="C21" s="13">
        <v>405</v>
      </c>
      <c r="D21" s="13">
        <v>425</v>
      </c>
      <c r="E21" s="13">
        <v>395</v>
      </c>
      <c r="F21" s="1">
        <v>5679</v>
      </c>
      <c r="H21">
        <f t="shared" si="1"/>
        <v>7.0434935728121151E-2</v>
      </c>
      <c r="I21">
        <f t="shared" ref="I21:K21" si="20">C21/$F21</f>
        <v>7.1315372424722662E-2</v>
      </c>
      <c r="J21">
        <f t="shared" si="20"/>
        <v>7.4837119211128719E-2</v>
      </c>
      <c r="K21">
        <f t="shared" si="20"/>
        <v>6.955449903151964E-2</v>
      </c>
    </row>
    <row r="22" spans="1:11" ht="15.75" customHeight="1">
      <c r="A22" s="11">
        <v>186.08</v>
      </c>
      <c r="B22" s="13">
        <v>470</v>
      </c>
      <c r="C22" s="13">
        <v>450</v>
      </c>
      <c r="D22" s="13">
        <v>455</v>
      </c>
      <c r="E22" s="13">
        <v>495</v>
      </c>
      <c r="F22" s="1">
        <v>6269</v>
      </c>
      <c r="H22">
        <f t="shared" si="1"/>
        <v>7.4972084862019464E-2</v>
      </c>
      <c r="I22">
        <f t="shared" ref="I22:K22" si="21">C22/$F22</f>
        <v>7.1781783378529265E-2</v>
      </c>
      <c r="J22">
        <f t="shared" si="21"/>
        <v>7.2579358749401815E-2</v>
      </c>
      <c r="K22">
        <f t="shared" si="21"/>
        <v>7.8959961716382199E-2</v>
      </c>
    </row>
    <row r="23" spans="1:11" ht="15.75" customHeight="1">
      <c r="A23" s="11">
        <v>191.03</v>
      </c>
      <c r="B23" s="13">
        <v>375</v>
      </c>
      <c r="C23" s="13">
        <v>345</v>
      </c>
      <c r="D23" s="13">
        <v>340</v>
      </c>
      <c r="E23" s="13">
        <v>370</v>
      </c>
      <c r="F23" s="1">
        <v>5377</v>
      </c>
      <c r="H23">
        <f t="shared" si="1"/>
        <v>6.9741491538032357E-2</v>
      </c>
      <c r="I23">
        <f t="shared" ref="I23:K23" si="22">C23/$F23</f>
        <v>6.4162172214989766E-2</v>
      </c>
      <c r="J23">
        <f t="shared" si="22"/>
        <v>6.3232285661149343E-2</v>
      </c>
      <c r="K23">
        <f t="shared" si="22"/>
        <v>6.8811604984191935E-2</v>
      </c>
    </row>
    <row r="24" spans="1:11" ht="15.75" customHeight="1">
      <c r="A24" s="11">
        <v>191.04</v>
      </c>
      <c r="B24" s="13">
        <v>300</v>
      </c>
      <c r="C24" s="13">
        <v>255</v>
      </c>
      <c r="D24" s="13">
        <v>270</v>
      </c>
      <c r="E24" s="13">
        <v>290</v>
      </c>
      <c r="F24" s="1">
        <v>5884</v>
      </c>
      <c r="H24">
        <f t="shared" si="1"/>
        <v>5.0985723997280762E-2</v>
      </c>
      <c r="I24">
        <f t="shared" ref="I24:K24" si="23">C24/$F24</f>
        <v>4.3337865397688649E-2</v>
      </c>
      <c r="J24">
        <f t="shared" si="23"/>
        <v>4.5887151597552682E-2</v>
      </c>
      <c r="K24">
        <f t="shared" si="23"/>
        <v>4.9286199864038066E-2</v>
      </c>
    </row>
    <row r="25" spans="1:11" ht="15.75" customHeight="1">
      <c r="A25" s="11">
        <v>191.05</v>
      </c>
      <c r="B25" s="13">
        <v>215</v>
      </c>
      <c r="C25" s="13">
        <v>220</v>
      </c>
      <c r="D25" s="13">
        <v>265</v>
      </c>
      <c r="E25" s="13">
        <v>295</v>
      </c>
      <c r="F25" s="1">
        <v>3837</v>
      </c>
      <c r="H25">
        <f t="shared" si="1"/>
        <v>5.6033359395360957E-2</v>
      </c>
      <c r="I25">
        <f t="shared" ref="I25:K25" si="24">C25/$F25</f>
        <v>5.7336460776648425E-2</v>
      </c>
      <c r="J25">
        <f t="shared" si="24"/>
        <v>6.9064373208235608E-2</v>
      </c>
      <c r="K25">
        <f t="shared" si="24"/>
        <v>7.6882981495960387E-2</v>
      </c>
    </row>
    <row r="26" spans="1:11" ht="15.75" customHeight="1">
      <c r="A26" s="11">
        <v>191.06</v>
      </c>
      <c r="B26" s="13">
        <v>135</v>
      </c>
      <c r="C26" s="13">
        <v>75</v>
      </c>
      <c r="D26" s="13">
        <v>80</v>
      </c>
      <c r="E26" s="13">
        <v>110</v>
      </c>
      <c r="F26" s="1">
        <v>2594</v>
      </c>
      <c r="H26">
        <f t="shared" si="1"/>
        <v>5.2043176561295298E-2</v>
      </c>
      <c r="I26">
        <f t="shared" ref="I26:K26" si="25">C26/$F26</f>
        <v>2.8912875867386275E-2</v>
      </c>
      <c r="J26">
        <f t="shared" si="25"/>
        <v>3.0840400925212029E-2</v>
      </c>
      <c r="K26">
        <f t="shared" si="25"/>
        <v>4.2405551272166539E-2</v>
      </c>
    </row>
    <row r="27" spans="1:11" ht="15.75" customHeight="1">
      <c r="A27" s="11">
        <v>191.07</v>
      </c>
      <c r="B27" s="13">
        <v>205</v>
      </c>
      <c r="C27" s="13">
        <v>95</v>
      </c>
      <c r="D27" s="13">
        <v>110</v>
      </c>
      <c r="E27" s="13">
        <v>160</v>
      </c>
      <c r="F27" s="1">
        <v>3535</v>
      </c>
      <c r="H27">
        <f t="shared" si="1"/>
        <v>5.7991513437057989E-2</v>
      </c>
      <c r="I27">
        <f t="shared" ref="I27:K27" si="26">C27/$F27</f>
        <v>2.6874115983026876E-2</v>
      </c>
      <c r="J27">
        <f t="shared" si="26"/>
        <v>3.1117397454031116E-2</v>
      </c>
      <c r="K27">
        <f t="shared" si="26"/>
        <v>4.5261669024045263E-2</v>
      </c>
    </row>
    <row r="28" spans="1:11" ht="15.75" customHeight="1">
      <c r="A28" s="11">
        <v>190.03</v>
      </c>
      <c r="B28" s="13">
        <v>400</v>
      </c>
      <c r="C28" s="13">
        <v>340</v>
      </c>
      <c r="D28" s="13">
        <v>375</v>
      </c>
      <c r="E28" s="13">
        <v>460</v>
      </c>
      <c r="F28" s="1">
        <v>6183</v>
      </c>
      <c r="H28">
        <f t="shared" si="1"/>
        <v>6.4693514475173866E-2</v>
      </c>
      <c r="I28">
        <f t="shared" ref="I28:K28" si="27">C28/$F28</f>
        <v>5.4989487303897785E-2</v>
      </c>
      <c r="J28">
        <f t="shared" si="27"/>
        <v>6.0650169820475497E-2</v>
      </c>
      <c r="K28">
        <f t="shared" si="27"/>
        <v>7.4397541646449947E-2</v>
      </c>
    </row>
    <row r="29" spans="1:11" ht="15.75" customHeight="1">
      <c r="A29" s="11">
        <v>190.04</v>
      </c>
      <c r="B29" s="13">
        <v>325</v>
      </c>
      <c r="C29" s="13">
        <v>355</v>
      </c>
      <c r="D29" s="13">
        <v>450</v>
      </c>
      <c r="E29" s="13">
        <v>475</v>
      </c>
      <c r="F29" s="1">
        <v>6623</v>
      </c>
      <c r="H29">
        <f t="shared" si="1"/>
        <v>4.9071417786501585E-2</v>
      </c>
      <c r="I29">
        <f t="shared" ref="I29:K29" si="28">C29/$F29</f>
        <v>5.3601087120640191E-2</v>
      </c>
      <c r="J29">
        <f t="shared" si="28"/>
        <v>6.7945040012079114E-2</v>
      </c>
      <c r="K29">
        <f t="shared" si="28"/>
        <v>7.1719764457194621E-2</v>
      </c>
    </row>
    <row r="30" spans="1:11" ht="15.75" customHeight="1">
      <c r="A30" s="11">
        <v>190.05</v>
      </c>
      <c r="B30" s="13">
        <v>120</v>
      </c>
      <c r="C30" s="13">
        <v>115</v>
      </c>
      <c r="D30" s="13">
        <v>115</v>
      </c>
      <c r="E30" s="13">
        <v>140</v>
      </c>
      <c r="F30" s="1">
        <v>1753</v>
      </c>
      <c r="H30">
        <f t="shared" si="1"/>
        <v>6.8454078722190531E-2</v>
      </c>
      <c r="I30">
        <f t="shared" ref="I30:K30" si="29">C30/$F30</f>
        <v>6.5601825442099262E-2</v>
      </c>
      <c r="J30">
        <f t="shared" si="29"/>
        <v>6.5601825442099262E-2</v>
      </c>
      <c r="K30">
        <f t="shared" si="29"/>
        <v>7.986309184255562E-2</v>
      </c>
    </row>
    <row r="31" spans="1:11" ht="15.75" customHeight="1">
      <c r="A31" s="11">
        <v>190.01</v>
      </c>
      <c r="B31" s="13">
        <v>385</v>
      </c>
      <c r="C31" s="13">
        <v>320</v>
      </c>
      <c r="D31" s="13">
        <v>300</v>
      </c>
      <c r="E31" s="13">
        <v>355</v>
      </c>
      <c r="F31" s="1">
        <v>6748</v>
      </c>
      <c r="H31">
        <f t="shared" si="1"/>
        <v>5.7053941908713691E-2</v>
      </c>
      <c r="I31">
        <f t="shared" ref="I31:K31" si="30">C31/$F31</f>
        <v>4.7421458209839951E-2</v>
      </c>
      <c r="J31">
        <f t="shared" si="30"/>
        <v>4.4457617071724957E-2</v>
      </c>
      <c r="K31">
        <f t="shared" si="30"/>
        <v>5.2608180201541198E-2</v>
      </c>
    </row>
    <row r="32" spans="1:11" ht="15.75" customHeight="1">
      <c r="A32" s="11">
        <v>189.06</v>
      </c>
      <c r="B32" s="13">
        <v>165</v>
      </c>
      <c r="C32" s="13">
        <v>190</v>
      </c>
      <c r="D32" s="13">
        <v>195</v>
      </c>
      <c r="E32" s="13">
        <v>215</v>
      </c>
      <c r="F32" s="1">
        <v>2925</v>
      </c>
      <c r="H32">
        <f t="shared" si="1"/>
        <v>5.6410256410256411E-2</v>
      </c>
      <c r="I32">
        <f t="shared" ref="I32:K32" si="31">C32/$F32</f>
        <v>6.4957264957264962E-2</v>
      </c>
      <c r="J32">
        <f t="shared" si="31"/>
        <v>6.6666666666666666E-2</v>
      </c>
      <c r="K32">
        <f t="shared" si="31"/>
        <v>7.3504273504273507E-2</v>
      </c>
    </row>
    <row r="33" spans="1:11" ht="15.75" customHeight="1">
      <c r="A33" s="11">
        <v>187.04</v>
      </c>
      <c r="B33" s="13">
        <v>110</v>
      </c>
      <c r="C33" s="13">
        <v>110</v>
      </c>
      <c r="D33" s="13">
        <v>120</v>
      </c>
      <c r="E33" s="13">
        <v>110</v>
      </c>
      <c r="F33" s="1">
        <v>1699</v>
      </c>
      <c r="H33">
        <f t="shared" si="1"/>
        <v>6.4743967039434969E-2</v>
      </c>
      <c r="I33">
        <f t="shared" ref="I33:K33" si="32">C33/$F33</f>
        <v>6.4743967039434969E-2</v>
      </c>
      <c r="J33">
        <f t="shared" si="32"/>
        <v>7.0629782224838136E-2</v>
      </c>
      <c r="K33">
        <f t="shared" si="32"/>
        <v>6.4743967039434969E-2</v>
      </c>
    </row>
    <row r="34" spans="1:11" ht="15.75" customHeight="1">
      <c r="A34" s="11">
        <v>187.05</v>
      </c>
      <c r="B34" s="13">
        <v>590</v>
      </c>
      <c r="C34" s="13">
        <v>515</v>
      </c>
      <c r="D34" s="13">
        <v>480</v>
      </c>
      <c r="E34" s="13">
        <v>500</v>
      </c>
      <c r="F34" s="1">
        <v>7306</v>
      </c>
      <c r="H34">
        <f t="shared" si="1"/>
        <v>8.0755543388995349E-2</v>
      </c>
      <c r="I34">
        <f t="shared" ref="I34:K34" si="33">C34/$F34</f>
        <v>7.0490008212428137E-2</v>
      </c>
      <c r="J34">
        <f t="shared" si="33"/>
        <v>6.5699425130030117E-2</v>
      </c>
      <c r="K34">
        <f t="shared" si="33"/>
        <v>6.8436901177114706E-2</v>
      </c>
    </row>
    <row r="35" spans="1:11" ht="15.75" customHeight="1">
      <c r="A35" s="11">
        <v>184.02</v>
      </c>
      <c r="B35" s="13">
        <v>505</v>
      </c>
      <c r="C35" s="13">
        <v>510</v>
      </c>
      <c r="D35" s="13">
        <v>425</v>
      </c>
      <c r="E35" s="13">
        <v>465</v>
      </c>
      <c r="F35" s="1">
        <v>7509</v>
      </c>
      <c r="H35">
        <f t="shared" si="1"/>
        <v>6.7252630177120784E-2</v>
      </c>
      <c r="I35">
        <f t="shared" ref="I35:K35" si="34">C35/$F35</f>
        <v>6.791849780263684E-2</v>
      </c>
      <c r="J35">
        <f t="shared" si="34"/>
        <v>5.6598748168864031E-2</v>
      </c>
      <c r="K35">
        <f t="shared" si="34"/>
        <v>6.1925689172992411E-2</v>
      </c>
    </row>
    <row r="36" spans="1:11" ht="12.75">
      <c r="A36" s="11">
        <v>184.15</v>
      </c>
      <c r="B36" s="13">
        <v>145</v>
      </c>
      <c r="C36" s="13">
        <v>145</v>
      </c>
      <c r="D36" s="13">
        <v>200</v>
      </c>
      <c r="E36" s="13">
        <v>275</v>
      </c>
      <c r="F36" s="1">
        <v>3166</v>
      </c>
      <c r="H36">
        <f t="shared" si="1"/>
        <v>4.5799115603284903E-2</v>
      </c>
      <c r="I36">
        <f t="shared" ref="I36:K36" si="35">C36/$F36</f>
        <v>4.5799115603284903E-2</v>
      </c>
      <c r="J36">
        <f t="shared" si="35"/>
        <v>6.3171193935565376E-2</v>
      </c>
      <c r="K36">
        <f t="shared" si="35"/>
        <v>8.68603916614024E-2</v>
      </c>
    </row>
    <row r="37" spans="1:11" ht="12.75">
      <c r="A37" s="11">
        <v>184.16</v>
      </c>
      <c r="B37" s="13">
        <v>325</v>
      </c>
      <c r="C37" s="13">
        <v>360</v>
      </c>
      <c r="D37" s="13">
        <v>390</v>
      </c>
      <c r="E37" s="13">
        <v>395</v>
      </c>
      <c r="F37" s="1">
        <v>5485</v>
      </c>
      <c r="H37">
        <f t="shared" si="1"/>
        <v>5.9252506836827715E-2</v>
      </c>
      <c r="I37">
        <f t="shared" ref="I37:K37" si="36">C37/$F37</f>
        <v>6.5633546034639931E-2</v>
      </c>
      <c r="J37">
        <f t="shared" si="36"/>
        <v>7.1103008204193255E-2</v>
      </c>
      <c r="K37">
        <f t="shared" si="36"/>
        <v>7.2014585232452147E-2</v>
      </c>
    </row>
    <row r="38" spans="1:11" ht="12.75">
      <c r="A38" s="11">
        <v>184.07</v>
      </c>
      <c r="B38" s="13">
        <v>305</v>
      </c>
      <c r="C38" s="13">
        <v>290</v>
      </c>
      <c r="D38" s="13">
        <v>325</v>
      </c>
      <c r="E38" s="13">
        <v>310</v>
      </c>
      <c r="F38" s="1">
        <v>5105</v>
      </c>
      <c r="H38">
        <f t="shared" si="1"/>
        <v>5.9745347698334964E-2</v>
      </c>
      <c r="I38">
        <f t="shared" ref="I38:K38" si="37">C38/$F38</f>
        <v>5.6807051909892263E-2</v>
      </c>
      <c r="J38">
        <f t="shared" si="37"/>
        <v>6.3663075416258569E-2</v>
      </c>
      <c r="K38">
        <f t="shared" si="37"/>
        <v>6.0724779627815868E-2</v>
      </c>
    </row>
    <row r="39" spans="1:11" ht="12.75">
      <c r="A39" s="11">
        <v>184.08</v>
      </c>
      <c r="B39" s="13">
        <v>355</v>
      </c>
      <c r="C39" s="13">
        <v>365</v>
      </c>
      <c r="D39" s="13">
        <v>420</v>
      </c>
      <c r="E39" s="13">
        <v>405</v>
      </c>
      <c r="F39" s="1">
        <v>5005</v>
      </c>
      <c r="H39">
        <f t="shared" si="1"/>
        <v>7.0929070929070928E-2</v>
      </c>
      <c r="I39">
        <f t="shared" ref="I39:K39" si="38">C39/$F39</f>
        <v>7.2927072927072928E-2</v>
      </c>
      <c r="J39">
        <f t="shared" si="38"/>
        <v>8.3916083916083919E-2</v>
      </c>
      <c r="K39">
        <f t="shared" si="38"/>
        <v>8.0919080919080913E-2</v>
      </c>
    </row>
    <row r="40" spans="1:11" ht="12.75">
      <c r="A40" s="11">
        <v>184.06</v>
      </c>
      <c r="B40" s="13">
        <v>740</v>
      </c>
      <c r="C40" s="13">
        <v>735</v>
      </c>
      <c r="D40" s="13">
        <v>600</v>
      </c>
      <c r="E40" s="13">
        <v>565</v>
      </c>
      <c r="F40" s="1">
        <v>8965</v>
      </c>
      <c r="H40">
        <f t="shared" si="1"/>
        <v>8.2543223647518121E-2</v>
      </c>
      <c r="I40">
        <f t="shared" ref="I40:K40" si="39">C40/$F40</f>
        <v>8.1985499163413272E-2</v>
      </c>
      <c r="J40">
        <f t="shared" si="39"/>
        <v>6.6926938092582267E-2</v>
      </c>
      <c r="K40">
        <f t="shared" si="39"/>
        <v>6.3022866703848296E-2</v>
      </c>
    </row>
    <row r="41" spans="1:11" ht="12.75">
      <c r="A41" s="11">
        <v>184.12</v>
      </c>
      <c r="B41" s="13">
        <v>290</v>
      </c>
      <c r="C41" s="13">
        <v>240</v>
      </c>
      <c r="D41" s="13">
        <v>220</v>
      </c>
      <c r="E41" s="13">
        <v>225</v>
      </c>
      <c r="F41" s="1">
        <v>3601</v>
      </c>
      <c r="H41">
        <f t="shared" si="1"/>
        <v>8.0533185226326021E-2</v>
      </c>
      <c r="I41">
        <f t="shared" ref="I41:K41" si="40">C41/$F41</f>
        <v>6.6648153290752563E-2</v>
      </c>
      <c r="J41">
        <f t="shared" si="40"/>
        <v>6.109414051652319E-2</v>
      </c>
      <c r="K41">
        <f t="shared" si="40"/>
        <v>6.2482643710080533E-2</v>
      </c>
    </row>
    <row r="42" spans="1:11" ht="12.75">
      <c r="A42" s="11">
        <v>184.13</v>
      </c>
      <c r="B42" s="13">
        <v>230</v>
      </c>
      <c r="C42" s="13">
        <v>235</v>
      </c>
      <c r="D42" s="13">
        <v>225</v>
      </c>
      <c r="E42" s="13">
        <v>250</v>
      </c>
      <c r="F42" s="1">
        <v>4058</v>
      </c>
      <c r="H42">
        <f t="shared" si="1"/>
        <v>5.6678166584524396E-2</v>
      </c>
      <c r="I42">
        <f t="shared" ref="I42:K42" si="41">C42/$F42</f>
        <v>5.7910300640709712E-2</v>
      </c>
      <c r="J42">
        <f t="shared" si="41"/>
        <v>5.544603252833908E-2</v>
      </c>
      <c r="K42">
        <f t="shared" si="41"/>
        <v>6.1606702809265647E-2</v>
      </c>
    </row>
    <row r="43" spans="1:11" ht="12.75">
      <c r="A43" s="11">
        <v>184.14</v>
      </c>
      <c r="B43" s="13">
        <v>675</v>
      </c>
      <c r="C43" s="13">
        <v>545</v>
      </c>
      <c r="D43" s="13">
        <v>355</v>
      </c>
      <c r="E43" s="13">
        <v>300</v>
      </c>
      <c r="F43" s="1">
        <v>6331</v>
      </c>
      <c r="H43">
        <f t="shared" si="1"/>
        <v>0.1066182277681251</v>
      </c>
      <c r="I43">
        <f t="shared" ref="I43:K43" si="42">C43/$F43</f>
        <v>8.6084346864634342E-2</v>
      </c>
      <c r="J43">
        <f t="shared" si="42"/>
        <v>5.6073290159532461E-2</v>
      </c>
      <c r="K43">
        <f t="shared" si="42"/>
        <v>4.7385879008055597E-2</v>
      </c>
    </row>
    <row r="44" spans="1:11" ht="12.75">
      <c r="A44" s="11">
        <v>182.03</v>
      </c>
      <c r="B44" s="13">
        <v>195</v>
      </c>
      <c r="C44" s="13">
        <v>165</v>
      </c>
      <c r="D44" s="13">
        <v>225</v>
      </c>
      <c r="E44" s="13">
        <v>350</v>
      </c>
      <c r="F44" s="1">
        <v>3798</v>
      </c>
      <c r="H44">
        <f t="shared" si="1"/>
        <v>5.1342812006319113E-2</v>
      </c>
      <c r="I44">
        <f t="shared" ref="I44:K44" si="43">C44/$F44</f>
        <v>4.3443917851500792E-2</v>
      </c>
      <c r="J44">
        <f t="shared" si="43"/>
        <v>5.9241706161137442E-2</v>
      </c>
      <c r="K44">
        <f t="shared" si="43"/>
        <v>9.2153765139547136E-2</v>
      </c>
    </row>
    <row r="45" spans="1:11" ht="12.75">
      <c r="A45" s="11">
        <v>184.11</v>
      </c>
      <c r="B45" s="13">
        <v>630</v>
      </c>
      <c r="C45" s="13">
        <v>570</v>
      </c>
      <c r="D45" s="13">
        <v>670</v>
      </c>
      <c r="E45" s="13">
        <v>650</v>
      </c>
      <c r="F45" s="1">
        <v>9118</v>
      </c>
      <c r="H45">
        <f t="shared" si="1"/>
        <v>6.9094099583241933E-2</v>
      </c>
      <c r="I45">
        <f t="shared" ref="I45:K45" si="44">C45/$F45</f>
        <v>6.2513709146742702E-2</v>
      </c>
      <c r="J45">
        <f t="shared" si="44"/>
        <v>7.3481026540908087E-2</v>
      </c>
      <c r="K45">
        <f t="shared" si="44"/>
        <v>7.128756306207501E-2</v>
      </c>
    </row>
    <row r="46" spans="1:11" ht="12.75">
      <c r="A46" s="11">
        <v>184.1</v>
      </c>
      <c r="B46" s="13">
        <v>270</v>
      </c>
      <c r="C46" s="13">
        <v>360</v>
      </c>
      <c r="D46" s="13">
        <v>395</v>
      </c>
      <c r="E46" s="13">
        <v>485</v>
      </c>
      <c r="F46" s="1">
        <v>5265</v>
      </c>
      <c r="H46">
        <f t="shared" si="1"/>
        <v>5.128205128205128E-2</v>
      </c>
      <c r="I46">
        <f t="shared" ref="I46:K46" si="45">C46/$F46</f>
        <v>6.8376068376068383E-2</v>
      </c>
      <c r="J46">
        <f t="shared" si="45"/>
        <v>7.502374169040836E-2</v>
      </c>
      <c r="K46">
        <f t="shared" si="45"/>
        <v>9.2117758784425449E-2</v>
      </c>
    </row>
    <row r="47" spans="1:11" ht="12.75">
      <c r="A47" s="11">
        <v>184.09</v>
      </c>
      <c r="B47" s="13">
        <v>280</v>
      </c>
      <c r="C47" s="13">
        <v>340</v>
      </c>
      <c r="D47" s="13">
        <v>360</v>
      </c>
      <c r="E47" s="13">
        <v>370</v>
      </c>
      <c r="F47" s="1">
        <v>4828</v>
      </c>
      <c r="H47">
        <f t="shared" si="1"/>
        <v>5.7995028997514499E-2</v>
      </c>
      <c r="I47">
        <f t="shared" ref="I47:K47" si="46">C47/$F47</f>
        <v>7.0422535211267609E-2</v>
      </c>
      <c r="J47">
        <f t="shared" si="46"/>
        <v>7.4565037282518648E-2</v>
      </c>
      <c r="K47">
        <f t="shared" si="46"/>
        <v>7.6636288318144161E-2</v>
      </c>
    </row>
    <row r="48" spans="1:11" ht="12.75">
      <c r="A48" s="11">
        <v>187.03</v>
      </c>
      <c r="B48" s="13">
        <v>480</v>
      </c>
      <c r="C48" s="13">
        <v>485</v>
      </c>
      <c r="D48" s="13">
        <v>435</v>
      </c>
      <c r="E48" s="13">
        <v>515</v>
      </c>
      <c r="F48" s="1">
        <v>7252</v>
      </c>
      <c r="H48">
        <f t="shared" si="1"/>
        <v>6.6188637617209042E-2</v>
      </c>
      <c r="I48">
        <f t="shared" ref="I48:K48" si="47">C48/$F48</f>
        <v>6.68781025923883E-2</v>
      </c>
      <c r="J48">
        <f t="shared" si="47"/>
        <v>5.9983452840595697E-2</v>
      </c>
      <c r="K48">
        <f t="shared" si="47"/>
        <v>7.1014892443463873E-2</v>
      </c>
    </row>
    <row r="49" spans="1:11" ht="12.75">
      <c r="A49" s="11">
        <v>189.05</v>
      </c>
      <c r="B49" s="13">
        <v>415</v>
      </c>
      <c r="C49" s="13">
        <v>380</v>
      </c>
      <c r="D49" s="13">
        <v>420</v>
      </c>
      <c r="E49" s="13">
        <v>430</v>
      </c>
      <c r="F49" s="1">
        <v>8114</v>
      </c>
      <c r="H49">
        <f t="shared" si="1"/>
        <v>5.1146167118560515E-2</v>
      </c>
      <c r="I49">
        <f t="shared" ref="I49:K49" si="48">C49/$F49</f>
        <v>4.6832634951934925E-2</v>
      </c>
      <c r="J49">
        <f t="shared" si="48"/>
        <v>5.1762385999507027E-2</v>
      </c>
      <c r="K49">
        <f t="shared" si="48"/>
        <v>5.2994823761400051E-2</v>
      </c>
    </row>
    <row r="50" spans="1:11" ht="12.75">
      <c r="A50" s="11">
        <v>189.08</v>
      </c>
      <c r="B50" s="13">
        <v>505</v>
      </c>
      <c r="C50" s="13">
        <v>445</v>
      </c>
      <c r="D50" s="13">
        <v>435</v>
      </c>
      <c r="E50" s="13">
        <v>445</v>
      </c>
      <c r="F50" s="1">
        <v>6617</v>
      </c>
      <c r="H50">
        <f t="shared" si="1"/>
        <v>7.6318573371618556E-2</v>
      </c>
      <c r="I50">
        <f t="shared" ref="I50:K50" si="49">C50/$F50</f>
        <v>6.7251020099743083E-2</v>
      </c>
      <c r="J50">
        <f t="shared" si="49"/>
        <v>6.5739761221097176E-2</v>
      </c>
      <c r="K50">
        <f t="shared" si="49"/>
        <v>6.7251020099743083E-2</v>
      </c>
    </row>
    <row r="51" spans="1:11" ht="12.75">
      <c r="A51" s="11">
        <v>189.03</v>
      </c>
      <c r="B51" s="13">
        <v>180</v>
      </c>
      <c r="C51" s="13">
        <v>205</v>
      </c>
      <c r="D51" s="13">
        <v>230</v>
      </c>
      <c r="E51" s="13">
        <v>285</v>
      </c>
      <c r="F51" s="1">
        <v>3350</v>
      </c>
      <c r="H51">
        <f t="shared" si="1"/>
        <v>5.3731343283582089E-2</v>
      </c>
      <c r="I51">
        <f t="shared" ref="I51:K51" si="50">C51/$F51</f>
        <v>6.1194029850746269E-2</v>
      </c>
      <c r="J51">
        <f t="shared" si="50"/>
        <v>6.8656716417910449E-2</v>
      </c>
      <c r="K51">
        <f t="shared" si="50"/>
        <v>8.5074626865671646E-2</v>
      </c>
    </row>
    <row r="52" spans="1:11" ht="12.75">
      <c r="A52" s="11">
        <v>188.01</v>
      </c>
      <c r="B52" s="13">
        <v>140</v>
      </c>
      <c r="C52" s="13">
        <v>200</v>
      </c>
      <c r="D52" s="13">
        <v>220</v>
      </c>
      <c r="E52" s="13">
        <v>290</v>
      </c>
      <c r="F52" s="1">
        <v>3148</v>
      </c>
      <c r="H52">
        <f t="shared" si="1"/>
        <v>4.4472681067344345E-2</v>
      </c>
      <c r="I52">
        <f t="shared" ref="I52:K52" si="51">C52/$F52</f>
        <v>6.353240152477764E-2</v>
      </c>
      <c r="J52">
        <f t="shared" si="51"/>
        <v>6.9885641677255403E-2</v>
      </c>
      <c r="K52">
        <f t="shared" si="51"/>
        <v>9.2121982210927572E-2</v>
      </c>
    </row>
    <row r="53" spans="1:11" ht="12.75">
      <c r="A53" s="11">
        <v>188.02</v>
      </c>
      <c r="B53" s="13">
        <v>145</v>
      </c>
      <c r="C53" s="13">
        <v>160</v>
      </c>
      <c r="D53" s="13">
        <v>235</v>
      </c>
      <c r="E53" s="13">
        <v>305</v>
      </c>
      <c r="F53" s="1">
        <v>2832</v>
      </c>
      <c r="H53">
        <f t="shared" si="1"/>
        <v>5.1200564971751412E-2</v>
      </c>
      <c r="I53">
        <f t="shared" ref="I53:K53" si="52">C53/$F53</f>
        <v>5.6497175141242938E-2</v>
      </c>
      <c r="J53">
        <f t="shared" si="52"/>
        <v>8.2980225988700571E-2</v>
      </c>
      <c r="K53">
        <f t="shared" si="52"/>
        <v>0.10769774011299435</v>
      </c>
    </row>
    <row r="54" spans="1:11" ht="12.75">
      <c r="A54" s="11">
        <v>189.07</v>
      </c>
      <c r="B54" s="13">
        <v>130</v>
      </c>
      <c r="C54" s="13">
        <v>165</v>
      </c>
      <c r="D54" s="13">
        <v>160</v>
      </c>
      <c r="E54" s="13">
        <v>165</v>
      </c>
      <c r="F54" s="1">
        <v>2487</v>
      </c>
      <c r="H54">
        <f t="shared" si="1"/>
        <v>5.227181342983514E-2</v>
      </c>
      <c r="I54">
        <f t="shared" ref="I54:K54" si="53">C54/$F54</f>
        <v>6.6344993968636912E-2</v>
      </c>
      <c r="J54">
        <f t="shared" si="53"/>
        <v>6.4334539605950938E-2</v>
      </c>
      <c r="K54">
        <f t="shared" si="53"/>
        <v>6.6344993968636912E-2</v>
      </c>
    </row>
    <row r="55" spans="1:11" ht="12.75">
      <c r="A55" s="11">
        <v>189.1</v>
      </c>
      <c r="B55" s="13">
        <v>395</v>
      </c>
      <c r="C55" s="13">
        <v>395</v>
      </c>
      <c r="D55" s="13">
        <v>505</v>
      </c>
      <c r="E55" s="13">
        <v>615</v>
      </c>
      <c r="F55" s="1">
        <v>6618</v>
      </c>
      <c r="H55">
        <f t="shared" si="1"/>
        <v>5.9685705651254153E-2</v>
      </c>
      <c r="I55">
        <f t="shared" ref="I55:K55" si="54">C55/$F55</f>
        <v>5.9685705651254153E-2</v>
      </c>
      <c r="J55">
        <f t="shared" si="54"/>
        <v>7.630704140223632E-2</v>
      </c>
      <c r="K55">
        <f t="shared" si="54"/>
        <v>9.29283771532185E-2</v>
      </c>
    </row>
    <row r="56" spans="1:11" ht="12.75">
      <c r="A56" s="11">
        <v>189.09</v>
      </c>
      <c r="B56" s="13">
        <v>170</v>
      </c>
      <c r="C56" s="13">
        <v>195</v>
      </c>
      <c r="D56" s="13">
        <v>305</v>
      </c>
      <c r="E56" s="13">
        <v>340</v>
      </c>
      <c r="F56" s="1">
        <v>4088</v>
      </c>
      <c r="H56">
        <f t="shared" si="1"/>
        <v>4.1585127201565555E-2</v>
      </c>
      <c r="I56">
        <f t="shared" ref="I56:K56" si="55">C56/$F56</f>
        <v>4.7700587084148725E-2</v>
      </c>
      <c r="J56">
        <f t="shared" si="55"/>
        <v>7.460861056751468E-2</v>
      </c>
      <c r="K56">
        <f t="shared" si="55"/>
        <v>8.3170254403131111E-2</v>
      </c>
    </row>
    <row r="57" spans="1:11" ht="12.75">
      <c r="A57" s="11">
        <v>188.08</v>
      </c>
      <c r="B57" s="13">
        <v>145</v>
      </c>
      <c r="C57" s="13">
        <v>205</v>
      </c>
      <c r="D57" s="13">
        <v>370</v>
      </c>
      <c r="E57" s="13">
        <v>450</v>
      </c>
      <c r="F57" s="1">
        <v>4046</v>
      </c>
      <c r="H57">
        <f t="shared" si="1"/>
        <v>3.5837864557587744E-2</v>
      </c>
      <c r="I57">
        <f t="shared" ref="I57:K57" si="56">C57/$F57</f>
        <v>5.0667325753830941E-2</v>
      </c>
      <c r="J57">
        <f t="shared" si="56"/>
        <v>9.1448344043499746E-2</v>
      </c>
      <c r="K57">
        <f t="shared" si="56"/>
        <v>0.11122095897182402</v>
      </c>
    </row>
    <row r="58" spans="1:11" ht="12.75">
      <c r="A58" s="11">
        <v>188.07</v>
      </c>
      <c r="B58" s="13">
        <v>205</v>
      </c>
      <c r="C58" s="13">
        <v>230</v>
      </c>
      <c r="D58" s="13">
        <v>370</v>
      </c>
      <c r="E58" s="13">
        <v>525</v>
      </c>
      <c r="F58" s="1">
        <v>4431</v>
      </c>
      <c r="H58">
        <f t="shared" si="1"/>
        <v>4.6264951478221621E-2</v>
      </c>
      <c r="I58">
        <f t="shared" ref="I58:K58" si="57">C58/$F58</f>
        <v>5.1907018731663285E-2</v>
      </c>
      <c r="J58">
        <f t="shared" si="57"/>
        <v>8.3502595350936584E-2</v>
      </c>
      <c r="K58">
        <f t="shared" si="57"/>
        <v>0.11848341232227488</v>
      </c>
    </row>
    <row r="59" spans="1:11" ht="12.75">
      <c r="A59" s="11">
        <v>188.04</v>
      </c>
      <c r="B59" s="13">
        <v>180</v>
      </c>
      <c r="C59" s="13">
        <v>260</v>
      </c>
      <c r="D59" s="13">
        <v>305</v>
      </c>
      <c r="E59" s="13">
        <v>400</v>
      </c>
      <c r="F59" s="1">
        <v>4108</v>
      </c>
      <c r="H59">
        <f t="shared" si="1"/>
        <v>4.3816942551119765E-2</v>
      </c>
      <c r="I59">
        <f t="shared" ref="I59:K59" si="58">C59/$F59</f>
        <v>6.3291139240506333E-2</v>
      </c>
      <c r="J59">
        <f t="shared" si="58"/>
        <v>7.4245374878286266E-2</v>
      </c>
      <c r="K59">
        <f t="shared" si="58"/>
        <v>9.7370983446932818E-2</v>
      </c>
    </row>
    <row r="60" spans="1:11" ht="12.75">
      <c r="A60" s="11">
        <v>187.12</v>
      </c>
      <c r="B60" s="13">
        <v>205</v>
      </c>
      <c r="C60" s="13">
        <v>260</v>
      </c>
      <c r="D60" s="13">
        <v>305</v>
      </c>
      <c r="E60" s="13">
        <v>320</v>
      </c>
      <c r="F60" s="1">
        <v>4270</v>
      </c>
      <c r="H60">
        <f t="shared" si="1"/>
        <v>4.8009367681498827E-2</v>
      </c>
      <c r="I60">
        <f t="shared" ref="I60:K60" si="59">C60/$F60</f>
        <v>6.0889929742388757E-2</v>
      </c>
      <c r="J60">
        <f t="shared" si="59"/>
        <v>7.1428571428571425E-2</v>
      </c>
      <c r="K60">
        <f t="shared" si="59"/>
        <v>7.4941451990632318E-2</v>
      </c>
    </row>
    <row r="61" spans="1:11" ht="12.75">
      <c r="A61" s="11">
        <v>187.06</v>
      </c>
      <c r="B61" s="13">
        <v>290</v>
      </c>
      <c r="C61" s="13">
        <v>385</v>
      </c>
      <c r="D61" s="13">
        <v>470</v>
      </c>
      <c r="E61" s="13">
        <v>560</v>
      </c>
      <c r="F61" s="1">
        <v>6777</v>
      </c>
      <c r="H61">
        <f t="shared" si="1"/>
        <v>4.2791795779843586E-2</v>
      </c>
      <c r="I61">
        <f t="shared" ref="I61:K61" si="60">C61/$F61</f>
        <v>5.6809797845654417E-2</v>
      </c>
      <c r="J61">
        <f t="shared" si="60"/>
        <v>6.9352220746643059E-2</v>
      </c>
      <c r="K61">
        <f t="shared" si="60"/>
        <v>8.2632433230042796E-2</v>
      </c>
    </row>
    <row r="62" spans="1:11" ht="12.75">
      <c r="A62" s="11">
        <v>187.13</v>
      </c>
      <c r="B62" s="13">
        <v>230</v>
      </c>
      <c r="C62" s="13">
        <v>220</v>
      </c>
      <c r="D62" s="13">
        <v>250</v>
      </c>
      <c r="E62" s="13">
        <v>300</v>
      </c>
      <c r="F62" s="1">
        <v>3842</v>
      </c>
      <c r="H62">
        <f t="shared" si="1"/>
        <v>5.9864653826132222E-2</v>
      </c>
      <c r="I62">
        <f t="shared" ref="I62:K62" si="61">C62/$F62</f>
        <v>5.726184279021343E-2</v>
      </c>
      <c r="J62">
        <f t="shared" si="61"/>
        <v>6.5070275897969806E-2</v>
      </c>
      <c r="K62">
        <f t="shared" si="61"/>
        <v>7.8084331077563768E-2</v>
      </c>
    </row>
    <row r="63" spans="1:11" ht="12.75">
      <c r="A63" s="11">
        <v>187.11</v>
      </c>
      <c r="B63" s="13">
        <v>370</v>
      </c>
      <c r="C63" s="13">
        <v>340</v>
      </c>
      <c r="D63" s="13">
        <v>335</v>
      </c>
      <c r="E63" s="13">
        <v>340</v>
      </c>
      <c r="F63" s="1">
        <v>4861</v>
      </c>
      <c r="H63">
        <f t="shared" si="1"/>
        <v>7.61160255091545E-2</v>
      </c>
      <c r="I63">
        <f t="shared" ref="I63:K63" si="62">C63/$F63</f>
        <v>6.9944455873277106E-2</v>
      </c>
      <c r="J63">
        <f t="shared" si="62"/>
        <v>6.8915860933964207E-2</v>
      </c>
      <c r="K63">
        <f t="shared" si="62"/>
        <v>6.9944455873277106E-2</v>
      </c>
    </row>
    <row r="64" spans="1:11" ht="12.75">
      <c r="A64" s="11">
        <v>187.07</v>
      </c>
      <c r="B64" s="13">
        <v>90</v>
      </c>
      <c r="C64" s="13">
        <v>100</v>
      </c>
      <c r="D64" s="13">
        <v>160</v>
      </c>
      <c r="E64" s="13">
        <v>170</v>
      </c>
      <c r="F64" s="1">
        <v>1932</v>
      </c>
      <c r="H64">
        <f t="shared" si="1"/>
        <v>4.6583850931677016E-2</v>
      </c>
      <c r="I64">
        <f t="shared" ref="I64:K64" si="63">C64/$F64</f>
        <v>5.1759834368530024E-2</v>
      </c>
      <c r="J64">
        <f t="shared" si="63"/>
        <v>8.2815734989648032E-2</v>
      </c>
      <c r="K64">
        <f t="shared" si="63"/>
        <v>8.7991718426501039E-2</v>
      </c>
    </row>
    <row r="65" spans="1:13" ht="12.75">
      <c r="A65" s="11">
        <v>187.15</v>
      </c>
      <c r="B65" s="13">
        <v>205</v>
      </c>
      <c r="C65" s="13">
        <v>240</v>
      </c>
      <c r="D65" s="13">
        <v>275</v>
      </c>
      <c r="E65" s="13">
        <v>310</v>
      </c>
      <c r="F65" s="1">
        <v>4066</v>
      </c>
      <c r="H65">
        <f t="shared" si="1"/>
        <v>5.0418101328086572E-2</v>
      </c>
      <c r="I65">
        <f t="shared" ref="I65:K65" si="64">C65/$F65</f>
        <v>5.9026069847515988E-2</v>
      </c>
      <c r="J65">
        <f t="shared" si="64"/>
        <v>6.7634038366945398E-2</v>
      </c>
      <c r="K65">
        <f t="shared" si="64"/>
        <v>7.6242006886374822E-2</v>
      </c>
    </row>
    <row r="66" spans="1:13" ht="12.75">
      <c r="A66" s="11">
        <v>187.14</v>
      </c>
      <c r="B66" s="13">
        <v>215</v>
      </c>
      <c r="C66" s="13">
        <v>190</v>
      </c>
      <c r="D66" s="13">
        <v>205</v>
      </c>
      <c r="E66" s="13">
        <v>155</v>
      </c>
      <c r="F66" s="1">
        <v>3404</v>
      </c>
      <c r="H66">
        <f t="shared" si="1"/>
        <v>6.3160987074030547E-2</v>
      </c>
      <c r="I66">
        <f t="shared" ref="I66:K66" si="65">C66/$F66</f>
        <v>5.5816686251468857E-2</v>
      </c>
      <c r="J66">
        <f t="shared" si="65"/>
        <v>6.0223266745005874E-2</v>
      </c>
      <c r="K66">
        <f t="shared" si="65"/>
        <v>4.5534665099882493E-2</v>
      </c>
    </row>
    <row r="67" spans="1:13" ht="12.75">
      <c r="A67" s="11">
        <v>187.16</v>
      </c>
      <c r="B67" s="13">
        <v>155</v>
      </c>
      <c r="C67" s="13">
        <v>200</v>
      </c>
      <c r="D67" s="13">
        <v>250</v>
      </c>
      <c r="E67" s="13">
        <v>275</v>
      </c>
      <c r="F67" s="1">
        <v>2972</v>
      </c>
      <c r="H67">
        <f t="shared" si="1"/>
        <v>5.2153432032301481E-2</v>
      </c>
      <c r="I67">
        <f t="shared" ref="I67:K67" si="66">C67/$F67</f>
        <v>6.7294751009421269E-2</v>
      </c>
      <c r="J67">
        <f t="shared" si="66"/>
        <v>8.4118438761776576E-2</v>
      </c>
      <c r="K67">
        <f t="shared" si="66"/>
        <v>9.2530282637954236E-2</v>
      </c>
    </row>
    <row r="68" spans="1:13" ht="12.75">
      <c r="A68" s="11">
        <v>182.04</v>
      </c>
      <c r="B68" s="13">
        <v>55</v>
      </c>
      <c r="C68" s="13">
        <v>90</v>
      </c>
      <c r="D68" s="13">
        <v>140</v>
      </c>
      <c r="E68" s="13">
        <v>160</v>
      </c>
      <c r="F68" s="1">
        <v>1731</v>
      </c>
      <c r="H68">
        <f t="shared" si="1"/>
        <v>3.1773541305603697E-2</v>
      </c>
      <c r="I68">
        <f t="shared" ref="I68:K68" si="67">C68/$F68</f>
        <v>5.1993067590987867E-2</v>
      </c>
      <c r="J68">
        <f t="shared" si="67"/>
        <v>8.0878105141536691E-2</v>
      </c>
      <c r="K68">
        <f t="shared" si="67"/>
        <v>9.2432120161756212E-2</v>
      </c>
    </row>
    <row r="69" spans="1:13" ht="12.75">
      <c r="A69" s="11">
        <v>182.05</v>
      </c>
      <c r="B69" s="13">
        <v>375</v>
      </c>
      <c r="C69" s="13">
        <v>380</v>
      </c>
      <c r="D69" s="13">
        <v>390</v>
      </c>
      <c r="E69" s="13">
        <v>435</v>
      </c>
      <c r="F69" s="1">
        <v>6539</v>
      </c>
      <c r="H69">
        <f t="shared" si="1"/>
        <v>5.7348218382015599E-2</v>
      </c>
      <c r="I69">
        <f t="shared" ref="I69:K69" si="68">C69/$F69</f>
        <v>5.8112861293775804E-2</v>
      </c>
      <c r="J69">
        <f t="shared" si="68"/>
        <v>5.9642147117296221E-2</v>
      </c>
      <c r="K69">
        <f t="shared" si="68"/>
        <v>6.6523933323138093E-2</v>
      </c>
    </row>
    <row r="70" spans="1:13" ht="12.75">
      <c r="A70" s="11">
        <v>182.02</v>
      </c>
      <c r="B70" s="13">
        <v>555</v>
      </c>
      <c r="C70" s="13">
        <v>540</v>
      </c>
      <c r="D70" s="13">
        <v>445</v>
      </c>
      <c r="E70" s="13">
        <v>340</v>
      </c>
      <c r="F70" s="1">
        <v>5604</v>
      </c>
      <c r="H70">
        <f t="shared" si="1"/>
        <v>9.9036402569593146E-2</v>
      </c>
      <c r="I70">
        <f t="shared" ref="I70:K70" si="69">C70/$F70</f>
        <v>9.6359743040685231E-2</v>
      </c>
      <c r="J70">
        <f t="shared" si="69"/>
        <v>7.9407566024268378E-2</v>
      </c>
      <c r="K70">
        <f t="shared" si="69"/>
        <v>6.0670949321912922E-2</v>
      </c>
    </row>
    <row r="71" spans="1:13" ht="12.75">
      <c r="A71" s="11">
        <v>183.01</v>
      </c>
      <c r="B71" s="13">
        <v>405</v>
      </c>
      <c r="C71" s="13">
        <v>415</v>
      </c>
      <c r="D71" s="13">
        <v>480</v>
      </c>
      <c r="E71" s="13">
        <v>505</v>
      </c>
      <c r="F71" s="1">
        <v>6161</v>
      </c>
      <c r="H71">
        <f t="shared" si="1"/>
        <v>6.57360818049018E-2</v>
      </c>
      <c r="I71">
        <f t="shared" ref="I71:K71" si="70">C71/$F71</f>
        <v>6.7359194935887032E-2</v>
      </c>
      <c r="J71">
        <f t="shared" si="70"/>
        <v>7.7909430287291026E-2</v>
      </c>
      <c r="K71">
        <f t="shared" si="70"/>
        <v>8.1967213114754092E-2</v>
      </c>
    </row>
    <row r="72" spans="1:13" ht="12.75">
      <c r="A72" s="11">
        <v>183.03</v>
      </c>
      <c r="B72" s="13">
        <v>315</v>
      </c>
      <c r="C72" s="13">
        <v>340</v>
      </c>
      <c r="D72" s="13">
        <v>325</v>
      </c>
      <c r="E72" s="13">
        <v>400</v>
      </c>
      <c r="F72" s="1">
        <v>5922</v>
      </c>
      <c r="H72">
        <f t="shared" si="1"/>
        <v>5.3191489361702128E-2</v>
      </c>
      <c r="I72">
        <f t="shared" ref="I72:K72" si="71">C72/$F72</f>
        <v>5.7413036136440394E-2</v>
      </c>
      <c r="J72">
        <f t="shared" si="71"/>
        <v>5.4880108071597433E-2</v>
      </c>
      <c r="K72">
        <f t="shared" si="71"/>
        <v>6.7544748395812232E-2</v>
      </c>
    </row>
    <row r="73" spans="1:13" ht="12.75">
      <c r="A73" s="11">
        <v>183.05</v>
      </c>
      <c r="B73" s="13">
        <v>840</v>
      </c>
      <c r="C73" s="13">
        <v>815</v>
      </c>
      <c r="D73" s="13">
        <v>690</v>
      </c>
      <c r="E73" s="13">
        <v>615</v>
      </c>
      <c r="F73" s="1">
        <v>9377</v>
      </c>
      <c r="H73">
        <f t="shared" si="1"/>
        <v>8.9580889410259143E-2</v>
      </c>
      <c r="I73">
        <f t="shared" ref="I73:K73" si="72">C73/$F73</f>
        <v>8.6914791511144285E-2</v>
      </c>
      <c r="J73">
        <f t="shared" si="72"/>
        <v>7.3584302015570008E-2</v>
      </c>
      <c r="K73">
        <f t="shared" si="72"/>
        <v>6.5586008318225447E-2</v>
      </c>
    </row>
    <row r="74" spans="1:13" ht="12.75">
      <c r="A74" s="11">
        <v>183.07</v>
      </c>
      <c r="B74" s="13">
        <v>305</v>
      </c>
      <c r="C74" s="13">
        <v>345</v>
      </c>
      <c r="D74" s="13">
        <v>425</v>
      </c>
      <c r="E74" s="13">
        <v>455</v>
      </c>
      <c r="F74" s="1">
        <v>6474</v>
      </c>
      <c r="H74">
        <f t="shared" si="1"/>
        <v>4.711152301513747E-2</v>
      </c>
      <c r="I74">
        <f t="shared" ref="I74:K74" si="73">C74/$F74</f>
        <v>5.3290083410565341E-2</v>
      </c>
      <c r="J74">
        <f t="shared" si="73"/>
        <v>6.5647204201421075E-2</v>
      </c>
      <c r="K74">
        <f t="shared" si="73"/>
        <v>7.0281124497991967E-2</v>
      </c>
    </row>
    <row r="75" spans="1:13" ht="12.75">
      <c r="A75" s="11">
        <v>183.06</v>
      </c>
      <c r="B75" s="13">
        <v>150</v>
      </c>
      <c r="C75" s="13">
        <v>130</v>
      </c>
      <c r="D75" s="13">
        <v>140</v>
      </c>
      <c r="E75" s="13">
        <v>135</v>
      </c>
      <c r="F75" s="1">
        <v>2356</v>
      </c>
      <c r="H75">
        <f t="shared" si="1"/>
        <v>6.3667232597623094E-2</v>
      </c>
      <c r="I75">
        <f t="shared" ref="I75:K75" si="74">C75/$F75</f>
        <v>5.5178268251273345E-2</v>
      </c>
      <c r="J75">
        <f t="shared" si="74"/>
        <v>5.9422750424448216E-2</v>
      </c>
      <c r="K75">
        <f t="shared" si="74"/>
        <v>5.730050933786078E-2</v>
      </c>
    </row>
    <row r="76" spans="1:13" ht="12.75">
      <c r="A76" s="11">
        <v>183.08</v>
      </c>
      <c r="B76" s="26">
        <v>750</v>
      </c>
      <c r="C76" s="26">
        <v>445</v>
      </c>
      <c r="D76" s="26">
        <v>360</v>
      </c>
      <c r="E76" s="26">
        <v>323</v>
      </c>
      <c r="F76" s="26">
        <v>7017</v>
      </c>
      <c r="G76" s="26"/>
      <c r="H76">
        <f t="shared" si="1"/>
        <v>0.10688328345446772</v>
      </c>
      <c r="I76">
        <f t="shared" ref="I76:K76" si="75">C76/$F76</f>
        <v>6.3417414849650841E-2</v>
      </c>
      <c r="J76">
        <f t="shared" si="75"/>
        <v>5.1303976058144504E-2</v>
      </c>
      <c r="K76">
        <f t="shared" si="75"/>
        <v>4.6031067407724099E-2</v>
      </c>
      <c r="L76" s="1">
        <f>SUM(B76:D76)</f>
        <v>1555</v>
      </c>
      <c r="M76" s="1"/>
    </row>
    <row r="77" spans="1:13" ht="12.75">
      <c r="A77" s="21">
        <v>183.09</v>
      </c>
      <c r="B77" s="26">
        <v>750</v>
      </c>
      <c r="C77" s="26">
        <v>445</v>
      </c>
      <c r="D77" s="26">
        <v>360</v>
      </c>
      <c r="E77" s="26">
        <v>322</v>
      </c>
      <c r="F77" s="26">
        <v>7017</v>
      </c>
      <c r="H77">
        <f t="shared" si="1"/>
        <v>0.10688328345446772</v>
      </c>
      <c r="I77">
        <f t="shared" ref="I77:K77" si="76">C77/$F77</f>
        <v>6.3417414849650841E-2</v>
      </c>
      <c r="J77">
        <f t="shared" si="76"/>
        <v>5.1303976058144504E-2</v>
      </c>
      <c r="K77">
        <f t="shared" si="76"/>
        <v>4.5888556363118144E-2</v>
      </c>
    </row>
    <row r="78" spans="1:13" ht="12.75">
      <c r="A78" s="11">
        <v>182.06</v>
      </c>
      <c r="B78" s="13">
        <v>45</v>
      </c>
      <c r="C78" s="13">
        <v>70</v>
      </c>
      <c r="D78" s="13">
        <v>90</v>
      </c>
      <c r="E78" s="13">
        <v>100</v>
      </c>
      <c r="F78" s="1">
        <v>1180</v>
      </c>
      <c r="H78">
        <f t="shared" si="1"/>
        <v>3.8135593220338986E-2</v>
      </c>
      <c r="I78">
        <f t="shared" ref="I78:K78" si="77">C78/$F78</f>
        <v>5.9322033898305086E-2</v>
      </c>
      <c r="J78">
        <f t="shared" si="77"/>
        <v>7.6271186440677971E-2</v>
      </c>
      <c r="K78">
        <f t="shared" si="77"/>
        <v>8.4745762711864403E-2</v>
      </c>
    </row>
    <row r="79" spans="1:13" ht="12.75">
      <c r="A79" s="11">
        <v>188.06</v>
      </c>
      <c r="B79" s="13">
        <v>65</v>
      </c>
      <c r="C79" s="13">
        <v>70</v>
      </c>
      <c r="D79" s="13">
        <v>95</v>
      </c>
      <c r="E79" s="13">
        <v>90</v>
      </c>
      <c r="F79" s="1">
        <v>1184</v>
      </c>
      <c r="H79">
        <f t="shared" si="1"/>
        <v>5.489864864864865E-2</v>
      </c>
      <c r="I79">
        <f t="shared" ref="I79:K79" si="78">C79/$F79</f>
        <v>5.9121621621621621E-2</v>
      </c>
      <c r="J79">
        <f t="shared" si="78"/>
        <v>8.0236486486486486E-2</v>
      </c>
      <c r="K79">
        <f t="shared" si="78"/>
        <v>7.6013513513513514E-2</v>
      </c>
    </row>
    <row r="80" spans="1:13" ht="12.75">
      <c r="A80" s="11">
        <v>188.05</v>
      </c>
      <c r="B80" s="13">
        <v>115</v>
      </c>
      <c r="C80" s="13">
        <v>160</v>
      </c>
      <c r="D80" s="13">
        <v>205</v>
      </c>
      <c r="E80" s="13">
        <v>275</v>
      </c>
      <c r="F80" s="1">
        <v>2687</v>
      </c>
      <c r="H80">
        <f t="shared" si="1"/>
        <v>4.2798660215854115E-2</v>
      </c>
      <c r="I80">
        <f t="shared" ref="I80:K80" si="79">C80/$F80</f>
        <v>5.9545962039449202E-2</v>
      </c>
      <c r="J80">
        <f t="shared" si="79"/>
        <v>7.6293263863044289E-2</v>
      </c>
      <c r="K80">
        <f t="shared" si="79"/>
        <v>0.10234462225530332</v>
      </c>
    </row>
    <row r="81" spans="1:13" ht="12.75">
      <c r="A81" s="11">
        <v>182.01</v>
      </c>
      <c r="B81" s="13">
        <v>210</v>
      </c>
      <c r="C81" s="13">
        <v>245</v>
      </c>
      <c r="D81" s="13">
        <v>275</v>
      </c>
      <c r="E81" s="13">
        <v>295</v>
      </c>
      <c r="F81" s="1">
        <v>4160</v>
      </c>
      <c r="H81">
        <f t="shared" si="1"/>
        <v>5.0480769230769232E-2</v>
      </c>
      <c r="I81">
        <f t="shared" ref="I81:K81" si="80">C81/$F81</f>
        <v>5.8894230769230768E-2</v>
      </c>
      <c r="J81">
        <f t="shared" si="80"/>
        <v>6.6105769230769232E-2</v>
      </c>
      <c r="K81">
        <f t="shared" si="80"/>
        <v>7.0913461538461536E-2</v>
      </c>
    </row>
    <row r="82" spans="1:13" ht="12.75">
      <c r="A82" s="11">
        <v>180.01</v>
      </c>
      <c r="B82" s="13">
        <v>490</v>
      </c>
      <c r="C82" s="13">
        <v>535</v>
      </c>
      <c r="D82" s="13">
        <v>455</v>
      </c>
      <c r="E82" s="13">
        <v>435</v>
      </c>
      <c r="F82" s="1">
        <v>6910</v>
      </c>
      <c r="H82">
        <f t="shared" si="1"/>
        <v>7.0911722141823438E-2</v>
      </c>
      <c r="I82">
        <f t="shared" ref="I82:K82" si="81">C82/$F82</f>
        <v>7.7424023154848046E-2</v>
      </c>
      <c r="J82">
        <f t="shared" si="81"/>
        <v>6.5846599131693204E-2</v>
      </c>
      <c r="K82">
        <f t="shared" si="81"/>
        <v>6.2952243125904486E-2</v>
      </c>
    </row>
    <row r="83" spans="1:13" ht="12.75">
      <c r="A83" s="11">
        <v>180.04</v>
      </c>
      <c r="B83" s="26">
        <v>325</v>
      </c>
      <c r="C83" s="26">
        <v>280</v>
      </c>
      <c r="D83" s="26">
        <v>343</v>
      </c>
      <c r="E83" s="26">
        <v>368</v>
      </c>
      <c r="F83" s="26">
        <v>6004</v>
      </c>
      <c r="G83" s="26"/>
      <c r="H83">
        <f t="shared" si="1"/>
        <v>5.413057961359094E-2</v>
      </c>
      <c r="I83">
        <f t="shared" ref="I83:K83" si="82">C83/$F83</f>
        <v>4.6635576282478344E-2</v>
      </c>
      <c r="J83">
        <f t="shared" si="82"/>
        <v>5.7128580946035977E-2</v>
      </c>
      <c r="K83">
        <f t="shared" si="82"/>
        <v>6.1292471685542971E-2</v>
      </c>
      <c r="L83" s="1"/>
      <c r="M83" s="1"/>
    </row>
    <row r="84" spans="1:13" ht="12.75">
      <c r="A84" s="11">
        <v>180.03</v>
      </c>
      <c r="B84" s="26">
        <v>325</v>
      </c>
      <c r="C84" s="26">
        <v>280</v>
      </c>
      <c r="D84" s="26">
        <v>342</v>
      </c>
      <c r="E84" s="26">
        <v>367</v>
      </c>
      <c r="F84" s="26">
        <v>6003</v>
      </c>
      <c r="H84">
        <f t="shared" si="1"/>
        <v>5.4139596868232553E-2</v>
      </c>
      <c r="I84">
        <f t="shared" ref="I84:K84" si="83">C84/$F84</f>
        <v>4.6643344994169583E-2</v>
      </c>
      <c r="J84">
        <f t="shared" si="83"/>
        <v>5.6971514242878558E-2</v>
      </c>
      <c r="K84">
        <f t="shared" si="83"/>
        <v>6.1136098617357991E-2</v>
      </c>
    </row>
    <row r="85" spans="1:13" ht="12.75">
      <c r="A85" s="11">
        <v>181.13</v>
      </c>
      <c r="B85" s="13">
        <v>110</v>
      </c>
      <c r="C85" s="13">
        <v>125</v>
      </c>
      <c r="D85" s="13">
        <v>175</v>
      </c>
      <c r="E85" s="13">
        <v>210</v>
      </c>
      <c r="F85" s="1">
        <v>3274</v>
      </c>
      <c r="H85">
        <f t="shared" si="1"/>
        <v>3.3598045204642636E-2</v>
      </c>
      <c r="I85">
        <f t="shared" ref="I85:K85" si="84">C85/$F85</f>
        <v>3.8179596823457541E-2</v>
      </c>
      <c r="J85">
        <f t="shared" si="84"/>
        <v>5.3451435552840564E-2</v>
      </c>
      <c r="K85">
        <f t="shared" si="84"/>
        <v>6.4141722663408673E-2</v>
      </c>
    </row>
    <row r="86" spans="1:13" ht="12.75">
      <c r="A86" s="11">
        <v>181.12</v>
      </c>
      <c r="B86" s="13">
        <v>100</v>
      </c>
      <c r="C86" s="13">
        <v>155</v>
      </c>
      <c r="D86" s="13">
        <v>215</v>
      </c>
      <c r="E86" s="13">
        <v>225</v>
      </c>
      <c r="F86" s="1">
        <v>2884</v>
      </c>
      <c r="H86">
        <f t="shared" si="1"/>
        <v>3.4674063800277391E-2</v>
      </c>
      <c r="I86">
        <f t="shared" ref="I86:K86" si="85">C86/$F86</f>
        <v>5.3744798890429955E-2</v>
      </c>
      <c r="J86">
        <f t="shared" si="85"/>
        <v>7.4549237170596389E-2</v>
      </c>
      <c r="K86">
        <f t="shared" si="85"/>
        <v>7.8016643550624126E-2</v>
      </c>
    </row>
    <row r="87" spans="1:13" ht="12.75">
      <c r="A87" s="11">
        <v>181.14</v>
      </c>
      <c r="B87" s="13">
        <v>205</v>
      </c>
      <c r="C87" s="13">
        <v>170</v>
      </c>
      <c r="D87" s="13">
        <v>190</v>
      </c>
      <c r="E87" s="13">
        <v>215</v>
      </c>
      <c r="F87" s="1">
        <v>3706</v>
      </c>
      <c r="H87">
        <f t="shared" si="1"/>
        <v>5.5315704263356719E-2</v>
      </c>
      <c r="I87">
        <f t="shared" ref="I87:K87" si="86">C87/$F87</f>
        <v>4.5871559633027525E-2</v>
      </c>
      <c r="J87">
        <f t="shared" si="86"/>
        <v>5.1268213707501349E-2</v>
      </c>
      <c r="K87">
        <f t="shared" si="86"/>
        <v>5.8014031300593634E-2</v>
      </c>
    </row>
    <row r="88" spans="1:13" ht="12.75">
      <c r="A88" s="11">
        <v>181.1</v>
      </c>
      <c r="B88" s="13">
        <v>145</v>
      </c>
      <c r="C88" s="13">
        <v>220</v>
      </c>
      <c r="D88" s="13">
        <v>280</v>
      </c>
      <c r="E88" s="13">
        <v>410</v>
      </c>
      <c r="F88" s="1">
        <v>5189</v>
      </c>
      <c r="H88">
        <f t="shared" si="1"/>
        <v>2.7943727115051071E-2</v>
      </c>
      <c r="I88">
        <f t="shared" ref="I88:K88" si="87">C88/$F88</f>
        <v>4.2397379071111969E-2</v>
      </c>
      <c r="J88">
        <f t="shared" si="87"/>
        <v>5.3960300635960683E-2</v>
      </c>
      <c r="K88">
        <f t="shared" si="87"/>
        <v>7.9013297359799575E-2</v>
      </c>
    </row>
    <row r="89" spans="1:13" ht="12.75">
      <c r="A89" s="11">
        <v>181.11</v>
      </c>
      <c r="B89" s="13">
        <v>85</v>
      </c>
      <c r="C89" s="13">
        <v>80</v>
      </c>
      <c r="D89" s="13">
        <v>115</v>
      </c>
      <c r="E89" s="13">
        <v>175</v>
      </c>
      <c r="F89" s="1">
        <v>2639</v>
      </c>
      <c r="H89">
        <f t="shared" si="1"/>
        <v>3.2209170140204621E-2</v>
      </c>
      <c r="I89">
        <f t="shared" ref="I89:K89" si="88">C89/$F89</f>
        <v>3.0314513073133764E-2</v>
      </c>
      <c r="J89">
        <f t="shared" si="88"/>
        <v>4.3577112542629783E-2</v>
      </c>
      <c r="K89">
        <f t="shared" si="88"/>
        <v>6.6312997347480113E-2</v>
      </c>
    </row>
    <row r="90" spans="1:13" ht="12.75">
      <c r="A90" s="11">
        <v>181.09</v>
      </c>
      <c r="B90" s="13">
        <v>195</v>
      </c>
      <c r="C90" s="13">
        <v>310</v>
      </c>
      <c r="D90" s="13">
        <v>505</v>
      </c>
      <c r="E90" s="13">
        <v>580</v>
      </c>
      <c r="F90" s="1">
        <v>6411</v>
      </c>
      <c r="H90">
        <f t="shared" si="1"/>
        <v>3.0416471689284044E-2</v>
      </c>
      <c r="I90">
        <f t="shared" ref="I90:K90" si="89">C90/$F90</f>
        <v>4.8354390890656684E-2</v>
      </c>
      <c r="J90">
        <f t="shared" si="89"/>
        <v>7.8770862579940731E-2</v>
      </c>
      <c r="K90">
        <f t="shared" si="89"/>
        <v>9.0469505537357664E-2</v>
      </c>
    </row>
    <row r="91" spans="1:13" ht="12.75">
      <c r="A91" s="11">
        <v>181.03</v>
      </c>
      <c r="B91" s="13">
        <v>220</v>
      </c>
      <c r="C91" s="13">
        <v>265</v>
      </c>
      <c r="D91" s="13">
        <v>395</v>
      </c>
      <c r="E91" s="13">
        <v>445</v>
      </c>
      <c r="F91" s="1">
        <v>5413</v>
      </c>
      <c r="H91">
        <f t="shared" si="1"/>
        <v>4.0642896730094219E-2</v>
      </c>
      <c r="I91">
        <f t="shared" ref="I91:K91" si="90">C91/$F91</f>
        <v>4.8956216515795306E-2</v>
      </c>
      <c r="J91">
        <f t="shared" si="90"/>
        <v>7.2972473674487351E-2</v>
      </c>
      <c r="K91">
        <f t="shared" si="90"/>
        <v>8.2209495658599668E-2</v>
      </c>
    </row>
    <row r="92" spans="1:13" ht="12.75">
      <c r="A92" s="11">
        <v>181.07</v>
      </c>
      <c r="B92" s="13">
        <v>145</v>
      </c>
      <c r="C92" s="13">
        <v>185</v>
      </c>
      <c r="D92" s="13">
        <v>240</v>
      </c>
      <c r="E92" s="13">
        <v>270</v>
      </c>
      <c r="F92" s="1">
        <v>3558</v>
      </c>
      <c r="H92">
        <f t="shared" si="1"/>
        <v>4.0753232152894885E-2</v>
      </c>
      <c r="I92">
        <f t="shared" ref="I92:K92" si="91">C92/$F92</f>
        <v>5.1995503091624505E-2</v>
      </c>
      <c r="J92">
        <f t="shared" si="91"/>
        <v>6.7453625632377737E-2</v>
      </c>
      <c r="K92">
        <f t="shared" si="91"/>
        <v>7.5885328836424959E-2</v>
      </c>
    </row>
    <row r="93" spans="1:13" ht="12.75">
      <c r="A93" s="11">
        <v>181.08</v>
      </c>
      <c r="B93" s="13">
        <v>120</v>
      </c>
      <c r="C93" s="13">
        <v>155</v>
      </c>
      <c r="D93" s="13">
        <v>155</v>
      </c>
      <c r="E93" s="13">
        <v>170</v>
      </c>
      <c r="F93" s="1">
        <v>2562</v>
      </c>
      <c r="H93">
        <f t="shared" si="1"/>
        <v>4.6838407494145202E-2</v>
      </c>
      <c r="I93">
        <f t="shared" ref="I93:K93" si="92">C93/$F93</f>
        <v>6.0499609679937547E-2</v>
      </c>
      <c r="J93">
        <f t="shared" si="92"/>
        <v>6.0499609679937547E-2</v>
      </c>
      <c r="K93">
        <f t="shared" si="92"/>
        <v>6.6354410616705703E-2</v>
      </c>
    </row>
    <row r="94" spans="1:13" ht="12.75">
      <c r="A94" s="11">
        <v>170.04</v>
      </c>
      <c r="B94" s="13">
        <v>150</v>
      </c>
      <c r="C94" s="13">
        <v>185</v>
      </c>
      <c r="D94" s="13">
        <v>235</v>
      </c>
      <c r="E94" s="13">
        <v>285</v>
      </c>
      <c r="F94" s="1">
        <v>5369</v>
      </c>
      <c r="H94">
        <f t="shared" si="1"/>
        <v>2.7938163531383869E-2</v>
      </c>
      <c r="I94">
        <f t="shared" ref="I94:K94" si="93">C94/$F94</f>
        <v>3.4457068355373439E-2</v>
      </c>
      <c r="J94">
        <f t="shared" si="93"/>
        <v>4.3769789532501394E-2</v>
      </c>
      <c r="K94">
        <f t="shared" si="93"/>
        <v>5.3082510709629355E-2</v>
      </c>
    </row>
    <row r="95" spans="1:13" ht="12.75">
      <c r="A95" s="11">
        <v>170.03</v>
      </c>
      <c r="B95" s="13">
        <v>50</v>
      </c>
      <c r="C95" s="13">
        <v>30</v>
      </c>
      <c r="D95" s="13">
        <v>65</v>
      </c>
      <c r="E95" s="13">
        <v>80</v>
      </c>
      <c r="F95" s="1">
        <v>3851</v>
      </c>
      <c r="H95">
        <f t="shared" si="1"/>
        <v>1.2983640612827837E-2</v>
      </c>
      <c r="I95">
        <f t="shared" ref="I95:K95" si="94">C95/$F95</f>
        <v>7.7901843676967024E-3</v>
      </c>
      <c r="J95">
        <f t="shared" si="94"/>
        <v>1.6878732796676187E-2</v>
      </c>
      <c r="K95">
        <f t="shared" si="94"/>
        <v>2.077382498052454E-2</v>
      </c>
    </row>
    <row r="96" spans="1:13" ht="12.75">
      <c r="A96" s="11">
        <v>170.05</v>
      </c>
      <c r="B96" s="13">
        <v>45</v>
      </c>
      <c r="C96" s="13">
        <v>40</v>
      </c>
      <c r="D96" s="13">
        <v>45</v>
      </c>
      <c r="E96" s="13">
        <v>50</v>
      </c>
      <c r="F96" s="1">
        <v>2418</v>
      </c>
      <c r="H96">
        <f t="shared" si="1"/>
        <v>1.8610421836228287E-2</v>
      </c>
      <c r="I96">
        <f t="shared" ref="I96:K96" si="95">C96/$F96</f>
        <v>1.6542597187758478E-2</v>
      </c>
      <c r="J96">
        <f t="shared" si="95"/>
        <v>1.8610421836228287E-2</v>
      </c>
      <c r="K96">
        <f t="shared" si="95"/>
        <v>2.0678246484698098E-2</v>
      </c>
    </row>
    <row r="97" spans="1:13" ht="12.75">
      <c r="A97" s="11">
        <v>170.08</v>
      </c>
      <c r="B97" s="13">
        <v>120</v>
      </c>
      <c r="C97" s="13">
        <v>105</v>
      </c>
      <c r="D97" s="13">
        <v>125</v>
      </c>
      <c r="E97" s="13">
        <v>170</v>
      </c>
      <c r="F97" s="1">
        <v>3692</v>
      </c>
      <c r="H97">
        <f t="shared" si="1"/>
        <v>3.2502708559046585E-2</v>
      </c>
      <c r="I97">
        <f t="shared" ref="I97:K97" si="96">C97/$F97</f>
        <v>2.8439869989165763E-2</v>
      </c>
      <c r="J97">
        <f t="shared" si="96"/>
        <v>3.3856988082340195E-2</v>
      </c>
      <c r="K97">
        <f t="shared" si="96"/>
        <v>4.6045503791982668E-2</v>
      </c>
    </row>
    <row r="98" spans="1:13" ht="12.75">
      <c r="A98" s="11">
        <v>170.07</v>
      </c>
      <c r="B98" s="13">
        <v>210</v>
      </c>
      <c r="C98" s="13">
        <v>185</v>
      </c>
      <c r="D98" s="13">
        <v>205</v>
      </c>
      <c r="E98" s="13">
        <v>210</v>
      </c>
      <c r="F98" s="1">
        <v>4009</v>
      </c>
      <c r="H98">
        <f t="shared" si="1"/>
        <v>5.2382140184584682E-2</v>
      </c>
      <c r="I98">
        <f t="shared" ref="I98:K98" si="97">C98/$F98</f>
        <v>4.6146171114991266E-2</v>
      </c>
      <c r="J98">
        <f t="shared" si="97"/>
        <v>5.1134946370665998E-2</v>
      </c>
      <c r="K98">
        <f t="shared" si="97"/>
        <v>5.2382140184584682E-2</v>
      </c>
    </row>
    <row r="99" spans="1:13" ht="12.75">
      <c r="A99" s="11">
        <v>181.05</v>
      </c>
      <c r="B99" s="13">
        <v>270</v>
      </c>
      <c r="C99" s="13">
        <v>280</v>
      </c>
      <c r="D99" s="13">
        <v>325</v>
      </c>
      <c r="E99" s="13">
        <v>395</v>
      </c>
      <c r="F99" s="1">
        <v>7466</v>
      </c>
      <c r="H99">
        <f t="shared" si="1"/>
        <v>3.6163943209215108E-2</v>
      </c>
      <c r="I99">
        <f t="shared" ref="I99:K99" si="98">C99/$F99</f>
        <v>3.7503348513260114E-2</v>
      </c>
      <c r="J99">
        <f t="shared" si="98"/>
        <v>4.3530672381462632E-2</v>
      </c>
      <c r="K99">
        <f t="shared" si="98"/>
        <v>5.2906509509777662E-2</v>
      </c>
    </row>
    <row r="100" spans="1:13" ht="12.75">
      <c r="A100" s="11">
        <v>181.16</v>
      </c>
      <c r="B100" s="26">
        <v>83</v>
      </c>
      <c r="C100" s="26">
        <v>110</v>
      </c>
      <c r="D100" s="26">
        <v>115</v>
      </c>
      <c r="E100" s="26">
        <v>153</v>
      </c>
      <c r="F100" s="1">
        <v>2561</v>
      </c>
      <c r="G100" s="1"/>
      <c r="H100">
        <f t="shared" si="1"/>
        <v>3.2409215150331905E-2</v>
      </c>
      <c r="I100">
        <f t="shared" ref="I100:K100" si="99">C100/$F100</f>
        <v>4.2951971885982036E-2</v>
      </c>
      <c r="J100">
        <f t="shared" si="99"/>
        <v>4.4904334244435767E-2</v>
      </c>
      <c r="K100">
        <f t="shared" si="99"/>
        <v>5.9742288168684106E-2</v>
      </c>
      <c r="L100" s="1"/>
    </row>
    <row r="101" spans="1:13" ht="12.75">
      <c r="A101" s="11">
        <v>181.15</v>
      </c>
      <c r="B101" s="26">
        <v>82</v>
      </c>
      <c r="C101" s="26">
        <v>110</v>
      </c>
      <c r="D101" s="26">
        <v>115</v>
      </c>
      <c r="E101" s="26">
        <v>152</v>
      </c>
      <c r="F101">
        <v>2561</v>
      </c>
      <c r="H101">
        <f t="shared" si="1"/>
        <v>3.2018742678641153E-2</v>
      </c>
      <c r="I101">
        <f t="shared" ref="I101:K101" si="100">C101/$F101</f>
        <v>4.2951971885982036E-2</v>
      </c>
      <c r="J101">
        <f t="shared" si="100"/>
        <v>4.4904334244435767E-2</v>
      </c>
      <c r="K101">
        <f t="shared" si="100"/>
        <v>5.9351815696993361E-2</v>
      </c>
    </row>
    <row r="102" spans="1:13" ht="12.75">
      <c r="A102" s="1">
        <v>185.05</v>
      </c>
      <c r="B102" s="1">
        <v>385</v>
      </c>
      <c r="C102" s="1">
        <v>375</v>
      </c>
      <c r="D102" s="1">
        <v>480</v>
      </c>
      <c r="E102" s="1">
        <v>530</v>
      </c>
      <c r="F102" s="1">
        <v>5750</v>
      </c>
      <c r="H102">
        <f t="shared" ref="H102:K102" si="101">B102/$F$102</f>
        <v>6.6956521739130428E-2</v>
      </c>
      <c r="I102">
        <f t="shared" si="101"/>
        <v>6.5217391304347824E-2</v>
      </c>
      <c r="J102">
        <f t="shared" si="101"/>
        <v>8.3478260869565224E-2</v>
      </c>
      <c r="K102">
        <f t="shared" si="101"/>
        <v>9.2173913043478259E-2</v>
      </c>
    </row>
    <row r="103" spans="1:13" ht="12.75">
      <c r="H103">
        <f t="shared" ref="H103:K103" si="102">SUM(H2:H102)/101</f>
        <v>5.7738114231932869E-2</v>
      </c>
      <c r="I103">
        <f t="shared" si="102"/>
        <v>5.8259341318379752E-2</v>
      </c>
      <c r="J103">
        <f t="shared" si="102"/>
        <v>6.4161221314274985E-2</v>
      </c>
      <c r="K103">
        <f t="shared" si="102"/>
        <v>7.0564581663669509E-2</v>
      </c>
      <c r="L103">
        <f>I103+0.6*J103</f>
        <v>9.6756074106944742E-2</v>
      </c>
      <c r="M103">
        <f>0.6*K103+0.4*J103</f>
        <v>6.80032375239117E-2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990"/>
  <sheetViews>
    <sheetView workbookViewId="0"/>
  </sheetViews>
  <sheetFormatPr defaultColWidth="14.42578125" defaultRowHeight="15.75" customHeight="1"/>
  <sheetData>
    <row r="1" spans="1:14" ht="15.75" customHeight="1">
      <c r="A1" s="7" t="s">
        <v>506</v>
      </c>
      <c r="B1" s="27" t="s">
        <v>507</v>
      </c>
      <c r="C1" s="24">
        <v>42864</v>
      </c>
      <c r="D1" s="24">
        <v>43022</v>
      </c>
      <c r="E1" s="28" t="s">
        <v>508</v>
      </c>
      <c r="F1" s="28" t="s">
        <v>635</v>
      </c>
      <c r="H1" s="1" t="s">
        <v>631</v>
      </c>
      <c r="I1" s="1" t="s">
        <v>632</v>
      </c>
      <c r="J1" s="1" t="s">
        <v>633</v>
      </c>
      <c r="K1" s="1" t="s">
        <v>634</v>
      </c>
    </row>
    <row r="2" spans="1:14" ht="15.75" customHeight="1">
      <c r="A2" s="11">
        <v>9330192</v>
      </c>
      <c r="B2" s="29">
        <v>205</v>
      </c>
      <c r="C2" s="29">
        <v>230</v>
      </c>
      <c r="D2" s="29">
        <v>260</v>
      </c>
      <c r="E2" s="29">
        <v>265</v>
      </c>
      <c r="F2" s="30">
        <v>3908</v>
      </c>
      <c r="H2">
        <f t="shared" ref="H2:K2" si="0">B2/$F2</f>
        <v>5.2456499488229273E-2</v>
      </c>
      <c r="I2">
        <f t="shared" si="0"/>
        <v>5.8853633572159669E-2</v>
      </c>
      <c r="J2">
        <f t="shared" si="0"/>
        <v>6.6530194472876156E-2</v>
      </c>
      <c r="K2">
        <f t="shared" si="0"/>
        <v>6.7809621289662225E-2</v>
      </c>
    </row>
    <row r="3" spans="1:14" ht="15.75" customHeight="1">
      <c r="A3" s="11">
        <v>9330186.0099999998</v>
      </c>
      <c r="B3" s="29">
        <v>425</v>
      </c>
      <c r="C3" s="29">
        <v>425</v>
      </c>
      <c r="D3" s="29">
        <v>455</v>
      </c>
      <c r="E3" s="29">
        <v>435</v>
      </c>
      <c r="F3" s="29">
        <v>6518</v>
      </c>
      <c r="H3">
        <f t="shared" ref="H3:H101" si="1">B3/F3</f>
        <v>6.5204050322184723E-2</v>
      </c>
      <c r="I3">
        <f t="shared" ref="I3:K3" si="2">C3/$F3</f>
        <v>6.5204050322184723E-2</v>
      </c>
      <c r="J3">
        <f t="shared" si="2"/>
        <v>6.9806689168456587E-2</v>
      </c>
      <c r="K3">
        <f t="shared" si="2"/>
        <v>6.6738263270942011E-2</v>
      </c>
    </row>
    <row r="4" spans="1:14" ht="15.75" customHeight="1">
      <c r="A4" s="11">
        <v>186.02</v>
      </c>
      <c r="B4" s="29">
        <v>310</v>
      </c>
      <c r="C4" s="29">
        <v>340</v>
      </c>
      <c r="D4" s="29">
        <v>380</v>
      </c>
      <c r="E4" s="29">
        <v>345</v>
      </c>
      <c r="F4" s="29">
        <v>5312</v>
      </c>
      <c r="H4">
        <f t="shared" si="1"/>
        <v>5.8358433734939756E-2</v>
      </c>
      <c r="I4">
        <f t="shared" ref="I4:K4" si="3">C4/$F4</f>
        <v>6.4006024096385547E-2</v>
      </c>
      <c r="J4">
        <f t="shared" si="3"/>
        <v>7.1536144578313254E-2</v>
      </c>
      <c r="K4">
        <f t="shared" si="3"/>
        <v>6.4947289156626509E-2</v>
      </c>
      <c r="L4" s="31"/>
      <c r="M4" s="31"/>
      <c r="N4" s="31"/>
    </row>
    <row r="5" spans="1:14" ht="15.75" customHeight="1">
      <c r="A5" s="11">
        <v>186.05</v>
      </c>
      <c r="B5" s="29">
        <v>435</v>
      </c>
      <c r="C5" s="29">
        <v>500</v>
      </c>
      <c r="D5" s="29">
        <v>445</v>
      </c>
      <c r="E5" s="29">
        <v>435</v>
      </c>
      <c r="F5" s="29">
        <v>6352</v>
      </c>
      <c r="H5">
        <f t="shared" si="1"/>
        <v>6.8482367758186405E-2</v>
      </c>
      <c r="I5">
        <f t="shared" ref="I5:K5" si="4">C5/$F5</f>
        <v>7.8715365239294705E-2</v>
      </c>
      <c r="J5">
        <f t="shared" si="4"/>
        <v>7.0056675062972293E-2</v>
      </c>
      <c r="K5">
        <f t="shared" si="4"/>
        <v>6.8482367758186405E-2</v>
      </c>
      <c r="L5" s="31"/>
      <c r="M5" s="31"/>
      <c r="N5" s="31"/>
    </row>
    <row r="6" spans="1:14" ht="15.75" customHeight="1">
      <c r="A6" s="11">
        <v>186.06</v>
      </c>
      <c r="B6" s="29">
        <v>340</v>
      </c>
      <c r="C6" s="29">
        <v>310</v>
      </c>
      <c r="D6" s="29">
        <v>270</v>
      </c>
      <c r="E6" s="29">
        <v>240</v>
      </c>
      <c r="F6" s="29">
        <v>3947</v>
      </c>
      <c r="H6">
        <f t="shared" si="1"/>
        <v>8.6141373194831519E-2</v>
      </c>
      <c r="I6">
        <f t="shared" ref="I6:K6" si="5">C6/$F6</f>
        <v>7.8540663795287555E-2</v>
      </c>
      <c r="J6">
        <f t="shared" si="5"/>
        <v>6.8406384595895611E-2</v>
      </c>
      <c r="K6">
        <f t="shared" si="5"/>
        <v>6.0805675196351661E-2</v>
      </c>
      <c r="L6" s="31"/>
      <c r="M6" s="31"/>
      <c r="N6" s="31"/>
    </row>
    <row r="7" spans="1:14" ht="15.75" customHeight="1">
      <c r="A7" s="11">
        <v>185.09</v>
      </c>
      <c r="B7" s="29">
        <v>290</v>
      </c>
      <c r="C7" s="29">
        <v>295</v>
      </c>
      <c r="D7" s="29">
        <v>260</v>
      </c>
      <c r="E7" s="29">
        <v>220</v>
      </c>
      <c r="F7" s="29">
        <v>4151</v>
      </c>
      <c r="H7">
        <f t="shared" si="1"/>
        <v>6.9862683690676941E-2</v>
      </c>
      <c r="I7">
        <f t="shared" ref="I7:K7" si="6">C7/$F7</f>
        <v>7.106721271982655E-2</v>
      </c>
      <c r="J7">
        <f t="shared" si="6"/>
        <v>6.2635509515779328E-2</v>
      </c>
      <c r="K7">
        <f t="shared" si="6"/>
        <v>5.299927728258251E-2</v>
      </c>
      <c r="L7" s="31"/>
      <c r="M7" s="31"/>
      <c r="N7" s="31"/>
    </row>
    <row r="8" spans="1:14" ht="15.75" customHeight="1">
      <c r="A8" s="11">
        <v>185.11</v>
      </c>
      <c r="B8" s="29">
        <v>650</v>
      </c>
      <c r="C8" s="29">
        <v>610</v>
      </c>
      <c r="D8" s="29">
        <v>540</v>
      </c>
      <c r="E8" s="29">
        <v>450</v>
      </c>
      <c r="F8" s="29">
        <v>7307</v>
      </c>
      <c r="H8">
        <f t="shared" si="1"/>
        <v>8.8955795812234839E-2</v>
      </c>
      <c r="I8">
        <f t="shared" ref="I8:K8" si="7">C8/$F8</f>
        <v>8.3481592993020395E-2</v>
      </c>
      <c r="J8">
        <f t="shared" si="7"/>
        <v>7.3901738059395095E-2</v>
      </c>
      <c r="K8">
        <f t="shared" si="7"/>
        <v>6.1584781716162586E-2</v>
      </c>
      <c r="L8" s="31"/>
      <c r="M8" s="31"/>
      <c r="N8" s="31"/>
    </row>
    <row r="9" spans="1:14" ht="15.75" customHeight="1">
      <c r="A9" s="11">
        <v>185.1</v>
      </c>
      <c r="B9" s="29">
        <v>510</v>
      </c>
      <c r="C9" s="29">
        <v>500</v>
      </c>
      <c r="D9" s="29">
        <v>425</v>
      </c>
      <c r="E9" s="29">
        <v>370</v>
      </c>
      <c r="F9" s="29">
        <v>5679</v>
      </c>
      <c r="H9">
        <f t="shared" si="1"/>
        <v>8.980454305335446E-2</v>
      </c>
      <c r="I9">
        <f t="shared" ref="I9:K9" si="8">C9/$F9</f>
        <v>8.8043669660151438E-2</v>
      </c>
      <c r="J9">
        <f t="shared" si="8"/>
        <v>7.4837119211128719E-2</v>
      </c>
      <c r="K9">
        <f t="shared" si="8"/>
        <v>6.5152315548512058E-2</v>
      </c>
      <c r="L9" s="31"/>
      <c r="M9" s="31"/>
      <c r="N9" s="31"/>
    </row>
    <row r="10" spans="1:14" ht="15.75" customHeight="1">
      <c r="A10" s="11">
        <v>185.21</v>
      </c>
      <c r="B10" s="29">
        <v>313</v>
      </c>
      <c r="C10" s="29">
        <v>310</v>
      </c>
      <c r="D10" s="29">
        <v>263</v>
      </c>
      <c r="E10" s="29">
        <v>243</v>
      </c>
      <c r="F10" s="29">
        <v>3792</v>
      </c>
      <c r="H10">
        <f t="shared" si="1"/>
        <v>8.2542194092827009E-2</v>
      </c>
      <c r="I10">
        <f t="shared" ref="I10:K10" si="9">C10/$F10</f>
        <v>8.1751054852320676E-2</v>
      </c>
      <c r="J10">
        <f t="shared" si="9"/>
        <v>6.9356540084388185E-2</v>
      </c>
      <c r="K10">
        <f t="shared" si="9"/>
        <v>6.4082278481012653E-2</v>
      </c>
      <c r="L10" s="31"/>
      <c r="M10" s="31"/>
      <c r="N10" s="31"/>
    </row>
    <row r="11" spans="1:14" ht="15.75" customHeight="1">
      <c r="A11" s="11">
        <v>185.22</v>
      </c>
      <c r="B11" s="29">
        <v>312</v>
      </c>
      <c r="C11" s="29">
        <v>310</v>
      </c>
      <c r="D11" s="29">
        <v>262</v>
      </c>
      <c r="E11" s="29">
        <v>242</v>
      </c>
      <c r="F11" s="29">
        <v>3792</v>
      </c>
      <c r="H11">
        <f t="shared" si="1"/>
        <v>8.2278481012658222E-2</v>
      </c>
      <c r="I11">
        <f t="shared" ref="I11:K11" si="10">C11/$F11</f>
        <v>8.1751054852320676E-2</v>
      </c>
      <c r="J11">
        <f t="shared" si="10"/>
        <v>6.9092827004219412E-2</v>
      </c>
      <c r="K11">
        <f t="shared" si="10"/>
        <v>6.381856540084388E-2</v>
      </c>
      <c r="L11" s="31"/>
      <c r="M11" s="31"/>
      <c r="N11" s="31"/>
    </row>
    <row r="12" spans="1:14" ht="15.75" customHeight="1">
      <c r="A12" s="11">
        <v>185.17</v>
      </c>
      <c r="B12" s="29">
        <v>135</v>
      </c>
      <c r="C12" s="29">
        <v>153</v>
      </c>
      <c r="D12" s="29">
        <v>168</v>
      </c>
      <c r="E12" s="29">
        <v>185</v>
      </c>
      <c r="F12" s="29">
        <v>2565</v>
      </c>
      <c r="H12">
        <f t="shared" si="1"/>
        <v>5.2631578947368418E-2</v>
      </c>
      <c r="I12">
        <f t="shared" ref="I12:K12" si="11">C12/$F12</f>
        <v>5.9649122807017542E-2</v>
      </c>
      <c r="J12">
        <f t="shared" si="11"/>
        <v>6.5497076023391818E-2</v>
      </c>
      <c r="K12">
        <f t="shared" si="11"/>
        <v>7.2124756335282647E-2</v>
      </c>
      <c r="L12" s="31"/>
      <c r="M12" s="31"/>
      <c r="N12" s="31"/>
    </row>
    <row r="13" spans="1:14" ht="15.75" customHeight="1">
      <c r="A13" s="11">
        <v>185.18</v>
      </c>
      <c r="B13" s="29">
        <v>270</v>
      </c>
      <c r="C13" s="29">
        <v>307</v>
      </c>
      <c r="D13" s="29">
        <v>337</v>
      </c>
      <c r="E13" s="29">
        <v>370</v>
      </c>
      <c r="F13" s="29">
        <v>5129</v>
      </c>
      <c r="H13">
        <f t="shared" si="1"/>
        <v>5.264184051472022E-2</v>
      </c>
      <c r="I13">
        <f t="shared" ref="I13:K13" si="12">C13/$F13</f>
        <v>5.9855722363033728E-2</v>
      </c>
      <c r="J13">
        <f t="shared" si="12"/>
        <v>6.5704815753558202E-2</v>
      </c>
      <c r="K13">
        <f t="shared" si="12"/>
        <v>7.2138818483135109E-2</v>
      </c>
      <c r="L13" s="31"/>
      <c r="M13" s="31"/>
      <c r="N13" s="31"/>
    </row>
    <row r="14" spans="1:14" ht="15.75" customHeight="1">
      <c r="A14" s="11">
        <v>185.19</v>
      </c>
      <c r="B14" s="29">
        <v>380</v>
      </c>
      <c r="C14" s="29">
        <v>315</v>
      </c>
      <c r="D14" s="29">
        <v>317.5</v>
      </c>
      <c r="E14" s="29">
        <v>272.5</v>
      </c>
      <c r="F14" s="30">
        <v>4235</v>
      </c>
      <c r="H14">
        <f t="shared" si="1"/>
        <v>8.9728453364816996E-2</v>
      </c>
      <c r="I14">
        <f t="shared" ref="I14:K14" si="13">C14/$F14</f>
        <v>7.43801652892562E-2</v>
      </c>
      <c r="J14">
        <f t="shared" si="13"/>
        <v>7.4970484061393158E-2</v>
      </c>
      <c r="K14">
        <f t="shared" si="13"/>
        <v>6.4344746162927985E-2</v>
      </c>
      <c r="L14" s="31"/>
      <c r="M14" s="31"/>
      <c r="N14" s="31"/>
    </row>
    <row r="15" spans="1:14" ht="15.75" customHeight="1">
      <c r="A15" s="11">
        <v>185.2</v>
      </c>
      <c r="B15" s="29">
        <v>380</v>
      </c>
      <c r="C15" s="29">
        <v>315</v>
      </c>
      <c r="D15" s="29">
        <v>317.5</v>
      </c>
      <c r="E15" s="29">
        <v>272.5</v>
      </c>
      <c r="F15" s="30">
        <v>4235</v>
      </c>
      <c r="H15">
        <f t="shared" si="1"/>
        <v>8.9728453364816996E-2</v>
      </c>
      <c r="I15">
        <f t="shared" ref="I15:K15" si="14">C15/$F15</f>
        <v>7.43801652892562E-2</v>
      </c>
      <c r="J15">
        <f t="shared" si="14"/>
        <v>7.4970484061393158E-2</v>
      </c>
      <c r="K15">
        <f t="shared" si="14"/>
        <v>6.4344746162927985E-2</v>
      </c>
      <c r="L15" s="31"/>
      <c r="M15" s="31"/>
      <c r="N15" s="31"/>
    </row>
    <row r="16" spans="1:14" ht="15.75" customHeight="1">
      <c r="A16" s="11">
        <v>185.08</v>
      </c>
      <c r="B16" s="29">
        <v>55</v>
      </c>
      <c r="C16" s="29">
        <v>65</v>
      </c>
      <c r="D16" s="29">
        <v>85</v>
      </c>
      <c r="E16" s="29">
        <v>115</v>
      </c>
      <c r="F16" s="29">
        <v>1326</v>
      </c>
      <c r="H16">
        <f t="shared" si="1"/>
        <v>4.1478129713423829E-2</v>
      </c>
      <c r="I16">
        <f t="shared" ref="I16:K16" si="15">C16/$F16</f>
        <v>4.9019607843137254E-2</v>
      </c>
      <c r="J16">
        <f t="shared" si="15"/>
        <v>6.4102564102564097E-2</v>
      </c>
      <c r="K16">
        <f t="shared" si="15"/>
        <v>8.6726998491704371E-2</v>
      </c>
      <c r="L16" s="31"/>
      <c r="M16" s="31"/>
      <c r="N16" s="31"/>
    </row>
    <row r="17" spans="1:14" ht="15.75" customHeight="1">
      <c r="A17" s="11">
        <v>185.07</v>
      </c>
      <c r="B17" s="29">
        <v>435</v>
      </c>
      <c r="C17" s="29">
        <v>505</v>
      </c>
      <c r="D17" s="29">
        <v>480</v>
      </c>
      <c r="E17" s="29">
        <v>485</v>
      </c>
      <c r="F17" s="29">
        <v>6197</v>
      </c>
      <c r="H17">
        <f t="shared" si="1"/>
        <v>7.0195255768920439E-2</v>
      </c>
      <c r="I17">
        <f t="shared" ref="I17:K17" si="16">C17/$F17</f>
        <v>8.149104405357431E-2</v>
      </c>
      <c r="J17">
        <f t="shared" si="16"/>
        <v>7.7456833951912218E-2</v>
      </c>
      <c r="K17">
        <f t="shared" si="16"/>
        <v>7.8263675972244637E-2</v>
      </c>
      <c r="L17" s="31"/>
      <c r="M17" s="31"/>
      <c r="N17" s="31"/>
    </row>
    <row r="18" spans="1:14" ht="15.75" customHeight="1">
      <c r="A18" s="11">
        <v>185.12</v>
      </c>
      <c r="B18" s="29">
        <v>470</v>
      </c>
      <c r="C18" s="29">
        <v>485</v>
      </c>
      <c r="D18" s="29">
        <v>480</v>
      </c>
      <c r="E18" s="29">
        <v>455</v>
      </c>
      <c r="F18" s="29">
        <v>6289</v>
      </c>
      <c r="H18">
        <f t="shared" si="1"/>
        <v>7.4733661949435523E-2</v>
      </c>
      <c r="I18">
        <f t="shared" ref="I18:K18" si="17">C18/$F18</f>
        <v>7.7118778820162187E-2</v>
      </c>
      <c r="J18">
        <f t="shared" si="17"/>
        <v>7.6323739863253304E-2</v>
      </c>
      <c r="K18">
        <f t="shared" si="17"/>
        <v>7.2348545078708859E-2</v>
      </c>
      <c r="L18" s="31"/>
      <c r="M18" s="31"/>
      <c r="N18" s="31"/>
    </row>
    <row r="19" spans="1:14" ht="15.75" customHeight="1">
      <c r="A19" s="11">
        <v>185.16</v>
      </c>
      <c r="B19" s="29">
        <v>385</v>
      </c>
      <c r="C19" s="29">
        <v>415</v>
      </c>
      <c r="D19" s="29">
        <v>395</v>
      </c>
      <c r="E19" s="29">
        <v>320</v>
      </c>
      <c r="F19" s="29">
        <v>4935</v>
      </c>
      <c r="H19">
        <f t="shared" si="1"/>
        <v>7.8014184397163122E-2</v>
      </c>
      <c r="I19">
        <f t="shared" ref="I19:K19" si="18">C19/$F19</f>
        <v>8.4093211752786223E-2</v>
      </c>
      <c r="J19">
        <f t="shared" si="18"/>
        <v>8.0040526849037494E-2</v>
      </c>
      <c r="K19">
        <f t="shared" si="18"/>
        <v>6.4842958459979741E-2</v>
      </c>
      <c r="L19" s="31"/>
      <c r="M19" s="31"/>
      <c r="N19" s="31"/>
    </row>
    <row r="20" spans="1:14" ht="15.75" customHeight="1">
      <c r="A20" s="11">
        <v>185.15</v>
      </c>
      <c r="B20" s="29">
        <v>470</v>
      </c>
      <c r="C20" s="29">
        <v>430</v>
      </c>
      <c r="D20" s="29">
        <v>365</v>
      </c>
      <c r="E20" s="29">
        <v>300</v>
      </c>
      <c r="F20" s="29">
        <v>5707</v>
      </c>
      <c r="H20">
        <f t="shared" si="1"/>
        <v>8.2355002628351145E-2</v>
      </c>
      <c r="I20">
        <f t="shared" ref="I20:K20" si="19">C20/$F20</f>
        <v>7.5346066234448922E-2</v>
      </c>
      <c r="J20">
        <f t="shared" si="19"/>
        <v>6.3956544594357803E-2</v>
      </c>
      <c r="K20">
        <f t="shared" si="19"/>
        <v>5.2567022954266691E-2</v>
      </c>
      <c r="L20" s="31"/>
      <c r="M20" s="31"/>
      <c r="N20" s="31"/>
    </row>
    <row r="21" spans="1:14" ht="15.75" customHeight="1">
      <c r="A21" s="11">
        <v>186.07</v>
      </c>
      <c r="B21" s="29">
        <v>410</v>
      </c>
      <c r="C21" s="29">
        <v>415</v>
      </c>
      <c r="D21" s="29">
        <v>375</v>
      </c>
      <c r="E21" s="29">
        <v>335</v>
      </c>
      <c r="F21" s="29">
        <v>5137</v>
      </c>
      <c r="H21">
        <f t="shared" si="1"/>
        <v>7.9813120498345339E-2</v>
      </c>
      <c r="I21">
        <f t="shared" ref="I21:K21" si="20">C21/$F21</f>
        <v>8.0786451236130041E-2</v>
      </c>
      <c r="J21">
        <f t="shared" si="20"/>
        <v>7.2999805333852447E-2</v>
      </c>
      <c r="K21">
        <f t="shared" si="20"/>
        <v>6.5213159431574852E-2</v>
      </c>
      <c r="L21" s="31"/>
      <c r="M21" s="31"/>
      <c r="N21" s="31"/>
    </row>
    <row r="22" spans="1:14" ht="15.75" customHeight="1">
      <c r="A22" s="11">
        <v>186.08</v>
      </c>
      <c r="B22" s="29">
        <v>345</v>
      </c>
      <c r="C22" s="29">
        <v>420</v>
      </c>
      <c r="D22" s="29">
        <v>430</v>
      </c>
      <c r="E22" s="29">
        <v>370</v>
      </c>
      <c r="F22" s="29">
        <v>5281</v>
      </c>
      <c r="H22">
        <f t="shared" si="1"/>
        <v>6.5328536262071579E-2</v>
      </c>
      <c r="I22">
        <f t="shared" ref="I22:K22" si="21">C22/$F22</f>
        <v>7.9530391971217571E-2</v>
      </c>
      <c r="J22">
        <f t="shared" si="21"/>
        <v>8.1423972732437039E-2</v>
      </c>
      <c r="K22">
        <f t="shared" si="21"/>
        <v>7.0062488165120243E-2</v>
      </c>
      <c r="L22" s="31"/>
      <c r="M22" s="31"/>
      <c r="N22" s="31"/>
    </row>
    <row r="23" spans="1:14" ht="15.75" customHeight="1">
      <c r="A23" s="11">
        <v>191.03</v>
      </c>
      <c r="B23" s="29">
        <v>340</v>
      </c>
      <c r="C23" s="29">
        <v>345</v>
      </c>
      <c r="D23" s="29">
        <v>335</v>
      </c>
      <c r="E23" s="29">
        <v>375</v>
      </c>
      <c r="F23" s="29">
        <v>4904</v>
      </c>
      <c r="H23">
        <f t="shared" si="1"/>
        <v>6.9331158238172916E-2</v>
      </c>
      <c r="I23">
        <f t="shared" ref="I23:K23" si="22">C23/$F23</f>
        <v>7.0350734094616646E-2</v>
      </c>
      <c r="J23">
        <f t="shared" si="22"/>
        <v>6.8311582381729199E-2</v>
      </c>
      <c r="K23">
        <f t="shared" si="22"/>
        <v>7.6468189233278958E-2</v>
      </c>
      <c r="L23" s="31"/>
      <c r="M23" s="31"/>
      <c r="N23" s="31"/>
    </row>
    <row r="24" spans="1:14" ht="15.75" customHeight="1">
      <c r="A24" s="11">
        <v>191.04</v>
      </c>
      <c r="B24" s="29">
        <v>260</v>
      </c>
      <c r="C24" s="29">
        <v>240</v>
      </c>
      <c r="D24" s="29">
        <v>245</v>
      </c>
      <c r="E24" s="29">
        <v>240</v>
      </c>
      <c r="F24" s="29">
        <v>4577</v>
      </c>
      <c r="H24">
        <f t="shared" si="1"/>
        <v>5.6805767970286213E-2</v>
      </c>
      <c r="I24">
        <f t="shared" ref="I24:K24" si="23">C24/$F24</f>
        <v>5.2436093511033427E-2</v>
      </c>
      <c r="J24">
        <f t="shared" si="23"/>
        <v>5.3528512125846625E-2</v>
      </c>
      <c r="K24">
        <f t="shared" si="23"/>
        <v>5.2436093511033427E-2</v>
      </c>
      <c r="L24" s="31"/>
      <c r="M24" s="31"/>
      <c r="N24" s="31"/>
    </row>
    <row r="25" spans="1:14" ht="15.75" customHeight="1">
      <c r="A25" s="11">
        <v>191.05</v>
      </c>
      <c r="B25" s="29">
        <v>213</v>
      </c>
      <c r="C25" s="29">
        <v>200</v>
      </c>
      <c r="D25" s="29">
        <v>235</v>
      </c>
      <c r="E25" s="29">
        <v>235</v>
      </c>
      <c r="F25" s="29">
        <v>3923</v>
      </c>
      <c r="H25">
        <f t="shared" si="1"/>
        <v>5.4295182258475655E-2</v>
      </c>
      <c r="I25">
        <f t="shared" ref="I25:K25" si="24">C25/$F25</f>
        <v>5.0981391791995921E-2</v>
      </c>
      <c r="J25">
        <f t="shared" si="24"/>
        <v>5.9903135355595209E-2</v>
      </c>
      <c r="K25">
        <f t="shared" si="24"/>
        <v>5.9903135355595209E-2</v>
      </c>
      <c r="L25" s="31"/>
      <c r="M25" s="31"/>
      <c r="N25" s="31"/>
    </row>
    <row r="26" spans="1:14" ht="15.75" customHeight="1">
      <c r="A26" s="11">
        <v>191.06</v>
      </c>
      <c r="B26" s="29">
        <v>106</v>
      </c>
      <c r="C26" s="29">
        <v>100</v>
      </c>
      <c r="D26" s="29">
        <v>118</v>
      </c>
      <c r="E26" s="29">
        <v>118</v>
      </c>
      <c r="F26" s="29">
        <v>1962</v>
      </c>
      <c r="H26">
        <f t="shared" si="1"/>
        <v>5.4026503567787973E-2</v>
      </c>
      <c r="I26">
        <f t="shared" ref="I26:K26" si="25">C26/$F26</f>
        <v>5.09683995922528E-2</v>
      </c>
      <c r="J26">
        <f t="shared" si="25"/>
        <v>6.0142711518858305E-2</v>
      </c>
      <c r="K26">
        <f t="shared" si="25"/>
        <v>6.0142711518858305E-2</v>
      </c>
      <c r="L26" s="31"/>
      <c r="M26" s="31"/>
      <c r="N26" s="31"/>
    </row>
    <row r="27" spans="1:14" ht="15.75" customHeight="1">
      <c r="A27" s="11">
        <v>191.07</v>
      </c>
      <c r="B27" s="29">
        <v>106</v>
      </c>
      <c r="C27" s="29">
        <v>100</v>
      </c>
      <c r="D27" s="29">
        <v>118</v>
      </c>
      <c r="E27" s="29">
        <v>118</v>
      </c>
      <c r="F27" s="29">
        <v>1961</v>
      </c>
      <c r="H27">
        <f t="shared" si="1"/>
        <v>5.4054054054054057E-2</v>
      </c>
      <c r="I27">
        <f t="shared" ref="I27:K27" si="26">C27/$F27</f>
        <v>5.0994390617032127E-2</v>
      </c>
      <c r="J27">
        <f t="shared" si="26"/>
        <v>6.017338092809791E-2</v>
      </c>
      <c r="K27">
        <f t="shared" si="26"/>
        <v>6.017338092809791E-2</v>
      </c>
      <c r="L27" s="31"/>
      <c r="M27" s="31"/>
      <c r="N27" s="31"/>
    </row>
    <row r="28" spans="1:14" ht="15.75" customHeight="1">
      <c r="A28" s="11">
        <v>190.03</v>
      </c>
      <c r="B28" s="29">
        <v>265</v>
      </c>
      <c r="C28" s="29">
        <v>310</v>
      </c>
      <c r="D28" s="29">
        <v>350</v>
      </c>
      <c r="E28" s="29">
        <v>345</v>
      </c>
      <c r="F28" s="29">
        <v>4638</v>
      </c>
      <c r="H28">
        <f t="shared" si="1"/>
        <v>5.7136696852091419E-2</v>
      </c>
      <c r="I28">
        <f t="shared" ref="I28:K28" si="27">C28/$F28</f>
        <v>6.683915480810694E-2</v>
      </c>
      <c r="J28">
        <f t="shared" si="27"/>
        <v>7.5463561880120739E-2</v>
      </c>
      <c r="K28">
        <f t="shared" si="27"/>
        <v>7.4385510996119023E-2</v>
      </c>
      <c r="L28" s="31"/>
      <c r="M28" s="31"/>
      <c r="N28" s="31"/>
    </row>
    <row r="29" spans="1:14" ht="15.75" customHeight="1">
      <c r="A29" s="11">
        <v>190.04</v>
      </c>
      <c r="B29" s="29">
        <v>290</v>
      </c>
      <c r="C29" s="29">
        <v>405</v>
      </c>
      <c r="D29" s="29">
        <v>415</v>
      </c>
      <c r="E29" s="29">
        <v>435</v>
      </c>
      <c r="F29" s="29">
        <v>5928</v>
      </c>
      <c r="H29">
        <f t="shared" si="1"/>
        <v>4.8920377867746286E-2</v>
      </c>
      <c r="I29">
        <f t="shared" ref="I29:K29" si="28">C29/$F29</f>
        <v>6.8319838056680168E-2</v>
      </c>
      <c r="J29">
        <f t="shared" si="28"/>
        <v>7.000674763832658E-2</v>
      </c>
      <c r="K29">
        <f t="shared" si="28"/>
        <v>7.3380566801619432E-2</v>
      </c>
      <c r="L29" s="31"/>
      <c r="M29" s="31"/>
      <c r="N29" s="31"/>
    </row>
    <row r="30" spans="1:14" ht="15.75" customHeight="1">
      <c r="A30" s="11">
        <v>190.05</v>
      </c>
      <c r="B30" s="29">
        <v>110</v>
      </c>
      <c r="C30" s="29">
        <v>120</v>
      </c>
      <c r="D30" s="29">
        <v>130</v>
      </c>
      <c r="E30" s="29">
        <v>120</v>
      </c>
      <c r="F30" s="29">
        <v>1618</v>
      </c>
      <c r="H30">
        <f t="shared" si="1"/>
        <v>6.7985166872682329E-2</v>
      </c>
      <c r="I30">
        <f t="shared" ref="I30:K30" si="29">C30/$F30</f>
        <v>7.4165636588380712E-2</v>
      </c>
      <c r="J30">
        <f t="shared" si="29"/>
        <v>8.034610630407911E-2</v>
      </c>
      <c r="K30">
        <f t="shared" si="29"/>
        <v>7.4165636588380712E-2</v>
      </c>
      <c r="L30" s="31"/>
      <c r="M30" s="31"/>
      <c r="N30" s="31"/>
    </row>
    <row r="31" spans="1:14" ht="15.75" customHeight="1">
      <c r="A31" s="11">
        <v>190.01</v>
      </c>
      <c r="B31" s="29">
        <v>335</v>
      </c>
      <c r="C31" s="29">
        <v>305</v>
      </c>
      <c r="D31" s="29">
        <v>330</v>
      </c>
      <c r="E31" s="29">
        <v>330</v>
      </c>
      <c r="F31" s="29">
        <v>5886</v>
      </c>
      <c r="H31">
        <f t="shared" si="1"/>
        <v>5.6914712878015632E-2</v>
      </c>
      <c r="I31">
        <f t="shared" ref="I31:K31" si="30">C31/$F31</f>
        <v>5.181787291879035E-2</v>
      </c>
      <c r="J31">
        <f t="shared" si="30"/>
        <v>5.6065239551478081E-2</v>
      </c>
      <c r="K31">
        <f t="shared" si="30"/>
        <v>5.6065239551478081E-2</v>
      </c>
      <c r="L31" s="31"/>
      <c r="M31" s="31"/>
      <c r="N31" s="31"/>
    </row>
    <row r="32" spans="1:14" ht="15.75" customHeight="1">
      <c r="A32" s="11">
        <v>189.06</v>
      </c>
      <c r="B32" s="29">
        <v>180</v>
      </c>
      <c r="C32" s="29">
        <v>180</v>
      </c>
      <c r="D32" s="29">
        <v>190</v>
      </c>
      <c r="E32" s="29">
        <v>220</v>
      </c>
      <c r="F32" s="29">
        <v>2776</v>
      </c>
      <c r="H32">
        <f t="shared" si="1"/>
        <v>6.4841498559077809E-2</v>
      </c>
      <c r="I32">
        <f t="shared" ref="I32:K32" si="31">C32/$F32</f>
        <v>6.4841498559077809E-2</v>
      </c>
      <c r="J32">
        <f t="shared" si="31"/>
        <v>6.8443804034582126E-2</v>
      </c>
      <c r="K32">
        <f t="shared" si="31"/>
        <v>7.9250720461095103E-2</v>
      </c>
      <c r="L32" s="31"/>
      <c r="M32" s="31"/>
      <c r="N32" s="31"/>
    </row>
    <row r="33" spans="1:11" ht="15.75" customHeight="1">
      <c r="A33" s="11">
        <v>187.04</v>
      </c>
      <c r="B33" s="29">
        <v>105</v>
      </c>
      <c r="C33" s="29">
        <v>130</v>
      </c>
      <c r="D33" s="29">
        <v>125</v>
      </c>
      <c r="E33" s="29">
        <v>95</v>
      </c>
      <c r="F33" s="29">
        <v>1792</v>
      </c>
      <c r="H33">
        <f t="shared" si="1"/>
        <v>5.859375E-2</v>
      </c>
      <c r="I33">
        <f t="shared" ref="I33:K33" si="32">C33/$F33</f>
        <v>7.2544642857142863E-2</v>
      </c>
      <c r="J33">
        <f t="shared" si="32"/>
        <v>6.9754464285714288E-2</v>
      </c>
      <c r="K33">
        <f t="shared" si="32"/>
        <v>5.3013392857142856E-2</v>
      </c>
    </row>
    <row r="34" spans="1:11" ht="15.75" customHeight="1">
      <c r="A34" s="11">
        <v>187.05</v>
      </c>
      <c r="B34" s="29">
        <v>570</v>
      </c>
      <c r="C34" s="29">
        <v>510</v>
      </c>
      <c r="D34" s="29">
        <v>520</v>
      </c>
      <c r="E34" s="29">
        <v>420</v>
      </c>
      <c r="F34" s="29">
        <v>6732</v>
      </c>
      <c r="H34">
        <f t="shared" si="1"/>
        <v>8.4670231729055259E-2</v>
      </c>
      <c r="I34">
        <f t="shared" ref="I34:K34" si="33">C34/$F34</f>
        <v>7.575757575757576E-2</v>
      </c>
      <c r="J34">
        <f t="shared" si="33"/>
        <v>7.724301841948901E-2</v>
      </c>
      <c r="K34">
        <f t="shared" si="33"/>
        <v>6.2388591800356503E-2</v>
      </c>
    </row>
    <row r="35" spans="1:11" ht="15.75" customHeight="1">
      <c r="A35" s="11">
        <v>184.02</v>
      </c>
      <c r="B35" s="29">
        <v>420</v>
      </c>
      <c r="C35" s="29">
        <v>420</v>
      </c>
      <c r="D35" s="29">
        <v>440</v>
      </c>
      <c r="E35" s="29">
        <v>440</v>
      </c>
      <c r="F35" s="29">
        <v>6967</v>
      </c>
      <c r="H35">
        <f t="shared" si="1"/>
        <v>6.0284196928376631E-2</v>
      </c>
      <c r="I35">
        <f t="shared" ref="I35:K35" si="34">C35/$F35</f>
        <v>6.0284196928376631E-2</v>
      </c>
      <c r="J35">
        <f t="shared" si="34"/>
        <v>6.3154872972585041E-2</v>
      </c>
      <c r="K35">
        <f t="shared" si="34"/>
        <v>6.3154872972585041E-2</v>
      </c>
    </row>
    <row r="36" spans="1:11" ht="12.75">
      <c r="A36" s="11">
        <v>184.15</v>
      </c>
      <c r="B36" s="29">
        <v>146.66666666666666</v>
      </c>
      <c r="C36" s="29">
        <v>163.33333333333334</v>
      </c>
      <c r="D36" s="29">
        <v>206.66666666666666</v>
      </c>
      <c r="E36" s="29">
        <v>230</v>
      </c>
      <c r="F36" s="29">
        <v>2628</v>
      </c>
      <c r="H36">
        <f t="shared" si="1"/>
        <v>5.5809233891425669E-2</v>
      </c>
      <c r="I36">
        <f t="shared" ref="I36:K36" si="35">C36/$F36</f>
        <v>6.2151192288178593E-2</v>
      </c>
      <c r="J36">
        <f t="shared" si="35"/>
        <v>7.864028411973617E-2</v>
      </c>
      <c r="K36">
        <f t="shared" si="35"/>
        <v>8.7519025875190254E-2</v>
      </c>
    </row>
    <row r="37" spans="1:11" ht="12.75">
      <c r="A37" s="11">
        <v>184.16</v>
      </c>
      <c r="B37" s="31">
        <v>293.33333333333337</v>
      </c>
      <c r="C37" s="31">
        <v>326.66666666666663</v>
      </c>
      <c r="D37" s="31">
        <v>413.33333333333337</v>
      </c>
      <c r="E37" s="31">
        <v>460</v>
      </c>
      <c r="F37" s="31">
        <v>5255</v>
      </c>
      <c r="H37">
        <f t="shared" si="1"/>
        <v>5.5819854107199501E-2</v>
      </c>
      <c r="I37">
        <f t="shared" ref="I37:K37" si="36">C37/$F37</f>
        <v>6.2163019346653976E-2</v>
      </c>
      <c r="J37">
        <f t="shared" si="36"/>
        <v>7.8655248969235661E-2</v>
      </c>
      <c r="K37">
        <f t="shared" si="36"/>
        <v>8.7535680304471938E-2</v>
      </c>
    </row>
    <row r="38" spans="1:11" ht="12.75">
      <c r="A38" s="11">
        <v>184.07</v>
      </c>
      <c r="B38" s="29">
        <v>300</v>
      </c>
      <c r="C38" s="29">
        <v>350</v>
      </c>
      <c r="D38" s="29">
        <v>355</v>
      </c>
      <c r="E38" s="29">
        <v>320</v>
      </c>
      <c r="F38" s="29">
        <v>5044</v>
      </c>
      <c r="H38">
        <f t="shared" si="1"/>
        <v>5.9476605868358443E-2</v>
      </c>
      <c r="I38">
        <f t="shared" ref="I38:K38" si="37">C38/$F38</f>
        <v>6.9389373513084857E-2</v>
      </c>
      <c r="J38">
        <f t="shared" si="37"/>
        <v>7.0380650277557494E-2</v>
      </c>
      <c r="K38">
        <f t="shared" si="37"/>
        <v>6.3441712926249005E-2</v>
      </c>
    </row>
    <row r="39" spans="1:11" ht="12.75">
      <c r="A39" s="11">
        <v>184.08</v>
      </c>
      <c r="B39" s="29">
        <v>255</v>
      </c>
      <c r="C39" s="29">
        <v>310</v>
      </c>
      <c r="D39" s="29">
        <v>355</v>
      </c>
      <c r="E39" s="29">
        <v>305</v>
      </c>
      <c r="F39" s="29">
        <v>3807</v>
      </c>
      <c r="H39">
        <f t="shared" si="1"/>
        <v>6.698187549251379E-2</v>
      </c>
      <c r="I39">
        <f t="shared" ref="I39:K39" si="38">C39/$F39</f>
        <v>8.1428946677173625E-2</v>
      </c>
      <c r="J39">
        <f t="shared" si="38"/>
        <v>9.3249277646440767E-2</v>
      </c>
      <c r="K39">
        <f t="shared" si="38"/>
        <v>8.0115576569477279E-2</v>
      </c>
    </row>
    <row r="40" spans="1:11" ht="12.75">
      <c r="A40" s="11">
        <v>184.06</v>
      </c>
      <c r="B40" s="29">
        <v>330</v>
      </c>
      <c r="C40" s="29">
        <v>290</v>
      </c>
      <c r="D40" s="29">
        <v>290</v>
      </c>
      <c r="E40" s="29">
        <v>225</v>
      </c>
      <c r="F40" s="29">
        <v>3682</v>
      </c>
      <c r="H40">
        <f t="shared" si="1"/>
        <v>8.9625203693644753E-2</v>
      </c>
      <c r="I40">
        <f t="shared" ref="I40:K40" si="39">C40/$F40</f>
        <v>7.8761542639869633E-2</v>
      </c>
      <c r="J40">
        <f t="shared" si="39"/>
        <v>7.8761542639869633E-2</v>
      </c>
      <c r="K40">
        <f t="shared" si="39"/>
        <v>6.1108093427485063E-2</v>
      </c>
    </row>
    <row r="41" spans="1:11" ht="12.75">
      <c r="A41" s="11">
        <v>184.12</v>
      </c>
      <c r="B41" s="29">
        <v>172.5</v>
      </c>
      <c r="C41" s="29">
        <v>79.333333333333329</v>
      </c>
      <c r="D41" s="29">
        <v>112.5</v>
      </c>
      <c r="E41" s="29">
        <v>111.25</v>
      </c>
      <c r="F41" s="29">
        <v>2023</v>
      </c>
      <c r="H41">
        <f t="shared" si="1"/>
        <v>8.5269401878398418E-2</v>
      </c>
      <c r="I41">
        <f t="shared" ref="I41:K41" si="40">C41/$F41</f>
        <v>3.9215686274509803E-2</v>
      </c>
      <c r="J41">
        <f t="shared" si="40"/>
        <v>5.5610479485912009E-2</v>
      </c>
      <c r="K41">
        <f t="shared" si="40"/>
        <v>5.4992585269401879E-2</v>
      </c>
    </row>
    <row r="42" spans="1:11" ht="12.75">
      <c r="A42" s="11">
        <v>184.13</v>
      </c>
      <c r="B42" s="29">
        <v>345</v>
      </c>
      <c r="C42" s="29">
        <v>237.5</v>
      </c>
      <c r="D42" s="29">
        <v>225</v>
      </c>
      <c r="E42" s="29">
        <v>222.5</v>
      </c>
      <c r="F42" s="29">
        <v>4036</v>
      </c>
      <c r="H42">
        <f t="shared" si="1"/>
        <v>8.5480673934588705E-2</v>
      </c>
      <c r="I42">
        <f t="shared" ref="I42:K42" si="41">C42/$F42</f>
        <v>5.8845391476709613E-2</v>
      </c>
      <c r="J42">
        <f t="shared" si="41"/>
        <v>5.5748265609514368E-2</v>
      </c>
      <c r="K42">
        <f t="shared" si="41"/>
        <v>5.512884043607532E-2</v>
      </c>
    </row>
    <row r="43" spans="1:11" ht="12.75">
      <c r="A43" s="11">
        <v>184.14</v>
      </c>
      <c r="B43" s="29">
        <v>172.5</v>
      </c>
      <c r="C43" s="29">
        <v>158.16666666666669</v>
      </c>
      <c r="D43" s="29">
        <v>112.5</v>
      </c>
      <c r="E43" s="29">
        <v>111.25</v>
      </c>
      <c r="F43" s="29">
        <v>2023</v>
      </c>
      <c r="H43">
        <f t="shared" si="1"/>
        <v>8.5269401878398418E-2</v>
      </c>
      <c r="I43">
        <f t="shared" ref="I43:K43" si="42">C43/$F43</f>
        <v>7.8184214862415558E-2</v>
      </c>
      <c r="J43">
        <f t="shared" si="42"/>
        <v>5.5610479485912009E-2</v>
      </c>
      <c r="K43">
        <f t="shared" si="42"/>
        <v>5.4992585269401879E-2</v>
      </c>
    </row>
    <row r="44" spans="1:11" ht="12.75">
      <c r="A44" s="11">
        <v>182.03</v>
      </c>
      <c r="B44" s="29">
        <v>125</v>
      </c>
      <c r="C44" s="29">
        <v>190</v>
      </c>
      <c r="D44" s="29">
        <v>305</v>
      </c>
      <c r="E44" s="29">
        <v>390</v>
      </c>
      <c r="F44" s="29">
        <v>3597</v>
      </c>
      <c r="H44">
        <f t="shared" si="1"/>
        <v>3.4751181540172364E-2</v>
      </c>
      <c r="I44">
        <f t="shared" ref="I44:K44" si="43">C44/$F44</f>
        <v>5.2821795941061997E-2</v>
      </c>
      <c r="J44">
        <f t="shared" si="43"/>
        <v>8.479288295802058E-2</v>
      </c>
      <c r="K44">
        <f t="shared" si="43"/>
        <v>0.10842368640533778</v>
      </c>
    </row>
    <row r="45" spans="1:11" ht="12.75">
      <c r="A45" s="11">
        <v>184.11</v>
      </c>
      <c r="B45" s="29">
        <v>540</v>
      </c>
      <c r="C45" s="29">
        <v>585</v>
      </c>
      <c r="D45" s="29">
        <v>565</v>
      </c>
      <c r="E45" s="29">
        <v>475</v>
      </c>
      <c r="F45" s="29">
        <v>7217</v>
      </c>
      <c r="H45">
        <f t="shared" si="1"/>
        <v>7.4823333795205768E-2</v>
      </c>
      <c r="I45">
        <f t="shared" ref="I45:K45" si="44">C45/$F45</f>
        <v>8.1058611611472917E-2</v>
      </c>
      <c r="J45">
        <f t="shared" si="44"/>
        <v>7.8287377026465294E-2</v>
      </c>
      <c r="K45">
        <f t="shared" si="44"/>
        <v>6.5816821393930997E-2</v>
      </c>
    </row>
    <row r="46" spans="1:11" ht="12.75">
      <c r="A46" s="11">
        <v>184.1</v>
      </c>
      <c r="B46" s="29">
        <v>355</v>
      </c>
      <c r="C46" s="29">
        <v>320</v>
      </c>
      <c r="D46" s="29">
        <v>390</v>
      </c>
      <c r="E46" s="29">
        <v>385</v>
      </c>
      <c r="F46" s="29">
        <v>4678</v>
      </c>
      <c r="H46">
        <f t="shared" si="1"/>
        <v>7.5887131252672088E-2</v>
      </c>
      <c r="I46">
        <f t="shared" ref="I46:K46" si="45">C46/$F46</f>
        <v>6.8405301410859348E-2</v>
      </c>
      <c r="J46">
        <f t="shared" si="45"/>
        <v>8.3368961094484828E-2</v>
      </c>
      <c r="K46">
        <f t="shared" si="45"/>
        <v>8.2300128259940139E-2</v>
      </c>
    </row>
    <row r="47" spans="1:11" ht="12.75">
      <c r="A47" s="11">
        <v>184.09</v>
      </c>
      <c r="B47" s="29">
        <v>280</v>
      </c>
      <c r="C47" s="29">
        <v>335</v>
      </c>
      <c r="D47" s="29">
        <v>330</v>
      </c>
      <c r="E47" s="29">
        <v>385</v>
      </c>
      <c r="F47" s="29">
        <v>4425</v>
      </c>
      <c r="H47">
        <f t="shared" si="1"/>
        <v>6.3276836158192087E-2</v>
      </c>
      <c r="I47">
        <f t="shared" ref="I47:K47" si="46">C47/$F47</f>
        <v>7.5706214689265541E-2</v>
      </c>
      <c r="J47">
        <f t="shared" si="46"/>
        <v>7.4576271186440682E-2</v>
      </c>
      <c r="K47">
        <f t="shared" si="46"/>
        <v>8.7005649717514122E-2</v>
      </c>
    </row>
    <row r="48" spans="1:11" ht="12.75">
      <c r="A48" s="11">
        <v>187.03</v>
      </c>
      <c r="B48" s="29">
        <v>455</v>
      </c>
      <c r="C48" s="29">
        <v>450</v>
      </c>
      <c r="D48" s="29">
        <v>505</v>
      </c>
      <c r="E48" s="29">
        <v>495</v>
      </c>
      <c r="F48" s="29">
        <v>6715</v>
      </c>
      <c r="H48">
        <f t="shared" si="1"/>
        <v>6.7758749069247948E-2</v>
      </c>
      <c r="I48">
        <f t="shared" ref="I48:K48" si="47">C48/$F48</f>
        <v>6.7014147431124355E-2</v>
      </c>
      <c r="J48">
        <f t="shared" si="47"/>
        <v>7.520476545048399E-2</v>
      </c>
      <c r="K48">
        <f t="shared" si="47"/>
        <v>7.371556217423679E-2</v>
      </c>
    </row>
    <row r="49" spans="1:11" ht="12.75">
      <c r="A49" s="11">
        <v>189.05</v>
      </c>
      <c r="B49" s="29">
        <v>310</v>
      </c>
      <c r="C49" s="29">
        <v>325</v>
      </c>
      <c r="D49" s="29">
        <v>320</v>
      </c>
      <c r="E49" s="29">
        <v>390</v>
      </c>
      <c r="F49" s="29">
        <v>7150</v>
      </c>
      <c r="H49">
        <f t="shared" si="1"/>
        <v>4.3356643356643354E-2</v>
      </c>
      <c r="I49">
        <f t="shared" ref="I49:K49" si="48">C49/$F49</f>
        <v>4.5454545454545456E-2</v>
      </c>
      <c r="J49">
        <f t="shared" si="48"/>
        <v>4.4755244755244755E-2</v>
      </c>
      <c r="K49">
        <f t="shared" si="48"/>
        <v>5.4545454545454543E-2</v>
      </c>
    </row>
    <row r="50" spans="1:11" ht="12.75">
      <c r="A50" s="11">
        <v>189.08</v>
      </c>
      <c r="B50" s="29">
        <v>470</v>
      </c>
      <c r="C50" s="29">
        <v>480</v>
      </c>
      <c r="D50" s="29">
        <v>440</v>
      </c>
      <c r="E50" s="29">
        <v>450</v>
      </c>
      <c r="F50" s="29">
        <v>6271</v>
      </c>
      <c r="H50">
        <f t="shared" si="1"/>
        <v>7.4948174134906717E-2</v>
      </c>
      <c r="I50">
        <f t="shared" ref="I50:K50" si="49">C50/$F50</f>
        <v>7.6542816137777067E-2</v>
      </c>
      <c r="J50">
        <f t="shared" si="49"/>
        <v>7.0164248126295653E-2</v>
      </c>
      <c r="K50">
        <f t="shared" si="49"/>
        <v>7.1758890129166003E-2</v>
      </c>
    </row>
    <row r="51" spans="1:11" ht="12.75">
      <c r="A51" s="11">
        <v>189.03</v>
      </c>
      <c r="B51" s="29">
        <v>190</v>
      </c>
      <c r="C51" s="29">
        <v>235</v>
      </c>
      <c r="D51" s="29">
        <v>275</v>
      </c>
      <c r="E51" s="29">
        <v>205</v>
      </c>
      <c r="F51" s="29">
        <v>3145</v>
      </c>
      <c r="H51">
        <f t="shared" si="1"/>
        <v>6.0413354531001592E-2</v>
      </c>
      <c r="I51">
        <f t="shared" ref="I51:K51" si="50">C51/$F51</f>
        <v>7.472178060413355E-2</v>
      </c>
      <c r="J51">
        <f t="shared" si="50"/>
        <v>8.7440381558028621E-2</v>
      </c>
      <c r="K51">
        <f t="shared" si="50"/>
        <v>6.518282988871224E-2</v>
      </c>
    </row>
    <row r="52" spans="1:11" ht="12.75">
      <c r="A52" s="11">
        <v>188.01</v>
      </c>
      <c r="B52" s="29">
        <v>150</v>
      </c>
      <c r="C52" s="29">
        <v>200</v>
      </c>
      <c r="D52" s="29">
        <v>250</v>
      </c>
      <c r="E52" s="29">
        <v>260</v>
      </c>
      <c r="F52" s="29">
        <v>2709</v>
      </c>
      <c r="H52">
        <f t="shared" si="1"/>
        <v>5.537098560354374E-2</v>
      </c>
      <c r="I52">
        <f t="shared" ref="I52:K52" si="51">C52/$F52</f>
        <v>7.3827980804724996E-2</v>
      </c>
      <c r="J52">
        <f t="shared" si="51"/>
        <v>9.2284976005906239E-2</v>
      </c>
      <c r="K52">
        <f t="shared" si="51"/>
        <v>9.5976375046142481E-2</v>
      </c>
    </row>
    <row r="53" spans="1:11" ht="12.75">
      <c r="A53" s="11">
        <v>188.02</v>
      </c>
      <c r="B53" s="29">
        <v>140</v>
      </c>
      <c r="C53" s="29">
        <v>185</v>
      </c>
      <c r="D53" s="29">
        <v>225</v>
      </c>
      <c r="E53" s="29">
        <v>205</v>
      </c>
      <c r="F53" s="29">
        <v>2423</v>
      </c>
      <c r="H53">
        <f t="shared" si="1"/>
        <v>5.7779612051176231E-2</v>
      </c>
      <c r="I53">
        <f t="shared" ref="I53:K53" si="52">C53/$F53</f>
        <v>7.6351630210482871E-2</v>
      </c>
      <c r="J53">
        <f t="shared" si="52"/>
        <v>9.2860090796533221E-2</v>
      </c>
      <c r="K53">
        <f t="shared" si="52"/>
        <v>8.4605860503508046E-2</v>
      </c>
    </row>
    <row r="54" spans="1:11" ht="12.75">
      <c r="A54" s="11">
        <v>189.07</v>
      </c>
      <c r="B54" s="29">
        <v>155</v>
      </c>
      <c r="C54" s="29">
        <v>170</v>
      </c>
      <c r="D54" s="29">
        <v>140</v>
      </c>
      <c r="E54" s="29">
        <v>145</v>
      </c>
      <c r="F54" s="29">
        <v>2376</v>
      </c>
      <c r="H54">
        <f t="shared" si="1"/>
        <v>6.523569023569023E-2</v>
      </c>
      <c r="I54">
        <f t="shared" ref="I54:K54" si="53">C54/$F54</f>
        <v>7.1548821548821542E-2</v>
      </c>
      <c r="J54">
        <f t="shared" si="53"/>
        <v>5.8922558922558925E-2</v>
      </c>
      <c r="K54">
        <f t="shared" si="53"/>
        <v>6.1026936026936027E-2</v>
      </c>
    </row>
    <row r="55" spans="1:11" ht="12.75">
      <c r="A55" s="11">
        <v>189.1</v>
      </c>
      <c r="B55" s="29">
        <v>295</v>
      </c>
      <c r="C55" s="29">
        <v>365</v>
      </c>
      <c r="D55" s="29">
        <v>455</v>
      </c>
      <c r="E55" s="29">
        <v>440</v>
      </c>
      <c r="F55" s="29">
        <v>5167</v>
      </c>
      <c r="H55">
        <f t="shared" si="1"/>
        <v>5.7093090768337525E-2</v>
      </c>
      <c r="I55">
        <f t="shared" ref="I55:K55" si="54">C55/$F55</f>
        <v>7.0640603832010831E-2</v>
      </c>
      <c r="J55">
        <f t="shared" si="54"/>
        <v>8.8058834913876519E-2</v>
      </c>
      <c r="K55">
        <f t="shared" si="54"/>
        <v>8.5155796400232242E-2</v>
      </c>
    </row>
    <row r="56" spans="1:11" ht="12.75">
      <c r="A56" s="11">
        <v>189.09</v>
      </c>
      <c r="B56" s="29">
        <v>205</v>
      </c>
      <c r="C56" s="29">
        <v>250</v>
      </c>
      <c r="D56" s="29">
        <v>315</v>
      </c>
      <c r="E56" s="29">
        <v>325</v>
      </c>
      <c r="F56" s="29">
        <v>3992</v>
      </c>
      <c r="H56">
        <f t="shared" si="1"/>
        <v>5.1352705410821646E-2</v>
      </c>
      <c r="I56">
        <f t="shared" ref="I56:K56" si="55">C56/$F56</f>
        <v>6.2625250501001997E-2</v>
      </c>
      <c r="J56">
        <f t="shared" si="55"/>
        <v>7.8907815631262521E-2</v>
      </c>
      <c r="K56">
        <f t="shared" si="55"/>
        <v>8.1412825651302603E-2</v>
      </c>
    </row>
    <row r="57" spans="1:11" ht="12.75">
      <c r="A57" s="11">
        <v>188.08</v>
      </c>
      <c r="B57" s="29">
        <v>105</v>
      </c>
      <c r="C57" s="29">
        <v>185</v>
      </c>
      <c r="D57" s="29">
        <v>262</v>
      </c>
      <c r="E57" s="29">
        <v>273</v>
      </c>
      <c r="F57" s="29">
        <v>2565</v>
      </c>
      <c r="H57">
        <f t="shared" si="1"/>
        <v>4.0935672514619881E-2</v>
      </c>
      <c r="I57">
        <f t="shared" ref="I57:K57" si="56">C57/$F57</f>
        <v>7.2124756335282647E-2</v>
      </c>
      <c r="J57">
        <f t="shared" si="56"/>
        <v>0.10214424951267057</v>
      </c>
      <c r="K57">
        <f t="shared" si="56"/>
        <v>0.1064327485380117</v>
      </c>
    </row>
    <row r="58" spans="1:11" ht="12.75">
      <c r="A58" s="11">
        <v>188.07</v>
      </c>
      <c r="B58" s="29">
        <v>210</v>
      </c>
      <c r="C58" s="29">
        <v>370</v>
      </c>
      <c r="D58" s="29">
        <v>523</v>
      </c>
      <c r="E58" s="29">
        <v>547</v>
      </c>
      <c r="F58" s="29">
        <v>5129</v>
      </c>
      <c r="H58">
        <f t="shared" si="1"/>
        <v>4.094365373367128E-2</v>
      </c>
      <c r="I58">
        <f t="shared" ref="I58:K58" si="57">C58/$F58</f>
        <v>7.2138818483135109E-2</v>
      </c>
      <c r="J58">
        <f t="shared" si="57"/>
        <v>0.10196919477480991</v>
      </c>
      <c r="K58">
        <f t="shared" si="57"/>
        <v>0.10664846948722947</v>
      </c>
    </row>
    <row r="59" spans="1:11" ht="12.75">
      <c r="A59" s="11">
        <v>188.04</v>
      </c>
      <c r="B59" s="29">
        <v>180</v>
      </c>
      <c r="C59" s="29">
        <v>200</v>
      </c>
      <c r="D59" s="29">
        <v>305</v>
      </c>
      <c r="E59" s="29">
        <v>295</v>
      </c>
      <c r="F59" s="29">
        <v>3343</v>
      </c>
      <c r="H59">
        <f t="shared" si="1"/>
        <v>5.384385282680227E-2</v>
      </c>
      <c r="I59">
        <f t="shared" ref="I59:K59" si="58">C59/$F59</f>
        <v>5.9826503140891413E-2</v>
      </c>
      <c r="J59">
        <f t="shared" si="58"/>
        <v>9.1235417289859413E-2</v>
      </c>
      <c r="K59">
        <f t="shared" si="58"/>
        <v>8.8244092132814839E-2</v>
      </c>
    </row>
    <row r="60" spans="1:11" ht="12.75">
      <c r="A60" s="11">
        <v>187.12</v>
      </c>
      <c r="B60" s="29">
        <v>230</v>
      </c>
      <c r="C60" s="29">
        <v>253</v>
      </c>
      <c r="D60" s="29">
        <v>287</v>
      </c>
      <c r="E60" s="29">
        <v>287</v>
      </c>
      <c r="F60" s="29">
        <v>3815</v>
      </c>
      <c r="H60">
        <f t="shared" si="1"/>
        <v>6.0288335517693317E-2</v>
      </c>
      <c r="I60">
        <f t="shared" ref="I60:K60" si="59">C60/$F60</f>
        <v>6.6317169069462653E-2</v>
      </c>
      <c r="J60">
        <f t="shared" si="59"/>
        <v>7.5229357798165142E-2</v>
      </c>
      <c r="K60">
        <f t="shared" si="59"/>
        <v>7.5229357798165142E-2</v>
      </c>
    </row>
    <row r="61" spans="1:11" ht="12.75">
      <c r="A61" s="11">
        <v>187.13</v>
      </c>
      <c r="B61" s="29">
        <v>230</v>
      </c>
      <c r="C61" s="29">
        <v>252</v>
      </c>
      <c r="D61" s="29">
        <v>288</v>
      </c>
      <c r="E61" s="29">
        <v>288</v>
      </c>
      <c r="F61" s="29">
        <v>3815</v>
      </c>
      <c r="H61">
        <f t="shared" si="1"/>
        <v>6.0288335517693317E-2</v>
      </c>
      <c r="I61">
        <f t="shared" ref="I61:K61" si="60">C61/$F61</f>
        <v>6.6055045871559637E-2</v>
      </c>
      <c r="J61">
        <f t="shared" si="60"/>
        <v>7.5491480996068158E-2</v>
      </c>
      <c r="K61">
        <f t="shared" si="60"/>
        <v>7.5491480996068158E-2</v>
      </c>
    </row>
    <row r="62" spans="1:11" ht="12.75">
      <c r="A62" s="11">
        <v>187.06</v>
      </c>
      <c r="B62" s="29">
        <v>320</v>
      </c>
      <c r="C62" s="29">
        <v>370</v>
      </c>
      <c r="D62" s="29">
        <v>470</v>
      </c>
      <c r="E62" s="29">
        <v>500</v>
      </c>
      <c r="F62" s="29">
        <v>5866</v>
      </c>
      <c r="H62">
        <f t="shared" si="1"/>
        <v>5.4551653596999657E-2</v>
      </c>
      <c r="I62">
        <f t="shared" ref="I62:K62" si="61">C62/$F62</f>
        <v>6.3075349471530859E-2</v>
      </c>
      <c r="J62">
        <f t="shared" si="61"/>
        <v>8.0122741220593249E-2</v>
      </c>
      <c r="K62">
        <f t="shared" si="61"/>
        <v>8.5236958745311966E-2</v>
      </c>
    </row>
    <row r="63" spans="1:11" ht="12.75">
      <c r="A63" s="11">
        <v>187.11</v>
      </c>
      <c r="B63" s="29">
        <v>230</v>
      </c>
      <c r="C63" s="29">
        <v>225</v>
      </c>
      <c r="D63" s="29">
        <v>245</v>
      </c>
      <c r="E63" s="29">
        <v>200</v>
      </c>
      <c r="F63" s="29">
        <v>3442</v>
      </c>
      <c r="H63">
        <f t="shared" si="1"/>
        <v>6.682161533991865E-2</v>
      </c>
      <c r="I63">
        <f t="shared" ref="I63:K63" si="62">C63/$F63</f>
        <v>6.5368971528181288E-2</v>
      </c>
      <c r="J63">
        <f t="shared" si="62"/>
        <v>7.1179546775130734E-2</v>
      </c>
      <c r="K63">
        <f t="shared" si="62"/>
        <v>5.8105752469494482E-2</v>
      </c>
    </row>
    <row r="64" spans="1:11" ht="12.75">
      <c r="A64" s="11">
        <v>187.07</v>
      </c>
      <c r="B64" s="29">
        <v>85</v>
      </c>
      <c r="C64" s="29">
        <v>135</v>
      </c>
      <c r="D64" s="29">
        <v>155</v>
      </c>
      <c r="E64" s="29">
        <v>180</v>
      </c>
      <c r="F64" s="29">
        <v>1784</v>
      </c>
      <c r="H64">
        <f t="shared" si="1"/>
        <v>4.76457399103139E-2</v>
      </c>
      <c r="I64">
        <f t="shared" ref="I64:K64" si="63">C64/$F64</f>
        <v>7.567264573991031E-2</v>
      </c>
      <c r="J64">
        <f t="shared" si="63"/>
        <v>8.688340807174888E-2</v>
      </c>
      <c r="K64">
        <f t="shared" si="63"/>
        <v>0.10089686098654709</v>
      </c>
    </row>
    <row r="65" spans="1:14" ht="12.75">
      <c r="A65" s="11">
        <v>187.15</v>
      </c>
      <c r="B65" s="37">
        <v>143.33333333333334</v>
      </c>
      <c r="C65" s="37">
        <v>181.66666666666666</v>
      </c>
      <c r="D65" s="37">
        <v>206.66666666666666</v>
      </c>
      <c r="E65" s="37">
        <v>216.66666666666666</v>
      </c>
      <c r="F65" s="37">
        <v>2909</v>
      </c>
      <c r="H65">
        <f t="shared" si="1"/>
        <v>4.9272373094992557E-2</v>
      </c>
      <c r="I65">
        <f t="shared" ref="I65:K65" si="64">C65/$F65</f>
        <v>6.2449868225048694E-2</v>
      </c>
      <c r="J65">
        <f t="shared" si="64"/>
        <v>7.1043886788128799E-2</v>
      </c>
      <c r="K65">
        <f t="shared" si="64"/>
        <v>7.4481494213360824E-2</v>
      </c>
    </row>
    <row r="66" spans="1:14" ht="12.75">
      <c r="A66" s="11">
        <v>187.14</v>
      </c>
      <c r="B66" s="37">
        <v>143.33333333333334</v>
      </c>
      <c r="C66" s="37">
        <v>181.66666666666666</v>
      </c>
      <c r="D66" s="37">
        <v>206.66666666666666</v>
      </c>
      <c r="E66" s="37">
        <v>216.66666666666666</v>
      </c>
      <c r="F66" s="37">
        <v>2909</v>
      </c>
      <c r="H66">
        <f t="shared" si="1"/>
        <v>4.9272373094992557E-2</v>
      </c>
      <c r="I66">
        <f t="shared" ref="I66:K66" si="65">C66/$F66</f>
        <v>6.2449868225048694E-2</v>
      </c>
      <c r="J66">
        <f t="shared" si="65"/>
        <v>7.1043886788128799E-2</v>
      </c>
      <c r="K66">
        <f t="shared" si="65"/>
        <v>7.4481494213360824E-2</v>
      </c>
    </row>
    <row r="67" spans="1:14" ht="12.75">
      <c r="A67" s="11">
        <v>187.16</v>
      </c>
      <c r="B67" s="37">
        <v>143.33333333333334</v>
      </c>
      <c r="C67" s="37">
        <v>181.66666666666666</v>
      </c>
      <c r="D67" s="37">
        <v>206.66666666666666</v>
      </c>
      <c r="E67" s="37">
        <v>216.66666666666666</v>
      </c>
      <c r="F67" s="37">
        <v>2909</v>
      </c>
      <c r="H67">
        <f t="shared" si="1"/>
        <v>4.9272373094992557E-2</v>
      </c>
      <c r="I67">
        <f t="shared" ref="I67:K67" si="66">C67/$F67</f>
        <v>6.2449868225048694E-2</v>
      </c>
      <c r="J67">
        <f t="shared" si="66"/>
        <v>7.1043886788128799E-2</v>
      </c>
      <c r="K67">
        <f t="shared" si="66"/>
        <v>7.4481494213360824E-2</v>
      </c>
    </row>
    <row r="68" spans="1:14" ht="12.75">
      <c r="A68" s="11">
        <v>182.04</v>
      </c>
      <c r="B68" s="29">
        <v>45</v>
      </c>
      <c r="C68" s="29">
        <v>90</v>
      </c>
      <c r="D68" s="29">
        <v>135</v>
      </c>
      <c r="E68" s="29">
        <v>165</v>
      </c>
      <c r="F68" s="29">
        <v>1496</v>
      </c>
      <c r="H68">
        <f t="shared" si="1"/>
        <v>3.0080213903743314E-2</v>
      </c>
      <c r="I68">
        <f t="shared" ref="I68:K68" si="67">C68/$F68</f>
        <v>6.0160427807486629E-2</v>
      </c>
      <c r="J68">
        <f t="shared" si="67"/>
        <v>9.0240641711229946E-2</v>
      </c>
      <c r="K68">
        <f t="shared" si="67"/>
        <v>0.11029411764705882</v>
      </c>
    </row>
    <row r="69" spans="1:14" ht="12.75">
      <c r="A69" s="11">
        <v>182.05</v>
      </c>
      <c r="B69" s="29">
        <v>275</v>
      </c>
      <c r="C69" s="29">
        <v>290</v>
      </c>
      <c r="D69" s="29">
        <v>310</v>
      </c>
      <c r="E69" s="29">
        <v>335</v>
      </c>
      <c r="F69" s="29">
        <v>4723</v>
      </c>
      <c r="H69">
        <f t="shared" si="1"/>
        <v>5.8225704001693836E-2</v>
      </c>
      <c r="I69">
        <f t="shared" ref="I69:K69" si="68">C69/$F69</f>
        <v>6.1401651492695324E-2</v>
      </c>
      <c r="J69">
        <f t="shared" si="68"/>
        <v>6.5636248147363963E-2</v>
      </c>
      <c r="K69">
        <f t="shared" si="68"/>
        <v>7.0929493965699766E-2</v>
      </c>
    </row>
    <row r="70" spans="1:14" ht="12.75">
      <c r="A70" s="11">
        <v>182.02</v>
      </c>
      <c r="B70" s="29">
        <v>335</v>
      </c>
      <c r="C70" s="29">
        <v>310</v>
      </c>
      <c r="D70" s="29">
        <v>205</v>
      </c>
      <c r="E70" s="29">
        <v>165</v>
      </c>
      <c r="F70" s="29">
        <v>3059</v>
      </c>
      <c r="H70">
        <f t="shared" si="1"/>
        <v>0.10951291271657404</v>
      </c>
      <c r="I70">
        <f t="shared" ref="I70:K70" si="69">C70/$F70</f>
        <v>0.10134030728996404</v>
      </c>
      <c r="J70">
        <f t="shared" si="69"/>
        <v>6.7015364498202029E-2</v>
      </c>
      <c r="K70">
        <f t="shared" si="69"/>
        <v>5.393919581562602E-2</v>
      </c>
      <c r="L70" s="31"/>
      <c r="M70" s="31"/>
      <c r="N70" s="31"/>
    </row>
    <row r="71" spans="1:14" ht="12.75">
      <c r="A71" s="11">
        <v>183.01</v>
      </c>
      <c r="B71" s="29">
        <v>405</v>
      </c>
      <c r="C71" s="29">
        <v>460</v>
      </c>
      <c r="D71" s="29">
        <v>545</v>
      </c>
      <c r="E71" s="29">
        <v>490</v>
      </c>
      <c r="F71" s="29">
        <v>5948</v>
      </c>
      <c r="H71">
        <f t="shared" si="1"/>
        <v>6.8090114324142567E-2</v>
      </c>
      <c r="I71">
        <f t="shared" ref="I71:K71" si="70">C71/$F71</f>
        <v>7.7336919973100202E-2</v>
      </c>
      <c r="J71">
        <f t="shared" si="70"/>
        <v>9.1627437794216546E-2</v>
      </c>
      <c r="K71">
        <f t="shared" si="70"/>
        <v>8.2380632145258911E-2</v>
      </c>
      <c r="L71" s="31"/>
      <c r="M71" s="31"/>
      <c r="N71" s="31"/>
    </row>
    <row r="72" spans="1:14" ht="12.75">
      <c r="A72" s="11">
        <v>183.03</v>
      </c>
      <c r="B72" s="29">
        <v>350</v>
      </c>
      <c r="C72" s="29">
        <v>320</v>
      </c>
      <c r="D72" s="29">
        <v>370</v>
      </c>
      <c r="E72" s="29">
        <v>390</v>
      </c>
      <c r="F72" s="29">
        <v>5755</v>
      </c>
      <c r="H72">
        <f t="shared" si="1"/>
        <v>6.0816681146828845E-2</v>
      </c>
      <c r="I72">
        <f t="shared" ref="I72:K72" si="71">C72/$F72</f>
        <v>5.560382276281494E-2</v>
      </c>
      <c r="J72">
        <f t="shared" si="71"/>
        <v>6.4291920069504779E-2</v>
      </c>
      <c r="K72">
        <f t="shared" si="71"/>
        <v>6.7767158992180707E-2</v>
      </c>
      <c r="L72" s="31"/>
      <c r="M72" s="31"/>
      <c r="N72" s="31"/>
    </row>
    <row r="73" spans="1:14" ht="12.75">
      <c r="A73" s="11">
        <v>183.05</v>
      </c>
      <c r="B73" s="29">
        <v>680</v>
      </c>
      <c r="C73" s="29">
        <v>565</v>
      </c>
      <c r="D73" s="29">
        <v>550</v>
      </c>
      <c r="E73" s="29">
        <v>445</v>
      </c>
      <c r="F73" s="29">
        <v>7038</v>
      </c>
      <c r="H73">
        <f t="shared" si="1"/>
        <v>9.6618357487922704E-2</v>
      </c>
      <c r="I73">
        <f t="shared" ref="I73:K73" si="72">C73/$F73</f>
        <v>8.0278488206876955E-2</v>
      </c>
      <c r="J73">
        <f t="shared" si="72"/>
        <v>7.8147200909349249E-2</v>
      </c>
      <c r="K73">
        <f t="shared" si="72"/>
        <v>6.3228189826655304E-2</v>
      </c>
      <c r="L73" s="31"/>
      <c r="M73" s="31"/>
      <c r="N73" s="31"/>
    </row>
    <row r="74" spans="1:14" ht="12.75">
      <c r="A74" s="11">
        <v>183.07</v>
      </c>
      <c r="B74" s="29">
        <v>305</v>
      </c>
      <c r="C74" s="29">
        <v>410</v>
      </c>
      <c r="D74" s="29">
        <v>505</v>
      </c>
      <c r="E74" s="29">
        <v>585</v>
      </c>
      <c r="F74" s="29">
        <v>6555</v>
      </c>
      <c r="H74">
        <f t="shared" si="1"/>
        <v>4.6529366895499621E-2</v>
      </c>
      <c r="I74">
        <f t="shared" ref="I74:K74" si="73">C74/$F74</f>
        <v>6.2547673531655232E-2</v>
      </c>
      <c r="J74">
        <f t="shared" si="73"/>
        <v>7.7040427154843633E-2</v>
      </c>
      <c r="K74">
        <f t="shared" si="73"/>
        <v>8.924485125858124E-2</v>
      </c>
      <c r="L74" s="31"/>
      <c r="M74" s="31"/>
      <c r="N74" s="31"/>
    </row>
    <row r="75" spans="1:14" ht="12.75">
      <c r="A75" s="11">
        <v>183.06</v>
      </c>
      <c r="B75" s="29">
        <v>125</v>
      </c>
      <c r="C75" s="29">
        <v>155</v>
      </c>
      <c r="D75" s="29">
        <v>150</v>
      </c>
      <c r="E75" s="29">
        <v>125</v>
      </c>
      <c r="F75" s="29">
        <v>2237</v>
      </c>
      <c r="H75">
        <f t="shared" si="1"/>
        <v>5.5878408582923561E-2</v>
      </c>
      <c r="I75">
        <f t="shared" ref="I75:K75" si="74">C75/$F75</f>
        <v>6.9289226642825219E-2</v>
      </c>
      <c r="J75">
        <f t="shared" si="74"/>
        <v>6.7054090299508276E-2</v>
      </c>
      <c r="K75">
        <f t="shared" si="74"/>
        <v>5.5878408582923561E-2</v>
      </c>
      <c r="L75" s="31"/>
      <c r="M75" s="31"/>
      <c r="N75" s="31"/>
    </row>
    <row r="76" spans="1:14" ht="12.75">
      <c r="A76" s="11">
        <v>183.08</v>
      </c>
      <c r="B76" s="41">
        <v>59</v>
      </c>
      <c r="C76" s="41">
        <v>43</v>
      </c>
      <c r="D76" s="41">
        <v>48</v>
      </c>
      <c r="E76" s="41">
        <v>47</v>
      </c>
      <c r="F76" s="41">
        <v>2066</v>
      </c>
      <c r="H76">
        <f t="shared" si="1"/>
        <v>2.8557599225556632E-2</v>
      </c>
      <c r="I76">
        <f t="shared" ref="I76:K76" si="75">C76/$F76</f>
        <v>2.0813165537270088E-2</v>
      </c>
      <c r="J76">
        <f t="shared" si="75"/>
        <v>2.3233301064859633E-2</v>
      </c>
      <c r="K76">
        <f t="shared" si="75"/>
        <v>2.2749273959341725E-2</v>
      </c>
    </row>
    <row r="77" spans="1:14" ht="17.25">
      <c r="A77" s="21">
        <v>183.09</v>
      </c>
      <c r="B77" s="41">
        <v>296</v>
      </c>
      <c r="C77" s="42">
        <v>212</v>
      </c>
      <c r="D77" s="41">
        <v>237</v>
      </c>
      <c r="E77" s="41">
        <v>233</v>
      </c>
      <c r="F77" s="26">
        <v>2066</v>
      </c>
      <c r="H77">
        <f t="shared" si="1"/>
        <v>0.14327202323330107</v>
      </c>
      <c r="I77">
        <f t="shared" ref="I77:K77" si="76">C77/$F77</f>
        <v>0.10261374636979671</v>
      </c>
      <c r="J77">
        <f t="shared" si="76"/>
        <v>0.11471442400774444</v>
      </c>
      <c r="K77">
        <f t="shared" si="76"/>
        <v>0.11277831558567279</v>
      </c>
    </row>
    <row r="78" spans="1:14" ht="12.75">
      <c r="A78" s="11">
        <v>182.06</v>
      </c>
      <c r="B78" s="29">
        <v>50</v>
      </c>
      <c r="C78" s="29">
        <v>70</v>
      </c>
      <c r="D78" s="29">
        <v>90</v>
      </c>
      <c r="E78" s="29">
        <v>95</v>
      </c>
      <c r="F78" s="29">
        <v>1212</v>
      </c>
      <c r="H78">
        <f t="shared" si="1"/>
        <v>4.1254125412541254E-2</v>
      </c>
      <c r="I78">
        <f t="shared" ref="I78:K78" si="77">C78/$F78</f>
        <v>5.7755775577557754E-2</v>
      </c>
      <c r="J78">
        <f t="shared" si="77"/>
        <v>7.4257425742574254E-2</v>
      </c>
      <c r="K78">
        <f t="shared" si="77"/>
        <v>7.8382838283828388E-2</v>
      </c>
    </row>
    <row r="79" spans="1:14" ht="12.75">
      <c r="A79" s="11">
        <v>188.06</v>
      </c>
      <c r="B79" s="29">
        <v>60</v>
      </c>
      <c r="C79" s="29">
        <v>60</v>
      </c>
      <c r="D79" s="29">
        <v>90</v>
      </c>
      <c r="E79" s="29">
        <v>80</v>
      </c>
      <c r="F79" s="29">
        <v>1008</v>
      </c>
      <c r="H79">
        <f t="shared" si="1"/>
        <v>5.9523809523809521E-2</v>
      </c>
      <c r="I79">
        <f t="shared" ref="I79:K79" si="78">C79/$F79</f>
        <v>5.9523809523809521E-2</v>
      </c>
      <c r="J79">
        <f t="shared" si="78"/>
        <v>8.9285714285714288E-2</v>
      </c>
      <c r="K79">
        <f t="shared" si="78"/>
        <v>7.9365079365079361E-2</v>
      </c>
    </row>
    <row r="80" spans="1:14" ht="12.75">
      <c r="A80" s="11">
        <v>188.05</v>
      </c>
      <c r="B80" s="29">
        <v>85</v>
      </c>
      <c r="C80" s="29">
        <v>140</v>
      </c>
      <c r="D80" s="29">
        <v>230</v>
      </c>
      <c r="E80" s="29">
        <v>300</v>
      </c>
      <c r="F80" s="29">
        <v>2380</v>
      </c>
      <c r="H80">
        <f t="shared" si="1"/>
        <v>3.5714285714285712E-2</v>
      </c>
      <c r="I80">
        <f t="shared" ref="I80:K80" si="79">C80/$F80</f>
        <v>5.8823529411764705E-2</v>
      </c>
      <c r="J80">
        <f t="shared" si="79"/>
        <v>9.6638655462184878E-2</v>
      </c>
      <c r="K80">
        <f t="shared" si="79"/>
        <v>0.12605042016806722</v>
      </c>
    </row>
    <row r="81" spans="1:11" ht="12.75">
      <c r="A81" s="11">
        <v>182.01</v>
      </c>
      <c r="B81" s="29">
        <v>125</v>
      </c>
      <c r="C81" s="29">
        <v>190</v>
      </c>
      <c r="D81" s="29">
        <v>230</v>
      </c>
      <c r="E81" s="29">
        <v>245</v>
      </c>
      <c r="F81" s="29">
        <v>3141</v>
      </c>
      <c r="H81">
        <f t="shared" si="1"/>
        <v>3.9796243234638651E-2</v>
      </c>
      <c r="I81">
        <f t="shared" ref="I81:K81" si="80">C81/$F81</f>
        <v>6.0490289716650748E-2</v>
      </c>
      <c r="J81">
        <f t="shared" si="80"/>
        <v>7.322508755173511E-2</v>
      </c>
      <c r="K81">
        <f t="shared" si="80"/>
        <v>7.8000636739891757E-2</v>
      </c>
    </row>
    <row r="82" spans="1:11" ht="12.75">
      <c r="A82" s="11">
        <v>180.01</v>
      </c>
      <c r="B82" s="29">
        <v>475</v>
      </c>
      <c r="C82" s="29">
        <v>420</v>
      </c>
      <c r="D82" s="29">
        <v>360</v>
      </c>
      <c r="E82" s="29">
        <v>345</v>
      </c>
      <c r="F82" s="29">
        <v>5881</v>
      </c>
      <c r="H82">
        <f t="shared" si="1"/>
        <v>8.076857677265771E-2</v>
      </c>
      <c r="I82">
        <f t="shared" ref="I82:K82" si="81">C82/$F82</f>
        <v>7.1416425777928921E-2</v>
      </c>
      <c r="J82">
        <f t="shared" si="81"/>
        <v>6.1214079238224792E-2</v>
      </c>
      <c r="K82">
        <f t="shared" si="81"/>
        <v>5.8663492603298756E-2</v>
      </c>
    </row>
    <row r="83" spans="1:11" ht="12.75">
      <c r="A83" s="11">
        <v>180.04</v>
      </c>
      <c r="B83" s="41">
        <v>127</v>
      </c>
      <c r="C83" s="41">
        <v>170</v>
      </c>
      <c r="D83" s="41">
        <v>230</v>
      </c>
      <c r="E83" s="41">
        <v>255</v>
      </c>
      <c r="F83" s="31">
        <v>3438</v>
      </c>
      <c r="H83">
        <f t="shared" si="1"/>
        <v>3.6940081442699245E-2</v>
      </c>
      <c r="I83">
        <f t="shared" ref="I83:K83" si="82">C83/$F83</f>
        <v>4.9447353112274578E-2</v>
      </c>
      <c r="J83">
        <f t="shared" si="82"/>
        <v>6.689936009307737E-2</v>
      </c>
      <c r="K83">
        <f t="shared" si="82"/>
        <v>7.4171029668411867E-2</v>
      </c>
    </row>
    <row r="84" spans="1:11" ht="12.75">
      <c r="A84" s="11">
        <v>180.03</v>
      </c>
      <c r="B84" s="41">
        <v>128</v>
      </c>
      <c r="C84" s="41">
        <v>170</v>
      </c>
      <c r="D84" s="41">
        <v>230</v>
      </c>
      <c r="E84" s="41">
        <v>255</v>
      </c>
      <c r="F84" s="31">
        <v>3438</v>
      </c>
      <c r="H84">
        <f t="shared" si="1"/>
        <v>3.7230948225712622E-2</v>
      </c>
      <c r="I84">
        <f t="shared" ref="I84:K84" si="83">C84/$F84</f>
        <v>4.9447353112274578E-2</v>
      </c>
      <c r="J84">
        <f t="shared" si="83"/>
        <v>6.689936009307737E-2</v>
      </c>
      <c r="K84">
        <f t="shared" si="83"/>
        <v>7.4171029668411867E-2</v>
      </c>
    </row>
    <row r="85" spans="1:11" ht="12.75">
      <c r="A85" s="11">
        <v>181.13</v>
      </c>
      <c r="B85" s="41">
        <v>123</v>
      </c>
      <c r="C85" s="41">
        <v>148</v>
      </c>
      <c r="D85" s="41">
        <v>171</v>
      </c>
      <c r="E85" s="41">
        <v>181</v>
      </c>
      <c r="F85" s="31">
        <v>2725</v>
      </c>
      <c r="H85">
        <f t="shared" si="1"/>
        <v>4.5137614678899082E-2</v>
      </c>
      <c r="I85">
        <f t="shared" ref="I85:K85" si="84">C85/$F85</f>
        <v>5.4311926605504587E-2</v>
      </c>
      <c r="J85">
        <f t="shared" si="84"/>
        <v>6.2752293577981649E-2</v>
      </c>
      <c r="K85">
        <f t="shared" si="84"/>
        <v>6.6422018348623851E-2</v>
      </c>
    </row>
    <row r="86" spans="1:11" ht="17.25">
      <c r="A86" s="11">
        <v>181.12</v>
      </c>
      <c r="B86" s="42">
        <v>123</v>
      </c>
      <c r="C86" s="42">
        <v>148</v>
      </c>
      <c r="D86" s="42">
        <v>172</v>
      </c>
      <c r="E86" s="42">
        <v>182</v>
      </c>
      <c r="F86" s="31">
        <v>2725</v>
      </c>
      <c r="H86">
        <f t="shared" si="1"/>
        <v>4.5137614678899082E-2</v>
      </c>
      <c r="I86">
        <f t="shared" ref="I86:K86" si="85">C86/$F86</f>
        <v>5.4311926605504587E-2</v>
      </c>
      <c r="J86">
        <f t="shared" si="85"/>
        <v>6.3119266055045878E-2</v>
      </c>
      <c r="K86">
        <f t="shared" si="85"/>
        <v>6.678899082568808E-2</v>
      </c>
    </row>
    <row r="87" spans="1:11" ht="12.75">
      <c r="A87" s="11">
        <v>181.14</v>
      </c>
      <c r="B87" s="29">
        <v>124</v>
      </c>
      <c r="C87" s="29">
        <v>149</v>
      </c>
      <c r="D87" s="29">
        <v>172</v>
      </c>
      <c r="E87" s="29">
        <v>182</v>
      </c>
      <c r="F87" s="31">
        <v>2726</v>
      </c>
      <c r="H87">
        <f t="shared" si="1"/>
        <v>4.5487894350696993E-2</v>
      </c>
      <c r="I87">
        <f t="shared" ref="I87:K87" si="86">C87/$F87</f>
        <v>5.4658840792369774E-2</v>
      </c>
      <c r="J87">
        <f t="shared" si="86"/>
        <v>6.3096111518708725E-2</v>
      </c>
      <c r="K87">
        <f t="shared" si="86"/>
        <v>6.676449009537784E-2</v>
      </c>
    </row>
    <row r="88" spans="1:11" ht="12.75">
      <c r="A88" s="11">
        <v>181.1</v>
      </c>
      <c r="B88" s="41">
        <v>183.33333333333331</v>
      </c>
      <c r="C88" s="41">
        <v>241.66666666666669</v>
      </c>
      <c r="D88" s="41">
        <v>383.33333333333337</v>
      </c>
      <c r="E88" s="41">
        <v>458.33333333333337</v>
      </c>
      <c r="F88" s="31">
        <v>6391</v>
      </c>
      <c r="H88">
        <f t="shared" si="1"/>
        <v>2.8686173264486515E-2</v>
      </c>
      <c r="I88">
        <f t="shared" ref="I88:K88" si="87">C88/$F88</f>
        <v>3.7813592030459503E-2</v>
      </c>
      <c r="J88">
        <f t="shared" si="87"/>
        <v>5.9980180462108179E-2</v>
      </c>
      <c r="K88">
        <f t="shared" si="87"/>
        <v>7.1715433161216299E-2</v>
      </c>
    </row>
    <row r="89" spans="1:11" ht="12.75">
      <c r="A89" s="11">
        <v>181.11</v>
      </c>
      <c r="B89" s="41">
        <v>36.666666666666686</v>
      </c>
      <c r="C89" s="41">
        <v>48.333333333333314</v>
      </c>
      <c r="D89" s="41">
        <v>76.666666666666629</v>
      </c>
      <c r="E89" s="41">
        <v>91.666666666666629</v>
      </c>
      <c r="F89" s="31">
        <v>1292</v>
      </c>
      <c r="H89">
        <f t="shared" si="1"/>
        <v>2.8379772961816319E-2</v>
      </c>
      <c r="I89">
        <f t="shared" ref="I89:K89" si="88">C89/$F89</f>
        <v>3.7409700722394204E-2</v>
      </c>
      <c r="J89">
        <f t="shared" si="88"/>
        <v>5.9339525283797698E-2</v>
      </c>
      <c r="K89">
        <f t="shared" si="88"/>
        <v>7.0949432404540741E-2</v>
      </c>
    </row>
    <row r="90" spans="1:11" ht="12.75">
      <c r="A90" s="11">
        <v>181.09</v>
      </c>
      <c r="B90" s="29">
        <v>190</v>
      </c>
      <c r="C90" s="29">
        <v>365</v>
      </c>
      <c r="D90" s="29">
        <v>555</v>
      </c>
      <c r="E90" s="29">
        <v>560</v>
      </c>
      <c r="F90" s="31">
        <v>6298</v>
      </c>
      <c r="H90">
        <f t="shared" si="1"/>
        <v>3.0168307399174341E-2</v>
      </c>
      <c r="I90">
        <f t="shared" ref="I90:K90" si="89">C90/$F90</f>
        <v>5.7954906319466495E-2</v>
      </c>
      <c r="J90">
        <f t="shared" si="89"/>
        <v>8.8123213718640833E-2</v>
      </c>
      <c r="K90">
        <f t="shared" si="89"/>
        <v>8.8917116544934893E-2</v>
      </c>
    </row>
    <row r="91" spans="1:11" ht="12.75">
      <c r="A91" s="11">
        <v>181.03</v>
      </c>
      <c r="B91" s="29">
        <v>220</v>
      </c>
      <c r="C91" s="29">
        <v>315</v>
      </c>
      <c r="D91" s="29">
        <v>445</v>
      </c>
      <c r="E91" s="29">
        <v>485</v>
      </c>
      <c r="F91" s="31">
        <v>5555</v>
      </c>
      <c r="H91">
        <f t="shared" si="1"/>
        <v>3.9603960396039604E-2</v>
      </c>
      <c r="I91">
        <f t="shared" ref="I91:K91" si="90">C91/$F91</f>
        <v>5.6705670567056707E-2</v>
      </c>
      <c r="J91">
        <f t="shared" si="90"/>
        <v>8.0108010801080112E-2</v>
      </c>
      <c r="K91">
        <f t="shared" si="90"/>
        <v>8.7308730873087312E-2</v>
      </c>
    </row>
    <row r="92" spans="1:11" ht="12.75">
      <c r="A92" s="11">
        <v>181.07</v>
      </c>
      <c r="B92" s="29">
        <v>125</v>
      </c>
      <c r="C92" s="29">
        <v>205</v>
      </c>
      <c r="D92" s="29">
        <v>280</v>
      </c>
      <c r="E92" s="29">
        <v>315</v>
      </c>
      <c r="F92" s="31">
        <v>3555</v>
      </c>
      <c r="H92">
        <f t="shared" si="1"/>
        <v>3.5161744022503515E-2</v>
      </c>
      <c r="I92">
        <f t="shared" ref="I92:K92" si="91">C92/$F92</f>
        <v>5.7665260196905765E-2</v>
      </c>
      <c r="J92">
        <f t="shared" si="91"/>
        <v>7.8762306610407881E-2</v>
      </c>
      <c r="K92">
        <f t="shared" si="91"/>
        <v>8.8607594936708861E-2</v>
      </c>
    </row>
    <row r="93" spans="1:11" ht="12.75">
      <c r="A93" s="11">
        <v>181.08</v>
      </c>
      <c r="B93" s="29">
        <v>105</v>
      </c>
      <c r="C93" s="29">
        <v>130</v>
      </c>
      <c r="D93" s="29">
        <v>156</v>
      </c>
      <c r="E93" s="29">
        <v>185</v>
      </c>
      <c r="F93" s="31">
        <v>2465</v>
      </c>
      <c r="H93">
        <f t="shared" si="1"/>
        <v>4.2596348884381338E-2</v>
      </c>
      <c r="I93">
        <f t="shared" ref="I93:K93" si="92">C93/$F93</f>
        <v>5.2738336713995942E-2</v>
      </c>
      <c r="J93">
        <f t="shared" si="92"/>
        <v>6.3286004056795131E-2</v>
      </c>
      <c r="K93">
        <f t="shared" si="92"/>
        <v>7.5050709939148072E-2</v>
      </c>
    </row>
    <row r="94" spans="1:11" ht="12.75">
      <c r="A94" s="11">
        <v>170.04</v>
      </c>
      <c r="B94" s="29">
        <v>175</v>
      </c>
      <c r="C94" s="29">
        <v>215</v>
      </c>
      <c r="D94" s="29">
        <v>240</v>
      </c>
      <c r="E94" s="29">
        <v>250</v>
      </c>
      <c r="F94" s="31">
        <v>5253</v>
      </c>
      <c r="H94">
        <f t="shared" si="1"/>
        <v>3.3314296592423374E-2</v>
      </c>
      <c r="I94">
        <f t="shared" ref="I94:K94" si="93">C94/$F94</f>
        <v>4.0928992956405862E-2</v>
      </c>
      <c r="J94">
        <f t="shared" si="93"/>
        <v>4.5688178183894916E-2</v>
      </c>
      <c r="K94">
        <f t="shared" si="93"/>
        <v>4.7591852274890538E-2</v>
      </c>
    </row>
    <row r="95" spans="1:11" ht="12.75">
      <c r="A95" s="11">
        <v>170.03</v>
      </c>
      <c r="B95" s="29">
        <v>45</v>
      </c>
      <c r="C95" s="29">
        <v>40</v>
      </c>
      <c r="D95" s="29">
        <v>70</v>
      </c>
      <c r="E95" s="29">
        <v>75</v>
      </c>
      <c r="F95" s="31">
        <v>3450</v>
      </c>
      <c r="H95">
        <f t="shared" si="1"/>
        <v>1.3043478260869565E-2</v>
      </c>
      <c r="I95">
        <f t="shared" ref="I95:K95" si="94">C95/$F95</f>
        <v>1.1594202898550725E-2</v>
      </c>
      <c r="J95">
        <f t="shared" si="94"/>
        <v>2.0289855072463767E-2</v>
      </c>
      <c r="K95">
        <f t="shared" si="94"/>
        <v>2.1739130434782608E-2</v>
      </c>
    </row>
    <row r="96" spans="1:11" ht="12.75">
      <c r="A96" s="11">
        <v>170.05</v>
      </c>
      <c r="B96" s="29">
        <v>50</v>
      </c>
      <c r="C96" s="29">
        <v>30</v>
      </c>
      <c r="D96" s="29">
        <v>30</v>
      </c>
      <c r="E96" s="29">
        <v>50</v>
      </c>
      <c r="F96" s="31">
        <v>2365</v>
      </c>
      <c r="H96">
        <f t="shared" si="1"/>
        <v>2.1141649048625793E-2</v>
      </c>
      <c r="I96">
        <f t="shared" ref="I96:K96" si="95">C96/$F96</f>
        <v>1.2684989429175475E-2</v>
      </c>
      <c r="J96">
        <f t="shared" si="95"/>
        <v>1.2684989429175475E-2</v>
      </c>
      <c r="K96">
        <f t="shared" si="95"/>
        <v>2.1141649048625793E-2</v>
      </c>
    </row>
    <row r="97" spans="1:14" ht="12.75">
      <c r="A97" s="11">
        <v>170.08</v>
      </c>
      <c r="B97" s="29">
        <v>155</v>
      </c>
      <c r="C97" s="29">
        <v>170</v>
      </c>
      <c r="D97" s="29">
        <v>197</v>
      </c>
      <c r="E97" s="29">
        <v>187</v>
      </c>
      <c r="F97" s="31">
        <v>3843</v>
      </c>
      <c r="H97">
        <f t="shared" si="1"/>
        <v>4.0333073119958367E-2</v>
      </c>
      <c r="I97">
        <f t="shared" ref="I97:K97" si="96">C97/$F97</f>
        <v>4.4236273744470464E-2</v>
      </c>
      <c r="J97">
        <f t="shared" si="96"/>
        <v>5.1262034868592245E-2</v>
      </c>
      <c r="K97">
        <f t="shared" si="96"/>
        <v>4.8659901118917513E-2</v>
      </c>
    </row>
    <row r="98" spans="1:14" ht="12.75">
      <c r="A98" s="11">
        <v>170.07</v>
      </c>
      <c r="B98" s="29">
        <v>155</v>
      </c>
      <c r="C98" s="29">
        <v>170</v>
      </c>
      <c r="D98" s="29">
        <v>198</v>
      </c>
      <c r="E98" s="29">
        <v>188</v>
      </c>
      <c r="F98" s="31">
        <v>3844</v>
      </c>
      <c r="H98">
        <f t="shared" si="1"/>
        <v>4.0322580645161289E-2</v>
      </c>
      <c r="I98">
        <f t="shared" ref="I98:K98" si="97">C98/$F98</f>
        <v>4.4224765868886573E-2</v>
      </c>
      <c r="J98">
        <f t="shared" si="97"/>
        <v>5.1508844953173774E-2</v>
      </c>
      <c r="K98">
        <f t="shared" si="97"/>
        <v>4.8907388137356921E-2</v>
      </c>
    </row>
    <row r="99" spans="1:14" ht="12.75">
      <c r="A99" s="11">
        <v>181.05</v>
      </c>
      <c r="B99" s="29">
        <v>320</v>
      </c>
      <c r="C99" s="29">
        <v>315</v>
      </c>
      <c r="D99" s="29">
        <v>365</v>
      </c>
      <c r="E99" s="29">
        <v>390</v>
      </c>
      <c r="F99" s="31">
        <v>7472</v>
      </c>
      <c r="H99">
        <f t="shared" si="1"/>
        <v>4.2826552462526764E-2</v>
      </c>
      <c r="I99">
        <f t="shared" ref="I99:K99" si="98">C99/$F99</f>
        <v>4.2157387580299785E-2</v>
      </c>
      <c r="J99">
        <f t="shared" si="98"/>
        <v>4.8849036402569594E-2</v>
      </c>
      <c r="K99">
        <f t="shared" si="98"/>
        <v>5.2194860813704495E-2</v>
      </c>
    </row>
    <row r="100" spans="1:14" ht="12.75">
      <c r="A100" s="11">
        <v>181.16</v>
      </c>
      <c r="B100" s="41">
        <v>95</v>
      </c>
      <c r="C100" s="41">
        <v>95</v>
      </c>
      <c r="D100" s="41">
        <v>135</v>
      </c>
      <c r="E100" s="41">
        <v>135</v>
      </c>
      <c r="F100" s="31">
        <v>2450</v>
      </c>
      <c r="H100">
        <f t="shared" si="1"/>
        <v>3.8775510204081633E-2</v>
      </c>
      <c r="I100">
        <f t="shared" ref="I100:K100" si="99">C100/$F100</f>
        <v>3.8775510204081633E-2</v>
      </c>
      <c r="J100">
        <f t="shared" si="99"/>
        <v>5.5102040816326532E-2</v>
      </c>
      <c r="K100">
        <f t="shared" si="99"/>
        <v>5.5102040816326532E-2</v>
      </c>
    </row>
    <row r="101" spans="1:14" ht="12.75">
      <c r="A101" s="11">
        <v>181.15</v>
      </c>
      <c r="B101" s="41">
        <v>95</v>
      </c>
      <c r="C101" s="41">
        <v>95</v>
      </c>
      <c r="D101" s="41">
        <v>135</v>
      </c>
      <c r="E101" s="41">
        <v>135</v>
      </c>
      <c r="F101" s="41">
        <v>2450</v>
      </c>
      <c r="H101">
        <f t="shared" si="1"/>
        <v>3.8775510204081633E-2</v>
      </c>
      <c r="I101">
        <f t="shared" ref="I101:K101" si="100">C101/$F101</f>
        <v>3.8775510204081633E-2</v>
      </c>
      <c r="J101">
        <f t="shared" si="100"/>
        <v>5.5102040816326532E-2</v>
      </c>
      <c r="K101">
        <f t="shared" si="100"/>
        <v>5.5102040816326532E-2</v>
      </c>
      <c r="L101" s="31"/>
      <c r="M101" s="31"/>
    </row>
    <row r="102" spans="1:14" ht="12.75">
      <c r="A102" s="1">
        <v>185.05</v>
      </c>
      <c r="B102" s="31">
        <v>370</v>
      </c>
      <c r="C102" s="31">
        <v>465</v>
      </c>
      <c r="D102" s="31">
        <v>500</v>
      </c>
      <c r="E102" s="31">
        <v>445</v>
      </c>
      <c r="F102" s="31">
        <v>5420</v>
      </c>
      <c r="G102" s="31"/>
      <c r="H102" s="1">
        <v>6.8265682659999993E-2</v>
      </c>
      <c r="I102">
        <f t="shared" ref="I102:K102" si="101">C102/$F102</f>
        <v>8.5793357933579339E-2</v>
      </c>
      <c r="J102">
        <f t="shared" si="101"/>
        <v>9.2250922509225092E-2</v>
      </c>
      <c r="K102">
        <f t="shared" si="101"/>
        <v>8.210332103321033E-2</v>
      </c>
      <c r="L102" s="31"/>
      <c r="M102" s="31"/>
    </row>
    <row r="103" spans="1:14" ht="12.75">
      <c r="B103" s="31"/>
      <c r="C103" s="31"/>
      <c r="D103" s="31"/>
      <c r="E103" s="31"/>
      <c r="F103" s="31"/>
      <c r="G103" s="31"/>
      <c r="H103">
        <f t="shared" ref="H103:K103" si="102">SUM(H2:H102)/101</f>
        <v>5.894531554375608E-2</v>
      </c>
      <c r="I103">
        <f t="shared" si="102"/>
        <v>6.3694904204306388E-2</v>
      </c>
      <c r="J103">
        <f t="shared" si="102"/>
        <v>7.077759498217838E-2</v>
      </c>
      <c r="K103">
        <f t="shared" si="102"/>
        <v>7.0681964151363783E-2</v>
      </c>
      <c r="L103">
        <f>I103+0.6*J103</f>
        <v>0.10616146119361342</v>
      </c>
      <c r="M103">
        <f>0.6*K103+0.4*J103</f>
        <v>7.0720216483689619E-2</v>
      </c>
      <c r="N103" s="31"/>
    </row>
    <row r="104" spans="1:14" ht="12.75">
      <c r="B104" s="31"/>
      <c r="C104" s="31"/>
      <c r="D104" s="31"/>
      <c r="E104" s="31"/>
      <c r="F104" s="31"/>
      <c r="G104" s="31"/>
      <c r="L104" s="31"/>
      <c r="M104" s="31"/>
      <c r="N104" s="31"/>
    </row>
    <row r="105" spans="1:14" ht="12.75">
      <c r="B105" s="31"/>
      <c r="C105" s="31"/>
      <c r="D105" s="31"/>
      <c r="E105" s="31"/>
      <c r="F105" s="31"/>
      <c r="G105" s="31"/>
      <c r="L105" s="31"/>
      <c r="M105" s="31"/>
      <c r="N105" s="31"/>
    </row>
    <row r="106" spans="1:14" ht="12.75">
      <c r="B106" s="31"/>
      <c r="C106" s="31"/>
      <c r="D106" s="31"/>
      <c r="E106" s="31"/>
      <c r="F106" s="31"/>
      <c r="G106" s="31"/>
      <c r="L106" s="31"/>
      <c r="M106" s="31"/>
      <c r="N106" s="31"/>
    </row>
    <row r="107" spans="1:14" ht="12.75">
      <c r="B107" s="31"/>
      <c r="C107" s="31"/>
      <c r="D107" s="31"/>
      <c r="E107" s="31"/>
      <c r="F107" s="31"/>
      <c r="G107" s="31"/>
      <c r="L107" s="31"/>
      <c r="M107" s="31"/>
      <c r="N107" s="31"/>
    </row>
    <row r="108" spans="1:14" ht="12.75">
      <c r="B108" s="31"/>
      <c r="C108" s="31"/>
      <c r="D108" s="31"/>
      <c r="E108" s="31"/>
      <c r="F108" s="31"/>
      <c r="G108" s="31"/>
      <c r="L108" s="31"/>
      <c r="M108" s="31"/>
      <c r="N108" s="31"/>
    </row>
    <row r="109" spans="1:14" ht="12.75">
      <c r="B109" s="31"/>
      <c r="C109" s="31"/>
      <c r="D109" s="31"/>
      <c r="E109" s="31"/>
      <c r="F109" s="31"/>
      <c r="G109" s="31"/>
      <c r="L109" s="31"/>
      <c r="M109" s="31"/>
      <c r="N109" s="31"/>
    </row>
    <row r="110" spans="1:14" ht="12.75">
      <c r="B110" s="31"/>
      <c r="C110" s="31"/>
      <c r="D110" s="31"/>
      <c r="E110" s="31"/>
      <c r="F110" s="31"/>
      <c r="G110" s="31"/>
      <c r="L110" s="31"/>
      <c r="M110" s="31"/>
      <c r="N110" s="31"/>
    </row>
    <row r="111" spans="1:14" ht="12.75">
      <c r="B111" s="31"/>
      <c r="C111" s="31"/>
      <c r="D111" s="31"/>
      <c r="E111" s="31"/>
      <c r="F111" s="31"/>
      <c r="G111" s="31"/>
      <c r="L111" s="31"/>
      <c r="M111" s="31"/>
      <c r="N111" s="31"/>
    </row>
    <row r="112" spans="1:14" ht="12.75">
      <c r="B112" s="31"/>
      <c r="C112" s="31"/>
      <c r="D112" s="31"/>
      <c r="E112" s="31"/>
      <c r="F112" s="31"/>
      <c r="G112" s="31"/>
      <c r="L112" s="31"/>
      <c r="M112" s="31"/>
      <c r="N112" s="31"/>
    </row>
    <row r="113" spans="2:14" ht="12.75">
      <c r="B113" s="31"/>
      <c r="C113" s="31"/>
      <c r="D113" s="31"/>
      <c r="E113" s="31"/>
      <c r="F113" s="31"/>
      <c r="G113" s="31"/>
      <c r="L113" s="31"/>
      <c r="M113" s="31"/>
      <c r="N113" s="31"/>
    </row>
    <row r="114" spans="2:14" ht="12.75">
      <c r="B114" s="31"/>
      <c r="C114" s="31"/>
      <c r="D114" s="31"/>
      <c r="E114" s="31"/>
      <c r="F114" s="31"/>
      <c r="G114" s="31"/>
      <c r="L114" s="31"/>
      <c r="M114" s="31"/>
      <c r="N114" s="31"/>
    </row>
    <row r="115" spans="2:14" ht="12.75">
      <c r="B115" s="31"/>
      <c r="C115" s="31"/>
      <c r="D115" s="31"/>
      <c r="E115" s="31"/>
      <c r="F115" s="31"/>
      <c r="G115" s="31"/>
      <c r="L115" s="31"/>
      <c r="M115" s="31"/>
      <c r="N115" s="31"/>
    </row>
    <row r="116" spans="2:14" ht="12.75">
      <c r="B116" s="31"/>
      <c r="C116" s="31"/>
      <c r="D116" s="31"/>
      <c r="E116" s="31"/>
      <c r="F116" s="31"/>
      <c r="G116" s="31"/>
      <c r="L116" s="31"/>
      <c r="M116" s="31"/>
      <c r="N116" s="31"/>
    </row>
    <row r="117" spans="2:14" ht="12.75">
      <c r="B117" s="31"/>
      <c r="C117" s="31"/>
      <c r="D117" s="31"/>
      <c r="E117" s="31"/>
      <c r="F117" s="31"/>
      <c r="G117" s="31"/>
      <c r="L117" s="31"/>
      <c r="M117" s="31"/>
      <c r="N117" s="31"/>
    </row>
    <row r="118" spans="2:14" ht="12.75">
      <c r="B118" s="31"/>
      <c r="C118" s="31"/>
      <c r="D118" s="31"/>
      <c r="E118" s="31"/>
      <c r="F118" s="31"/>
      <c r="G118" s="31"/>
      <c r="L118" s="31"/>
      <c r="M118" s="31"/>
      <c r="N118" s="31"/>
    </row>
    <row r="119" spans="2:14" ht="12.75">
      <c r="B119" s="31"/>
      <c r="C119" s="31"/>
      <c r="D119" s="31"/>
      <c r="E119" s="31"/>
      <c r="F119" s="31"/>
      <c r="G119" s="31"/>
      <c r="L119" s="31"/>
      <c r="M119" s="31"/>
      <c r="N119" s="31"/>
    </row>
    <row r="120" spans="2:14" ht="12.75">
      <c r="B120" s="31"/>
      <c r="C120" s="31"/>
      <c r="D120" s="31"/>
      <c r="E120" s="31"/>
      <c r="F120" s="31"/>
      <c r="G120" s="31"/>
      <c r="L120" s="31"/>
      <c r="M120" s="31"/>
      <c r="N120" s="31"/>
    </row>
    <row r="121" spans="2:14" ht="12.75">
      <c r="B121" s="31"/>
      <c r="C121" s="31"/>
      <c r="D121" s="31"/>
      <c r="E121" s="31"/>
      <c r="F121" s="31"/>
      <c r="G121" s="31"/>
      <c r="L121" s="31"/>
      <c r="M121" s="31"/>
      <c r="N121" s="31"/>
    </row>
    <row r="122" spans="2:14" ht="12.75">
      <c r="B122" s="31"/>
      <c r="C122" s="31"/>
      <c r="D122" s="31"/>
      <c r="E122" s="31"/>
      <c r="F122" s="31"/>
      <c r="G122" s="31"/>
      <c r="L122" s="31"/>
      <c r="M122" s="31"/>
      <c r="N122" s="31"/>
    </row>
    <row r="123" spans="2:14" ht="12.75">
      <c r="B123" s="31"/>
      <c r="C123" s="31"/>
      <c r="D123" s="31"/>
      <c r="E123" s="31"/>
      <c r="F123" s="31"/>
      <c r="G123" s="31"/>
      <c r="L123" s="31"/>
      <c r="M123" s="31"/>
      <c r="N123" s="31"/>
    </row>
    <row r="124" spans="2:14" ht="12.75">
      <c r="B124" s="31"/>
      <c r="C124" s="31"/>
      <c r="D124" s="31"/>
      <c r="E124" s="31"/>
      <c r="F124" s="31"/>
      <c r="G124" s="31"/>
      <c r="L124" s="31"/>
      <c r="M124" s="31"/>
      <c r="N124" s="31"/>
    </row>
    <row r="125" spans="2:14" ht="12.75">
      <c r="B125" s="31"/>
      <c r="C125" s="31"/>
      <c r="D125" s="31"/>
      <c r="E125" s="31"/>
      <c r="F125" s="31"/>
      <c r="G125" s="31"/>
      <c r="L125" s="31"/>
      <c r="M125" s="31"/>
      <c r="N125" s="31"/>
    </row>
    <row r="126" spans="2:14" ht="12.75">
      <c r="B126" s="31"/>
      <c r="C126" s="31"/>
      <c r="D126" s="31"/>
      <c r="E126" s="31"/>
      <c r="F126" s="31"/>
      <c r="G126" s="31"/>
      <c r="L126" s="31"/>
      <c r="M126" s="31"/>
      <c r="N126" s="31"/>
    </row>
    <row r="127" spans="2:14" ht="12.75">
      <c r="B127" s="31"/>
      <c r="C127" s="31"/>
      <c r="D127" s="31"/>
      <c r="E127" s="31"/>
      <c r="F127" s="31"/>
      <c r="G127" s="31"/>
      <c r="L127" s="31"/>
      <c r="M127" s="31"/>
      <c r="N127" s="31"/>
    </row>
    <row r="128" spans="2:14" ht="12.75">
      <c r="B128" s="31"/>
      <c r="C128" s="31"/>
      <c r="D128" s="31"/>
      <c r="E128" s="31"/>
      <c r="F128" s="31"/>
      <c r="G128" s="31"/>
      <c r="L128" s="31"/>
      <c r="M128" s="31"/>
      <c r="N128" s="31"/>
    </row>
    <row r="129" spans="2:14" ht="12.75">
      <c r="B129" s="31"/>
      <c r="C129" s="31"/>
      <c r="D129" s="31"/>
      <c r="E129" s="31"/>
      <c r="F129" s="31"/>
      <c r="G129" s="31"/>
      <c r="L129" s="31"/>
      <c r="M129" s="31"/>
      <c r="N129" s="31"/>
    </row>
    <row r="130" spans="2:14" ht="12.75">
      <c r="B130" s="31"/>
      <c r="C130" s="31"/>
      <c r="D130" s="31"/>
      <c r="E130" s="31"/>
      <c r="F130" s="31"/>
      <c r="G130" s="31"/>
      <c r="L130" s="31"/>
      <c r="M130" s="31"/>
      <c r="N130" s="31"/>
    </row>
    <row r="131" spans="2:14" ht="12.75">
      <c r="B131" s="31"/>
      <c r="C131" s="31"/>
      <c r="D131" s="31"/>
      <c r="E131" s="31"/>
      <c r="F131" s="31"/>
      <c r="G131" s="31"/>
      <c r="L131" s="31"/>
      <c r="M131" s="31"/>
      <c r="N131" s="31"/>
    </row>
    <row r="132" spans="2:14" ht="12.75">
      <c r="B132" s="31"/>
      <c r="C132" s="31"/>
      <c r="D132" s="31"/>
      <c r="E132" s="31"/>
      <c r="F132" s="31"/>
      <c r="G132" s="31"/>
      <c r="L132" s="31"/>
      <c r="M132" s="31"/>
      <c r="N132" s="31"/>
    </row>
    <row r="133" spans="2:14" ht="12.75">
      <c r="B133" s="31"/>
      <c r="C133" s="31"/>
      <c r="D133" s="31"/>
      <c r="E133" s="31"/>
      <c r="F133" s="31"/>
      <c r="G133" s="31"/>
      <c r="L133" s="31"/>
      <c r="M133" s="31"/>
      <c r="N133" s="31"/>
    </row>
    <row r="134" spans="2:14" ht="12.75">
      <c r="B134" s="31"/>
      <c r="C134" s="31"/>
      <c r="D134" s="31"/>
      <c r="E134" s="31"/>
      <c r="F134" s="31"/>
      <c r="G134" s="31"/>
      <c r="L134" s="31"/>
      <c r="M134" s="31"/>
      <c r="N134" s="31"/>
    </row>
    <row r="135" spans="2:14" ht="12.75">
      <c r="B135" s="31"/>
      <c r="C135" s="31"/>
      <c r="D135" s="31"/>
      <c r="E135" s="31"/>
      <c r="F135" s="31"/>
      <c r="G135" s="31"/>
      <c r="L135" s="31"/>
      <c r="M135" s="31"/>
      <c r="N135" s="31"/>
    </row>
    <row r="136" spans="2:14" ht="12.75">
      <c r="B136" s="31"/>
      <c r="C136" s="31"/>
      <c r="D136" s="31"/>
      <c r="E136" s="31"/>
      <c r="F136" s="31"/>
      <c r="G136" s="31"/>
      <c r="L136" s="31"/>
      <c r="M136" s="31"/>
      <c r="N136" s="31"/>
    </row>
    <row r="137" spans="2:14" ht="12.75">
      <c r="B137" s="31"/>
      <c r="C137" s="31"/>
      <c r="D137" s="31"/>
      <c r="E137" s="31"/>
      <c r="F137" s="31"/>
      <c r="G137" s="31"/>
      <c r="L137" s="31"/>
      <c r="M137" s="31"/>
      <c r="N137" s="31"/>
    </row>
    <row r="138" spans="2:14" ht="12.75">
      <c r="B138" s="31"/>
      <c r="C138" s="31"/>
      <c r="D138" s="31"/>
      <c r="E138" s="31"/>
      <c r="F138" s="31"/>
      <c r="G138" s="31"/>
      <c r="L138" s="31"/>
      <c r="M138" s="31"/>
      <c r="N138" s="31"/>
    </row>
    <row r="139" spans="2:14" ht="12.75">
      <c r="B139" s="31"/>
      <c r="C139" s="31"/>
      <c r="D139" s="31"/>
      <c r="E139" s="31"/>
      <c r="F139" s="31"/>
      <c r="G139" s="31"/>
      <c r="L139" s="31"/>
      <c r="M139" s="31"/>
      <c r="N139" s="31"/>
    </row>
    <row r="140" spans="2:14" ht="12.75">
      <c r="B140" s="31"/>
      <c r="C140" s="31"/>
      <c r="D140" s="31"/>
      <c r="E140" s="31"/>
      <c r="F140" s="31"/>
      <c r="G140" s="31"/>
      <c r="L140" s="31"/>
      <c r="M140" s="31"/>
      <c r="N140" s="31"/>
    </row>
    <row r="141" spans="2:14" ht="12.75">
      <c r="B141" s="31"/>
      <c r="C141" s="31"/>
      <c r="D141" s="31"/>
      <c r="E141" s="31"/>
      <c r="F141" s="31"/>
      <c r="G141" s="31"/>
      <c r="L141" s="31"/>
      <c r="M141" s="31"/>
      <c r="N141" s="31"/>
    </row>
    <row r="142" spans="2:14" ht="12.75">
      <c r="B142" s="31"/>
      <c r="C142" s="31"/>
      <c r="D142" s="31"/>
      <c r="E142" s="31"/>
      <c r="F142" s="31"/>
      <c r="G142" s="31"/>
      <c r="L142" s="31"/>
      <c r="M142" s="31"/>
      <c r="N142" s="31"/>
    </row>
    <row r="143" spans="2:14" ht="12.75">
      <c r="B143" s="31"/>
      <c r="C143" s="31"/>
      <c r="D143" s="31"/>
      <c r="E143" s="31"/>
      <c r="F143" s="31"/>
      <c r="G143" s="31"/>
      <c r="L143" s="31"/>
      <c r="M143" s="31"/>
      <c r="N143" s="31"/>
    </row>
    <row r="144" spans="2:14" ht="12.75">
      <c r="B144" s="31"/>
      <c r="C144" s="31"/>
      <c r="D144" s="31"/>
      <c r="E144" s="31"/>
      <c r="F144" s="31"/>
      <c r="G144" s="31"/>
      <c r="L144" s="31"/>
      <c r="M144" s="31"/>
      <c r="N144" s="31"/>
    </row>
    <row r="145" spans="2:14" ht="12.75">
      <c r="B145" s="31"/>
      <c r="C145" s="31"/>
      <c r="D145" s="31"/>
      <c r="E145" s="31"/>
      <c r="F145" s="31"/>
      <c r="G145" s="31"/>
      <c r="L145" s="31"/>
      <c r="M145" s="31"/>
      <c r="N145" s="31"/>
    </row>
    <row r="146" spans="2:14" ht="12.75">
      <c r="B146" s="31"/>
      <c r="C146" s="31"/>
      <c r="D146" s="31"/>
      <c r="E146" s="31"/>
      <c r="F146" s="31"/>
      <c r="G146" s="31"/>
      <c r="L146" s="31"/>
      <c r="M146" s="31"/>
      <c r="N146" s="31"/>
    </row>
    <row r="147" spans="2:14" ht="12.75">
      <c r="B147" s="31"/>
      <c r="C147" s="31"/>
      <c r="D147" s="31"/>
      <c r="E147" s="31"/>
      <c r="F147" s="31"/>
      <c r="G147" s="31"/>
      <c r="L147" s="31"/>
      <c r="M147" s="31"/>
      <c r="N147" s="31"/>
    </row>
    <row r="148" spans="2:14" ht="12.75">
      <c r="B148" s="31"/>
      <c r="C148" s="31"/>
      <c r="D148" s="31"/>
      <c r="E148" s="31"/>
      <c r="F148" s="31"/>
      <c r="G148" s="31"/>
      <c r="L148" s="31"/>
      <c r="M148" s="31"/>
      <c r="N148" s="31"/>
    </row>
    <row r="149" spans="2:14" ht="12.75">
      <c r="B149" s="31"/>
      <c r="C149" s="31"/>
      <c r="D149" s="31"/>
      <c r="E149" s="31"/>
      <c r="F149" s="31"/>
      <c r="G149" s="31"/>
      <c r="L149" s="31"/>
      <c r="M149" s="31"/>
      <c r="N149" s="31"/>
    </row>
    <row r="150" spans="2:14" ht="12.75">
      <c r="B150" s="31"/>
      <c r="C150" s="31"/>
      <c r="D150" s="31"/>
      <c r="E150" s="31"/>
      <c r="F150" s="31"/>
      <c r="G150" s="31"/>
      <c r="L150" s="31"/>
      <c r="M150" s="31"/>
      <c r="N150" s="31"/>
    </row>
    <row r="151" spans="2:14" ht="12.75">
      <c r="B151" s="31"/>
      <c r="C151" s="31"/>
      <c r="D151" s="31"/>
      <c r="E151" s="31"/>
      <c r="F151" s="31"/>
      <c r="G151" s="31"/>
      <c r="L151" s="31"/>
      <c r="M151" s="31"/>
      <c r="N151" s="31"/>
    </row>
    <row r="152" spans="2:14" ht="12.75">
      <c r="B152" s="31"/>
      <c r="C152" s="31"/>
      <c r="D152" s="31"/>
      <c r="E152" s="31"/>
      <c r="F152" s="31"/>
      <c r="G152" s="31"/>
      <c r="L152" s="31"/>
      <c r="M152" s="31"/>
      <c r="N152" s="31"/>
    </row>
    <row r="153" spans="2:14" ht="12.75">
      <c r="B153" s="31"/>
      <c r="C153" s="31"/>
      <c r="D153" s="31"/>
      <c r="E153" s="31"/>
      <c r="F153" s="31"/>
      <c r="G153" s="31"/>
      <c r="L153" s="31"/>
      <c r="M153" s="31"/>
      <c r="N153" s="31"/>
    </row>
    <row r="154" spans="2:14" ht="12.75">
      <c r="B154" s="31"/>
      <c r="C154" s="31"/>
      <c r="D154" s="31"/>
      <c r="E154" s="31"/>
      <c r="F154" s="31"/>
      <c r="G154" s="31"/>
      <c r="L154" s="31"/>
      <c r="M154" s="31"/>
      <c r="N154" s="31"/>
    </row>
    <row r="155" spans="2:14" ht="12.75">
      <c r="B155" s="31"/>
      <c r="C155" s="31"/>
      <c r="D155" s="31"/>
      <c r="E155" s="31"/>
      <c r="F155" s="31"/>
      <c r="G155" s="31"/>
      <c r="L155" s="31"/>
      <c r="M155" s="31"/>
      <c r="N155" s="31"/>
    </row>
    <row r="156" spans="2:14" ht="12.75">
      <c r="B156" s="31"/>
      <c r="C156" s="31"/>
      <c r="D156" s="31"/>
      <c r="E156" s="31"/>
      <c r="F156" s="31"/>
      <c r="G156" s="31"/>
      <c r="L156" s="31"/>
      <c r="M156" s="31"/>
      <c r="N156" s="31"/>
    </row>
    <row r="157" spans="2:14" ht="12.75">
      <c r="B157" s="31"/>
      <c r="C157" s="31"/>
      <c r="D157" s="31"/>
      <c r="E157" s="31"/>
      <c r="F157" s="31"/>
      <c r="G157" s="31"/>
      <c r="L157" s="31"/>
      <c r="M157" s="31"/>
      <c r="N157" s="31"/>
    </row>
    <row r="158" spans="2:14" ht="12.75">
      <c r="B158" s="31"/>
      <c r="C158" s="31"/>
      <c r="D158" s="31"/>
      <c r="E158" s="31"/>
      <c r="F158" s="31"/>
      <c r="G158" s="31"/>
      <c r="L158" s="31"/>
      <c r="M158" s="31"/>
      <c r="N158" s="31"/>
    </row>
    <row r="159" spans="2:14" ht="12.75">
      <c r="B159" s="31"/>
      <c r="C159" s="31"/>
      <c r="D159" s="31"/>
      <c r="E159" s="31"/>
      <c r="F159" s="31"/>
      <c r="G159" s="31"/>
      <c r="L159" s="31"/>
      <c r="M159" s="31"/>
      <c r="N159" s="31"/>
    </row>
    <row r="160" spans="2:14" ht="12.75">
      <c r="B160" s="31"/>
      <c r="C160" s="31"/>
      <c r="D160" s="31"/>
      <c r="E160" s="31"/>
      <c r="F160" s="31"/>
      <c r="G160" s="31"/>
      <c r="L160" s="31"/>
      <c r="M160" s="31"/>
      <c r="N160" s="31"/>
    </row>
    <row r="161" spans="2:14" ht="12.75">
      <c r="B161" s="31"/>
      <c r="C161" s="31"/>
      <c r="D161" s="31"/>
      <c r="E161" s="31"/>
      <c r="F161" s="31"/>
      <c r="G161" s="31"/>
      <c r="L161" s="31"/>
      <c r="M161" s="31"/>
      <c r="N161" s="31"/>
    </row>
    <row r="162" spans="2:14" ht="12.75">
      <c r="B162" s="31"/>
      <c r="C162" s="31"/>
      <c r="D162" s="31"/>
      <c r="E162" s="31"/>
      <c r="F162" s="31"/>
      <c r="G162" s="31"/>
      <c r="L162" s="31"/>
      <c r="M162" s="31"/>
      <c r="N162" s="31"/>
    </row>
    <row r="163" spans="2:14" ht="12.75">
      <c r="B163" s="31"/>
      <c r="C163" s="31"/>
      <c r="D163" s="31"/>
      <c r="E163" s="31"/>
      <c r="F163" s="31"/>
      <c r="G163" s="31"/>
      <c r="L163" s="31"/>
      <c r="M163" s="31"/>
      <c r="N163" s="31"/>
    </row>
    <row r="164" spans="2:14" ht="12.75">
      <c r="B164" s="31"/>
      <c r="C164" s="31"/>
      <c r="D164" s="31"/>
      <c r="E164" s="31"/>
      <c r="F164" s="31"/>
      <c r="G164" s="31"/>
      <c r="L164" s="31"/>
      <c r="M164" s="31"/>
      <c r="N164" s="31"/>
    </row>
    <row r="165" spans="2:14" ht="12.75">
      <c r="B165" s="31"/>
      <c r="C165" s="31"/>
      <c r="D165" s="31"/>
      <c r="E165" s="31"/>
      <c r="F165" s="31"/>
      <c r="G165" s="31"/>
      <c r="L165" s="31"/>
      <c r="M165" s="31"/>
      <c r="N165" s="31"/>
    </row>
    <row r="166" spans="2:14" ht="12.75">
      <c r="B166" s="31"/>
      <c r="C166" s="31"/>
      <c r="D166" s="31"/>
      <c r="E166" s="31"/>
      <c r="F166" s="31"/>
      <c r="G166" s="31"/>
      <c r="L166" s="31"/>
      <c r="M166" s="31"/>
      <c r="N166" s="31"/>
    </row>
    <row r="167" spans="2:14" ht="12.75">
      <c r="B167" s="31"/>
      <c r="C167" s="31"/>
      <c r="D167" s="31"/>
      <c r="E167" s="31"/>
      <c r="F167" s="31"/>
      <c r="G167" s="31"/>
      <c r="L167" s="31"/>
      <c r="M167" s="31"/>
      <c r="N167" s="31"/>
    </row>
    <row r="168" spans="2:14" ht="12.75">
      <c r="B168" s="31"/>
      <c r="C168" s="31"/>
      <c r="D168" s="31"/>
      <c r="E168" s="31"/>
      <c r="F168" s="31"/>
      <c r="G168" s="31"/>
      <c r="L168" s="31"/>
      <c r="M168" s="31"/>
      <c r="N168" s="31"/>
    </row>
    <row r="169" spans="2:14" ht="12.75">
      <c r="B169" s="31"/>
      <c r="C169" s="31"/>
      <c r="D169" s="31"/>
      <c r="E169" s="31"/>
      <c r="F169" s="31"/>
      <c r="G169" s="31"/>
      <c r="L169" s="31"/>
      <c r="M169" s="31"/>
      <c r="N169" s="31"/>
    </row>
    <row r="170" spans="2:14" ht="12.75">
      <c r="B170" s="31"/>
      <c r="C170" s="31"/>
      <c r="D170" s="31"/>
      <c r="E170" s="31"/>
      <c r="F170" s="31"/>
      <c r="G170" s="31"/>
      <c r="L170" s="31"/>
      <c r="M170" s="31"/>
      <c r="N170" s="31"/>
    </row>
    <row r="171" spans="2:14" ht="12.75">
      <c r="B171" s="31"/>
      <c r="C171" s="31"/>
      <c r="D171" s="31"/>
      <c r="E171" s="31"/>
      <c r="F171" s="31"/>
      <c r="G171" s="31"/>
      <c r="L171" s="31"/>
      <c r="M171" s="31"/>
      <c r="N171" s="31"/>
    </row>
    <row r="172" spans="2:14" ht="12.75">
      <c r="B172" s="31"/>
      <c r="C172" s="31"/>
      <c r="D172" s="31"/>
      <c r="E172" s="31"/>
      <c r="F172" s="31"/>
      <c r="G172" s="31"/>
      <c r="L172" s="31"/>
      <c r="M172" s="31"/>
      <c r="N172" s="31"/>
    </row>
    <row r="173" spans="2:14" ht="12.75">
      <c r="B173" s="31"/>
      <c r="C173" s="31"/>
      <c r="D173" s="31"/>
      <c r="E173" s="31"/>
      <c r="F173" s="31"/>
      <c r="G173" s="31"/>
      <c r="L173" s="31"/>
      <c r="M173" s="31"/>
      <c r="N173" s="31"/>
    </row>
    <row r="174" spans="2:14" ht="12.75">
      <c r="B174" s="31"/>
      <c r="C174" s="31"/>
      <c r="D174" s="31"/>
      <c r="E174" s="31"/>
      <c r="F174" s="31"/>
      <c r="G174" s="31"/>
      <c r="L174" s="31"/>
      <c r="M174" s="31"/>
      <c r="N174" s="31"/>
    </row>
    <row r="175" spans="2:14" ht="12.75">
      <c r="B175" s="31"/>
      <c r="C175" s="31"/>
      <c r="D175" s="31"/>
      <c r="E175" s="31"/>
      <c r="F175" s="31"/>
      <c r="G175" s="31"/>
      <c r="L175" s="31"/>
      <c r="M175" s="31"/>
      <c r="N175" s="31"/>
    </row>
    <row r="176" spans="2:14" ht="12.75">
      <c r="B176" s="31"/>
      <c r="C176" s="31"/>
      <c r="D176" s="31"/>
      <c r="E176" s="31"/>
      <c r="F176" s="31"/>
      <c r="G176" s="31"/>
      <c r="L176" s="31"/>
      <c r="M176" s="31"/>
      <c r="N176" s="31"/>
    </row>
    <row r="177" spans="2:14" ht="12.75">
      <c r="B177" s="31"/>
      <c r="C177" s="31"/>
      <c r="D177" s="31"/>
      <c r="E177" s="31"/>
      <c r="F177" s="31"/>
      <c r="G177" s="31"/>
      <c r="L177" s="31"/>
      <c r="M177" s="31"/>
      <c r="N177" s="31"/>
    </row>
    <row r="178" spans="2:14" ht="12.75">
      <c r="B178" s="31"/>
      <c r="C178" s="31"/>
      <c r="D178" s="31"/>
      <c r="E178" s="31"/>
      <c r="F178" s="31"/>
      <c r="G178" s="31"/>
      <c r="L178" s="31"/>
      <c r="M178" s="31"/>
      <c r="N178" s="31"/>
    </row>
    <row r="179" spans="2:14" ht="12.75">
      <c r="B179" s="31"/>
      <c r="C179" s="31"/>
      <c r="D179" s="31"/>
      <c r="E179" s="31"/>
      <c r="F179" s="31"/>
      <c r="G179" s="31"/>
      <c r="L179" s="31"/>
      <c r="M179" s="31"/>
      <c r="N179" s="31"/>
    </row>
    <row r="180" spans="2:14" ht="12.75">
      <c r="B180" s="31"/>
      <c r="C180" s="31"/>
      <c r="D180" s="31"/>
      <c r="E180" s="31"/>
      <c r="F180" s="31"/>
      <c r="G180" s="31"/>
      <c r="L180" s="31"/>
      <c r="M180" s="31"/>
      <c r="N180" s="31"/>
    </row>
    <row r="181" spans="2:14" ht="12.75">
      <c r="B181" s="31"/>
      <c r="C181" s="31"/>
      <c r="D181" s="31"/>
      <c r="E181" s="31"/>
      <c r="F181" s="31"/>
      <c r="G181" s="31"/>
      <c r="L181" s="31"/>
      <c r="M181" s="31"/>
      <c r="N181" s="31"/>
    </row>
    <row r="182" spans="2:14" ht="12.75">
      <c r="B182" s="31"/>
      <c r="C182" s="31"/>
      <c r="D182" s="31"/>
      <c r="E182" s="31"/>
      <c r="F182" s="31"/>
      <c r="G182" s="31"/>
      <c r="L182" s="31"/>
      <c r="M182" s="31"/>
      <c r="N182" s="31"/>
    </row>
    <row r="183" spans="2:14" ht="12.75">
      <c r="B183" s="31"/>
      <c r="C183" s="31"/>
      <c r="D183" s="31"/>
      <c r="E183" s="31"/>
      <c r="F183" s="31"/>
      <c r="G183" s="31"/>
      <c r="L183" s="31"/>
      <c r="M183" s="31"/>
      <c r="N183" s="31"/>
    </row>
    <row r="184" spans="2:14" ht="12.75">
      <c r="B184" s="31"/>
      <c r="C184" s="31"/>
      <c r="D184" s="31"/>
      <c r="E184" s="31"/>
      <c r="F184" s="31"/>
      <c r="G184" s="31"/>
      <c r="L184" s="31"/>
      <c r="M184" s="31"/>
      <c r="N184" s="31"/>
    </row>
    <row r="185" spans="2:14" ht="12.75">
      <c r="B185" s="31"/>
      <c r="C185" s="31"/>
      <c r="D185" s="31"/>
      <c r="E185" s="31"/>
      <c r="F185" s="31"/>
      <c r="G185" s="31"/>
      <c r="L185" s="31"/>
      <c r="M185" s="31"/>
      <c r="N185" s="31"/>
    </row>
    <row r="186" spans="2:14" ht="12.75">
      <c r="B186" s="31"/>
      <c r="C186" s="31"/>
      <c r="D186" s="31"/>
      <c r="E186" s="31"/>
      <c r="F186" s="31"/>
      <c r="G186" s="31"/>
      <c r="L186" s="31"/>
      <c r="M186" s="31"/>
      <c r="N186" s="31"/>
    </row>
    <row r="187" spans="2:14" ht="12.75">
      <c r="B187" s="31"/>
      <c r="C187" s="31"/>
      <c r="D187" s="31"/>
      <c r="E187" s="31"/>
      <c r="F187" s="31"/>
      <c r="G187" s="31"/>
      <c r="L187" s="31"/>
      <c r="M187" s="31"/>
      <c r="N187" s="31"/>
    </row>
    <row r="188" spans="2:14" ht="12.75">
      <c r="B188" s="31"/>
      <c r="C188" s="31"/>
      <c r="D188" s="31"/>
      <c r="E188" s="31"/>
      <c r="F188" s="31"/>
      <c r="G188" s="31"/>
      <c r="L188" s="31"/>
      <c r="M188" s="31"/>
      <c r="N188" s="31"/>
    </row>
    <row r="189" spans="2:14" ht="12.75">
      <c r="B189" s="31"/>
      <c r="C189" s="31"/>
      <c r="D189" s="31"/>
      <c r="E189" s="31"/>
      <c r="F189" s="31"/>
      <c r="G189" s="31"/>
      <c r="L189" s="31"/>
      <c r="M189" s="31"/>
      <c r="N189" s="31"/>
    </row>
    <row r="190" spans="2:14" ht="12.75">
      <c r="B190" s="31"/>
      <c r="C190" s="31"/>
      <c r="D190" s="31"/>
      <c r="E190" s="31"/>
      <c r="F190" s="31"/>
      <c r="G190" s="31"/>
      <c r="L190" s="31"/>
      <c r="M190" s="31"/>
      <c r="N190" s="31"/>
    </row>
    <row r="191" spans="2:14" ht="12.75">
      <c r="B191" s="31"/>
      <c r="C191" s="31"/>
      <c r="D191" s="31"/>
      <c r="E191" s="31"/>
      <c r="F191" s="31"/>
      <c r="G191" s="31"/>
      <c r="L191" s="31"/>
      <c r="M191" s="31"/>
      <c r="N191" s="31"/>
    </row>
    <row r="192" spans="2:14" ht="12.75">
      <c r="B192" s="31"/>
      <c r="C192" s="31"/>
      <c r="D192" s="31"/>
      <c r="E192" s="31"/>
      <c r="F192" s="31"/>
      <c r="G192" s="31"/>
      <c r="L192" s="31"/>
      <c r="M192" s="31"/>
      <c r="N192" s="31"/>
    </row>
    <row r="193" spans="2:14" ht="12.75">
      <c r="B193" s="31"/>
      <c r="C193" s="31"/>
      <c r="D193" s="31"/>
      <c r="E193" s="31"/>
      <c r="F193" s="31"/>
      <c r="G193" s="31"/>
      <c r="L193" s="31"/>
      <c r="M193" s="31"/>
      <c r="N193" s="31"/>
    </row>
    <row r="194" spans="2:14" ht="12.75">
      <c r="B194" s="31"/>
      <c r="C194" s="31"/>
      <c r="D194" s="31"/>
      <c r="E194" s="31"/>
      <c r="F194" s="31"/>
      <c r="G194" s="31"/>
      <c r="L194" s="31"/>
      <c r="M194" s="31"/>
      <c r="N194" s="31"/>
    </row>
    <row r="195" spans="2:14" ht="12.75">
      <c r="B195" s="31"/>
      <c r="C195" s="31"/>
      <c r="D195" s="31"/>
      <c r="E195" s="31"/>
      <c r="F195" s="31"/>
      <c r="G195" s="31"/>
      <c r="L195" s="31"/>
      <c r="M195" s="31"/>
      <c r="N195" s="31"/>
    </row>
    <row r="196" spans="2:14" ht="12.75">
      <c r="B196" s="31"/>
      <c r="C196" s="31"/>
      <c r="D196" s="31"/>
      <c r="E196" s="31"/>
      <c r="F196" s="31"/>
      <c r="G196" s="31"/>
      <c r="L196" s="31"/>
      <c r="M196" s="31"/>
      <c r="N196" s="31"/>
    </row>
    <row r="197" spans="2:14" ht="12.75">
      <c r="B197" s="31"/>
      <c r="C197" s="31"/>
      <c r="D197" s="31"/>
      <c r="E197" s="31"/>
      <c r="F197" s="31"/>
      <c r="G197" s="31"/>
      <c r="L197" s="31"/>
      <c r="M197" s="31"/>
      <c r="N197" s="31"/>
    </row>
    <row r="198" spans="2:14" ht="12.75">
      <c r="B198" s="31"/>
      <c r="C198" s="31"/>
      <c r="D198" s="31"/>
      <c r="E198" s="31"/>
      <c r="F198" s="31"/>
      <c r="G198" s="31"/>
      <c r="L198" s="31"/>
      <c r="M198" s="31"/>
      <c r="N198" s="31"/>
    </row>
    <row r="199" spans="2:14" ht="12.75">
      <c r="B199" s="31"/>
      <c r="C199" s="31"/>
      <c r="D199" s="31"/>
      <c r="E199" s="31"/>
      <c r="F199" s="31"/>
      <c r="G199" s="31"/>
      <c r="L199" s="31"/>
      <c r="M199" s="31"/>
      <c r="N199" s="31"/>
    </row>
    <row r="200" spans="2:14" ht="12.75">
      <c r="B200" s="31"/>
      <c r="C200" s="31"/>
      <c r="D200" s="31"/>
      <c r="E200" s="31"/>
      <c r="F200" s="31"/>
      <c r="G200" s="31"/>
      <c r="L200" s="31"/>
      <c r="M200" s="31"/>
      <c r="N200" s="31"/>
    </row>
    <row r="201" spans="2:14" ht="12.75">
      <c r="B201" s="31"/>
      <c r="C201" s="31"/>
      <c r="D201" s="31"/>
      <c r="E201" s="31"/>
      <c r="F201" s="31"/>
      <c r="G201" s="31"/>
      <c r="L201" s="31"/>
      <c r="M201" s="31"/>
      <c r="N201" s="31"/>
    </row>
    <row r="202" spans="2:14" ht="12.75">
      <c r="B202" s="31"/>
      <c r="C202" s="31"/>
      <c r="D202" s="31"/>
      <c r="E202" s="31"/>
      <c r="F202" s="31"/>
      <c r="G202" s="31"/>
      <c r="L202" s="31"/>
      <c r="M202" s="31"/>
      <c r="N202" s="31"/>
    </row>
    <row r="203" spans="2:14" ht="12.75">
      <c r="B203" s="31"/>
      <c r="C203" s="31"/>
      <c r="D203" s="31"/>
      <c r="E203" s="31"/>
      <c r="F203" s="31"/>
      <c r="G203" s="31"/>
      <c r="L203" s="31"/>
      <c r="M203" s="31"/>
      <c r="N203" s="31"/>
    </row>
    <row r="204" spans="2:14" ht="12.75">
      <c r="B204" s="31"/>
      <c r="C204" s="31"/>
      <c r="D204" s="31"/>
      <c r="E204" s="31"/>
      <c r="F204" s="31"/>
      <c r="G204" s="31"/>
      <c r="L204" s="31"/>
      <c r="M204" s="31"/>
      <c r="N204" s="31"/>
    </row>
    <row r="205" spans="2:14" ht="12.75">
      <c r="B205" s="31"/>
      <c r="C205" s="31"/>
      <c r="D205" s="31"/>
      <c r="E205" s="31"/>
      <c r="F205" s="31"/>
      <c r="G205" s="31"/>
      <c r="L205" s="31"/>
      <c r="M205" s="31"/>
      <c r="N205" s="31"/>
    </row>
    <row r="206" spans="2:14" ht="12.75">
      <c r="B206" s="31"/>
      <c r="C206" s="31"/>
      <c r="D206" s="31"/>
      <c r="E206" s="31"/>
      <c r="F206" s="31"/>
      <c r="G206" s="31"/>
      <c r="L206" s="31"/>
      <c r="M206" s="31"/>
      <c r="N206" s="31"/>
    </row>
    <row r="207" spans="2:14" ht="12.75">
      <c r="B207" s="31"/>
      <c r="C207" s="31"/>
      <c r="D207" s="31"/>
      <c r="E207" s="31"/>
      <c r="F207" s="31"/>
      <c r="G207" s="31"/>
      <c r="L207" s="31"/>
      <c r="M207" s="31"/>
      <c r="N207" s="31"/>
    </row>
    <row r="208" spans="2:14" ht="12.75">
      <c r="B208" s="31"/>
      <c r="C208" s="31"/>
      <c r="D208" s="31"/>
      <c r="E208" s="31"/>
      <c r="F208" s="31"/>
      <c r="G208" s="31"/>
      <c r="L208" s="31"/>
      <c r="M208" s="31"/>
      <c r="N208" s="31"/>
    </row>
    <row r="209" spans="2:14" ht="12.75">
      <c r="B209" s="31"/>
      <c r="C209" s="31"/>
      <c r="D209" s="31"/>
      <c r="E209" s="31"/>
      <c r="F209" s="31"/>
      <c r="G209" s="31"/>
      <c r="L209" s="31"/>
      <c r="M209" s="31"/>
      <c r="N209" s="31"/>
    </row>
    <row r="210" spans="2:14" ht="12.75">
      <c r="B210" s="31"/>
      <c r="C210" s="31"/>
      <c r="D210" s="31"/>
      <c r="E210" s="31"/>
      <c r="F210" s="31"/>
      <c r="G210" s="31"/>
      <c r="L210" s="31"/>
      <c r="M210" s="31"/>
      <c r="N210" s="31"/>
    </row>
    <row r="211" spans="2:14" ht="12.75">
      <c r="B211" s="31"/>
      <c r="C211" s="31"/>
      <c r="D211" s="31"/>
      <c r="E211" s="31"/>
      <c r="F211" s="31"/>
      <c r="G211" s="31"/>
      <c r="L211" s="31"/>
      <c r="M211" s="31"/>
      <c r="N211" s="31"/>
    </row>
    <row r="212" spans="2:14" ht="12.75">
      <c r="B212" s="31"/>
      <c r="C212" s="31"/>
      <c r="D212" s="31"/>
      <c r="E212" s="31"/>
      <c r="F212" s="31"/>
      <c r="G212" s="31"/>
      <c r="L212" s="31"/>
      <c r="M212" s="31"/>
      <c r="N212" s="31"/>
    </row>
    <row r="213" spans="2:14" ht="12.75">
      <c r="B213" s="31"/>
      <c r="C213" s="31"/>
      <c r="D213" s="31"/>
      <c r="E213" s="31"/>
      <c r="F213" s="31"/>
      <c r="G213" s="31"/>
      <c r="L213" s="31"/>
      <c r="M213" s="31"/>
      <c r="N213" s="31"/>
    </row>
    <row r="214" spans="2:14" ht="12.75">
      <c r="B214" s="31"/>
      <c r="C214" s="31"/>
      <c r="D214" s="31"/>
      <c r="E214" s="31"/>
      <c r="F214" s="31"/>
      <c r="G214" s="31"/>
      <c r="L214" s="31"/>
      <c r="M214" s="31"/>
      <c r="N214" s="31"/>
    </row>
    <row r="215" spans="2:14" ht="12.75">
      <c r="B215" s="31"/>
      <c r="C215" s="31"/>
      <c r="D215" s="31"/>
      <c r="E215" s="31"/>
      <c r="F215" s="31"/>
      <c r="G215" s="31"/>
      <c r="L215" s="31"/>
      <c r="M215" s="31"/>
      <c r="N215" s="31"/>
    </row>
    <row r="216" spans="2:14" ht="12.75">
      <c r="B216" s="31"/>
      <c r="C216" s="31"/>
      <c r="D216" s="31"/>
      <c r="E216" s="31"/>
      <c r="F216" s="31"/>
      <c r="G216" s="31"/>
      <c r="L216" s="31"/>
      <c r="M216" s="31"/>
      <c r="N216" s="31"/>
    </row>
    <row r="217" spans="2:14" ht="12.75">
      <c r="B217" s="31"/>
      <c r="C217" s="31"/>
      <c r="D217" s="31"/>
      <c r="E217" s="31"/>
      <c r="F217" s="31"/>
      <c r="G217" s="31"/>
      <c r="L217" s="31"/>
      <c r="M217" s="31"/>
      <c r="N217" s="31"/>
    </row>
    <row r="218" spans="2:14" ht="12.75">
      <c r="B218" s="31"/>
      <c r="C218" s="31"/>
      <c r="D218" s="31"/>
      <c r="E218" s="31"/>
      <c r="F218" s="31"/>
      <c r="G218" s="31"/>
      <c r="L218" s="31"/>
      <c r="M218" s="31"/>
      <c r="N218" s="31"/>
    </row>
    <row r="219" spans="2:14" ht="12.75">
      <c r="B219" s="31"/>
      <c r="C219" s="31"/>
      <c r="D219" s="31"/>
      <c r="E219" s="31"/>
      <c r="F219" s="31"/>
      <c r="G219" s="31"/>
      <c r="L219" s="31"/>
      <c r="M219" s="31"/>
      <c r="N219" s="31"/>
    </row>
    <row r="220" spans="2:14" ht="12.75">
      <c r="B220" s="31"/>
      <c r="C220" s="31"/>
      <c r="D220" s="31"/>
      <c r="E220" s="31"/>
      <c r="F220" s="31"/>
      <c r="G220" s="31"/>
      <c r="L220" s="31"/>
      <c r="M220" s="31"/>
      <c r="N220" s="31"/>
    </row>
    <row r="221" spans="2:14" ht="12.75">
      <c r="B221" s="31"/>
      <c r="C221" s="31"/>
      <c r="D221" s="31"/>
      <c r="E221" s="31"/>
      <c r="F221" s="31"/>
      <c r="G221" s="31"/>
      <c r="L221" s="31"/>
      <c r="M221" s="31"/>
      <c r="N221" s="31"/>
    </row>
    <row r="222" spans="2:14" ht="12.75">
      <c r="B222" s="31"/>
      <c r="C222" s="31"/>
      <c r="D222" s="31"/>
      <c r="E222" s="31"/>
      <c r="F222" s="31"/>
      <c r="G222" s="31"/>
      <c r="L222" s="31"/>
      <c r="M222" s="31"/>
      <c r="N222" s="31"/>
    </row>
    <row r="223" spans="2:14" ht="12.75">
      <c r="B223" s="31"/>
      <c r="C223" s="31"/>
      <c r="D223" s="31"/>
      <c r="E223" s="31"/>
      <c r="F223" s="31"/>
      <c r="G223" s="31"/>
      <c r="L223" s="31"/>
      <c r="M223" s="31"/>
      <c r="N223" s="31"/>
    </row>
    <row r="224" spans="2:14" ht="12.75">
      <c r="B224" s="31"/>
      <c r="C224" s="31"/>
      <c r="D224" s="31"/>
      <c r="E224" s="31"/>
      <c r="F224" s="31"/>
      <c r="G224" s="31"/>
      <c r="L224" s="31"/>
      <c r="M224" s="31"/>
      <c r="N224" s="31"/>
    </row>
    <row r="225" spans="2:14" ht="12.75">
      <c r="B225" s="31"/>
      <c r="C225" s="31"/>
      <c r="D225" s="31"/>
      <c r="E225" s="31"/>
      <c r="F225" s="31"/>
      <c r="G225" s="31"/>
      <c r="L225" s="31"/>
      <c r="M225" s="31"/>
      <c r="N225" s="31"/>
    </row>
    <row r="226" spans="2:14" ht="12.75">
      <c r="B226" s="31"/>
      <c r="C226" s="31"/>
      <c r="D226" s="31"/>
      <c r="E226" s="31"/>
      <c r="F226" s="31"/>
      <c r="G226" s="31"/>
      <c r="L226" s="31"/>
      <c r="M226" s="31"/>
      <c r="N226" s="31"/>
    </row>
    <row r="227" spans="2:14" ht="12.75">
      <c r="B227" s="31"/>
      <c r="C227" s="31"/>
      <c r="D227" s="31"/>
      <c r="E227" s="31"/>
      <c r="F227" s="31"/>
      <c r="G227" s="31"/>
      <c r="L227" s="31"/>
      <c r="M227" s="31"/>
      <c r="N227" s="31"/>
    </row>
    <row r="228" spans="2:14" ht="12.75">
      <c r="B228" s="31"/>
      <c r="C228" s="31"/>
      <c r="D228" s="31"/>
      <c r="E228" s="31"/>
      <c r="F228" s="31"/>
      <c r="G228" s="31"/>
      <c r="L228" s="31"/>
      <c r="M228" s="31"/>
      <c r="N228" s="31"/>
    </row>
    <row r="229" spans="2:14" ht="12.75">
      <c r="B229" s="31"/>
      <c r="C229" s="31"/>
      <c r="D229" s="31"/>
      <c r="E229" s="31"/>
      <c r="F229" s="31"/>
      <c r="G229" s="31"/>
      <c r="L229" s="31"/>
      <c r="M229" s="31"/>
      <c r="N229" s="31"/>
    </row>
    <row r="230" spans="2:14" ht="12.75">
      <c r="B230" s="31"/>
      <c r="C230" s="31"/>
      <c r="D230" s="31"/>
      <c r="E230" s="31"/>
      <c r="F230" s="31"/>
      <c r="G230" s="31"/>
      <c r="L230" s="31"/>
      <c r="M230" s="31"/>
      <c r="N230" s="31"/>
    </row>
    <row r="231" spans="2:14" ht="12.75">
      <c r="B231" s="31"/>
      <c r="C231" s="31"/>
      <c r="D231" s="31"/>
      <c r="E231" s="31"/>
      <c r="F231" s="31"/>
      <c r="G231" s="31"/>
      <c r="L231" s="31"/>
      <c r="M231" s="31"/>
      <c r="N231" s="31"/>
    </row>
    <row r="232" spans="2:14" ht="12.75">
      <c r="B232" s="31"/>
      <c r="C232" s="31"/>
      <c r="D232" s="31"/>
      <c r="E232" s="31"/>
      <c r="F232" s="31"/>
      <c r="G232" s="31"/>
      <c r="L232" s="31"/>
      <c r="M232" s="31"/>
      <c r="N232" s="31"/>
    </row>
    <row r="233" spans="2:14" ht="12.75">
      <c r="B233" s="31"/>
      <c r="C233" s="31"/>
      <c r="D233" s="31"/>
      <c r="E233" s="31"/>
      <c r="F233" s="31"/>
      <c r="G233" s="31"/>
      <c r="L233" s="31"/>
      <c r="M233" s="31"/>
      <c r="N233" s="31"/>
    </row>
    <row r="234" spans="2:14" ht="12.75">
      <c r="B234" s="31"/>
      <c r="C234" s="31"/>
      <c r="D234" s="31"/>
      <c r="E234" s="31"/>
      <c r="F234" s="31"/>
      <c r="G234" s="31"/>
      <c r="L234" s="31"/>
      <c r="M234" s="31"/>
      <c r="N234" s="31"/>
    </row>
    <row r="235" spans="2:14" ht="12.75">
      <c r="B235" s="31"/>
      <c r="C235" s="31"/>
      <c r="D235" s="31"/>
      <c r="E235" s="31"/>
      <c r="F235" s="31"/>
      <c r="G235" s="31"/>
      <c r="L235" s="31"/>
      <c r="M235" s="31"/>
      <c r="N235" s="31"/>
    </row>
    <row r="236" spans="2:14" ht="12.75">
      <c r="B236" s="31"/>
      <c r="C236" s="31"/>
      <c r="D236" s="31"/>
      <c r="E236" s="31"/>
      <c r="F236" s="31"/>
      <c r="G236" s="31"/>
      <c r="L236" s="31"/>
      <c r="M236" s="31"/>
      <c r="N236" s="31"/>
    </row>
    <row r="237" spans="2:14" ht="12.75">
      <c r="B237" s="31"/>
      <c r="C237" s="31"/>
      <c r="D237" s="31"/>
      <c r="E237" s="31"/>
      <c r="F237" s="31"/>
      <c r="G237" s="31"/>
      <c r="L237" s="31"/>
      <c r="M237" s="31"/>
      <c r="N237" s="31"/>
    </row>
    <row r="238" spans="2:14" ht="12.75">
      <c r="B238" s="31"/>
      <c r="C238" s="31"/>
      <c r="D238" s="31"/>
      <c r="E238" s="31"/>
      <c r="F238" s="31"/>
      <c r="G238" s="31"/>
      <c r="L238" s="31"/>
      <c r="M238" s="31"/>
      <c r="N238" s="31"/>
    </row>
    <row r="239" spans="2:14" ht="12.75">
      <c r="B239" s="31"/>
      <c r="C239" s="31"/>
      <c r="D239" s="31"/>
      <c r="E239" s="31"/>
      <c r="F239" s="31"/>
      <c r="G239" s="31"/>
      <c r="L239" s="31"/>
      <c r="M239" s="31"/>
      <c r="N239" s="31"/>
    </row>
    <row r="240" spans="2:14" ht="12.75">
      <c r="B240" s="31"/>
      <c r="C240" s="31"/>
      <c r="D240" s="31"/>
      <c r="E240" s="31"/>
      <c r="F240" s="31"/>
      <c r="G240" s="31"/>
      <c r="L240" s="31"/>
      <c r="M240" s="31"/>
      <c r="N240" s="31"/>
    </row>
    <row r="241" spans="2:14" ht="12.75">
      <c r="B241" s="31"/>
      <c r="C241" s="31"/>
      <c r="D241" s="31"/>
      <c r="E241" s="31"/>
      <c r="F241" s="31"/>
      <c r="G241" s="31"/>
      <c r="L241" s="31"/>
      <c r="M241" s="31"/>
      <c r="N241" s="31"/>
    </row>
    <row r="242" spans="2:14" ht="12.75">
      <c r="B242" s="31"/>
      <c r="C242" s="31"/>
      <c r="D242" s="31"/>
      <c r="E242" s="31"/>
      <c r="F242" s="31"/>
      <c r="G242" s="31"/>
      <c r="L242" s="31"/>
      <c r="M242" s="31"/>
      <c r="N242" s="31"/>
    </row>
    <row r="243" spans="2:14" ht="12.75">
      <c r="B243" s="31"/>
      <c r="C243" s="31"/>
      <c r="D243" s="31"/>
      <c r="E243" s="31"/>
      <c r="F243" s="31"/>
      <c r="G243" s="31"/>
      <c r="L243" s="31"/>
      <c r="M243" s="31"/>
      <c r="N243" s="31"/>
    </row>
    <row r="244" spans="2:14" ht="12.75">
      <c r="B244" s="31"/>
      <c r="C244" s="31"/>
      <c r="D244" s="31"/>
      <c r="E244" s="31"/>
      <c r="F244" s="31"/>
      <c r="G244" s="31"/>
      <c r="L244" s="31"/>
      <c r="M244" s="31"/>
      <c r="N244" s="31"/>
    </row>
    <row r="245" spans="2:14" ht="12.75">
      <c r="B245" s="31"/>
      <c r="C245" s="31"/>
      <c r="D245" s="31"/>
      <c r="E245" s="31"/>
      <c r="F245" s="31"/>
      <c r="G245" s="31"/>
      <c r="L245" s="31"/>
      <c r="M245" s="31"/>
      <c r="N245" s="31"/>
    </row>
    <row r="246" spans="2:14" ht="12.75">
      <c r="B246" s="31"/>
      <c r="C246" s="31"/>
      <c r="D246" s="31"/>
      <c r="E246" s="31"/>
      <c r="F246" s="31"/>
      <c r="G246" s="31"/>
      <c r="L246" s="31"/>
      <c r="M246" s="31"/>
      <c r="N246" s="31"/>
    </row>
    <row r="247" spans="2:14" ht="12.75">
      <c r="B247" s="31"/>
      <c r="C247" s="31"/>
      <c r="D247" s="31"/>
      <c r="E247" s="31"/>
      <c r="F247" s="31"/>
      <c r="G247" s="31"/>
      <c r="L247" s="31"/>
      <c r="M247" s="31"/>
      <c r="N247" s="31"/>
    </row>
    <row r="248" spans="2:14" ht="12.75">
      <c r="B248" s="31"/>
      <c r="C248" s="31"/>
      <c r="D248" s="31"/>
      <c r="E248" s="31"/>
      <c r="F248" s="31"/>
      <c r="G248" s="31"/>
      <c r="L248" s="31"/>
      <c r="M248" s="31"/>
      <c r="N248" s="31"/>
    </row>
    <row r="249" spans="2:14" ht="12.75">
      <c r="B249" s="31"/>
      <c r="C249" s="31"/>
      <c r="D249" s="31"/>
      <c r="E249" s="31"/>
      <c r="F249" s="31"/>
      <c r="G249" s="31"/>
      <c r="L249" s="31"/>
      <c r="M249" s="31"/>
      <c r="N249" s="31"/>
    </row>
    <row r="250" spans="2:14" ht="12.75">
      <c r="B250" s="31"/>
      <c r="C250" s="31"/>
      <c r="D250" s="31"/>
      <c r="E250" s="31"/>
      <c r="F250" s="31"/>
      <c r="G250" s="31"/>
      <c r="L250" s="31"/>
      <c r="M250" s="31"/>
      <c r="N250" s="31"/>
    </row>
    <row r="251" spans="2:14" ht="12.75">
      <c r="B251" s="31"/>
      <c r="C251" s="31"/>
      <c r="D251" s="31"/>
      <c r="E251" s="31"/>
      <c r="F251" s="31"/>
      <c r="G251" s="31"/>
      <c r="L251" s="31"/>
      <c r="M251" s="31"/>
      <c r="N251" s="31"/>
    </row>
    <row r="252" spans="2:14" ht="12.75">
      <c r="B252" s="31"/>
      <c r="C252" s="31"/>
      <c r="D252" s="31"/>
      <c r="E252" s="31"/>
      <c r="F252" s="31"/>
      <c r="G252" s="31"/>
      <c r="L252" s="31"/>
      <c r="M252" s="31"/>
      <c r="N252" s="31"/>
    </row>
    <row r="253" spans="2:14" ht="12.75">
      <c r="B253" s="31"/>
      <c r="C253" s="31"/>
      <c r="D253" s="31"/>
      <c r="E253" s="31"/>
      <c r="F253" s="31"/>
      <c r="G253" s="31"/>
      <c r="L253" s="31"/>
      <c r="M253" s="31"/>
      <c r="N253" s="31"/>
    </row>
    <row r="254" spans="2:14" ht="12.75">
      <c r="B254" s="31"/>
      <c r="C254" s="31"/>
      <c r="D254" s="31"/>
      <c r="E254" s="31"/>
      <c r="F254" s="31"/>
      <c r="G254" s="31"/>
      <c r="L254" s="31"/>
      <c r="M254" s="31"/>
      <c r="N254" s="31"/>
    </row>
    <row r="255" spans="2:14" ht="12.75">
      <c r="B255" s="31"/>
      <c r="C255" s="31"/>
      <c r="D255" s="31"/>
      <c r="E255" s="31"/>
      <c r="F255" s="31"/>
      <c r="G255" s="31"/>
      <c r="L255" s="31"/>
      <c r="M255" s="31"/>
      <c r="N255" s="31"/>
    </row>
    <row r="256" spans="2:14" ht="12.75">
      <c r="B256" s="31"/>
      <c r="C256" s="31"/>
      <c r="D256" s="31"/>
      <c r="E256" s="31"/>
      <c r="F256" s="31"/>
      <c r="G256" s="31"/>
      <c r="L256" s="31"/>
      <c r="M256" s="31"/>
      <c r="N256" s="31"/>
    </row>
    <row r="257" spans="2:14" ht="12.75">
      <c r="B257" s="31"/>
      <c r="C257" s="31"/>
      <c r="D257" s="31"/>
      <c r="E257" s="31"/>
      <c r="F257" s="31"/>
      <c r="G257" s="31"/>
      <c r="L257" s="31"/>
      <c r="M257" s="31"/>
      <c r="N257" s="31"/>
    </row>
    <row r="258" spans="2:14" ht="12.75">
      <c r="B258" s="31"/>
      <c r="C258" s="31"/>
      <c r="D258" s="31"/>
      <c r="E258" s="31"/>
      <c r="F258" s="31"/>
      <c r="G258" s="31"/>
      <c r="L258" s="31"/>
      <c r="M258" s="31"/>
      <c r="N258" s="31"/>
    </row>
    <row r="259" spans="2:14" ht="12.75">
      <c r="B259" s="31"/>
      <c r="C259" s="31"/>
      <c r="D259" s="31"/>
      <c r="E259" s="31"/>
      <c r="F259" s="31"/>
      <c r="G259" s="31"/>
      <c r="L259" s="31"/>
      <c r="M259" s="31"/>
      <c r="N259" s="31"/>
    </row>
    <row r="260" spans="2:14" ht="12.75">
      <c r="B260" s="31"/>
      <c r="C260" s="31"/>
      <c r="D260" s="31"/>
      <c r="E260" s="31"/>
      <c r="F260" s="31"/>
      <c r="G260" s="31"/>
      <c r="L260" s="31"/>
      <c r="M260" s="31"/>
      <c r="N260" s="31"/>
    </row>
    <row r="261" spans="2:14" ht="12.75">
      <c r="B261" s="31"/>
      <c r="C261" s="31"/>
      <c r="D261" s="31"/>
      <c r="E261" s="31"/>
      <c r="F261" s="31"/>
      <c r="G261" s="31"/>
      <c r="L261" s="31"/>
      <c r="M261" s="31"/>
      <c r="N261" s="31"/>
    </row>
    <row r="262" spans="2:14" ht="12.75">
      <c r="B262" s="31"/>
      <c r="C262" s="31"/>
      <c r="D262" s="31"/>
      <c r="E262" s="31"/>
      <c r="F262" s="31"/>
      <c r="G262" s="31"/>
      <c r="L262" s="31"/>
      <c r="M262" s="31"/>
      <c r="N262" s="31"/>
    </row>
    <row r="263" spans="2:14" ht="12.75">
      <c r="B263" s="31"/>
      <c r="C263" s="31"/>
      <c r="D263" s="31"/>
      <c r="E263" s="31"/>
      <c r="F263" s="31"/>
      <c r="G263" s="31"/>
      <c r="L263" s="31"/>
      <c r="M263" s="31"/>
      <c r="N263" s="31"/>
    </row>
    <row r="264" spans="2:14" ht="12.75">
      <c r="B264" s="31"/>
      <c r="C264" s="31"/>
      <c r="D264" s="31"/>
      <c r="E264" s="31"/>
      <c r="F264" s="31"/>
      <c r="G264" s="31"/>
      <c r="L264" s="31"/>
      <c r="M264" s="31"/>
      <c r="N264" s="31"/>
    </row>
    <row r="265" spans="2:14" ht="12.75">
      <c r="B265" s="31"/>
      <c r="C265" s="31"/>
      <c r="D265" s="31"/>
      <c r="E265" s="31"/>
      <c r="F265" s="31"/>
      <c r="G265" s="31"/>
      <c r="L265" s="31"/>
      <c r="M265" s="31"/>
      <c r="N265" s="31"/>
    </row>
    <row r="266" spans="2:14" ht="12.75">
      <c r="B266" s="31"/>
      <c r="C266" s="31"/>
      <c r="D266" s="31"/>
      <c r="E266" s="31"/>
      <c r="F266" s="31"/>
      <c r="G266" s="31"/>
      <c r="L266" s="31"/>
      <c r="M266" s="31"/>
      <c r="N266" s="31"/>
    </row>
    <row r="267" spans="2:14" ht="12.75">
      <c r="B267" s="31"/>
      <c r="C267" s="31"/>
      <c r="D267" s="31"/>
      <c r="E267" s="31"/>
      <c r="F267" s="31"/>
      <c r="G267" s="31"/>
      <c r="L267" s="31"/>
      <c r="M267" s="31"/>
      <c r="N267" s="31"/>
    </row>
    <row r="268" spans="2:14" ht="12.75">
      <c r="B268" s="31"/>
      <c r="C268" s="31"/>
      <c r="D268" s="31"/>
      <c r="E268" s="31"/>
      <c r="F268" s="31"/>
      <c r="G268" s="31"/>
      <c r="L268" s="31"/>
      <c r="M268" s="31"/>
      <c r="N268" s="31"/>
    </row>
    <row r="269" spans="2:14" ht="12.75">
      <c r="B269" s="31"/>
      <c r="C269" s="31"/>
      <c r="D269" s="31"/>
      <c r="E269" s="31"/>
      <c r="F269" s="31"/>
      <c r="G269" s="31"/>
      <c r="L269" s="31"/>
      <c r="M269" s="31"/>
      <c r="N269" s="31"/>
    </row>
    <row r="270" spans="2:14" ht="12.75">
      <c r="B270" s="31"/>
      <c r="C270" s="31"/>
      <c r="D270" s="31"/>
      <c r="E270" s="31"/>
      <c r="F270" s="31"/>
      <c r="G270" s="31"/>
      <c r="L270" s="31"/>
      <c r="M270" s="31"/>
      <c r="N270" s="31"/>
    </row>
    <row r="271" spans="2:14" ht="12.75">
      <c r="B271" s="31"/>
      <c r="C271" s="31"/>
      <c r="D271" s="31"/>
      <c r="E271" s="31"/>
      <c r="F271" s="31"/>
      <c r="G271" s="31"/>
      <c r="L271" s="31"/>
      <c r="M271" s="31"/>
      <c r="N271" s="31"/>
    </row>
    <row r="272" spans="2:14" ht="12.75">
      <c r="B272" s="31"/>
      <c r="C272" s="31"/>
      <c r="D272" s="31"/>
      <c r="E272" s="31"/>
      <c r="F272" s="31"/>
      <c r="G272" s="31"/>
      <c r="L272" s="31"/>
      <c r="M272" s="31"/>
      <c r="N272" s="31"/>
    </row>
    <row r="273" spans="2:14" ht="12.75">
      <c r="B273" s="31"/>
      <c r="C273" s="31"/>
      <c r="D273" s="31"/>
      <c r="E273" s="31"/>
      <c r="F273" s="31"/>
      <c r="G273" s="31"/>
      <c r="L273" s="31"/>
      <c r="M273" s="31"/>
      <c r="N273" s="31"/>
    </row>
    <row r="274" spans="2:14" ht="12.75">
      <c r="B274" s="31"/>
      <c r="C274" s="31"/>
      <c r="D274" s="31"/>
      <c r="E274" s="31"/>
      <c r="F274" s="31"/>
      <c r="G274" s="31"/>
      <c r="L274" s="31"/>
      <c r="M274" s="31"/>
      <c r="N274" s="31"/>
    </row>
    <row r="275" spans="2:14" ht="12.75">
      <c r="B275" s="31"/>
      <c r="C275" s="31"/>
      <c r="D275" s="31"/>
      <c r="E275" s="31"/>
      <c r="F275" s="31"/>
      <c r="G275" s="31"/>
      <c r="L275" s="31"/>
      <c r="M275" s="31"/>
      <c r="N275" s="31"/>
    </row>
    <row r="276" spans="2:14" ht="12.75">
      <c r="B276" s="31"/>
      <c r="C276" s="31"/>
      <c r="D276" s="31"/>
      <c r="E276" s="31"/>
      <c r="F276" s="31"/>
      <c r="G276" s="31"/>
      <c r="L276" s="31"/>
      <c r="M276" s="31"/>
      <c r="N276" s="31"/>
    </row>
    <row r="277" spans="2:14" ht="12.75">
      <c r="B277" s="31"/>
      <c r="C277" s="31"/>
      <c r="D277" s="31"/>
      <c r="E277" s="31"/>
      <c r="F277" s="31"/>
      <c r="G277" s="31"/>
      <c r="L277" s="31"/>
      <c r="M277" s="31"/>
      <c r="N277" s="31"/>
    </row>
    <row r="278" spans="2:14" ht="12.75">
      <c r="B278" s="31"/>
      <c r="C278" s="31"/>
      <c r="D278" s="31"/>
      <c r="E278" s="31"/>
      <c r="F278" s="31"/>
      <c r="G278" s="31"/>
      <c r="L278" s="31"/>
      <c r="M278" s="31"/>
      <c r="N278" s="31"/>
    </row>
    <row r="279" spans="2:14" ht="12.75">
      <c r="B279" s="31"/>
      <c r="C279" s="31"/>
      <c r="D279" s="31"/>
      <c r="E279" s="31"/>
      <c r="F279" s="31"/>
      <c r="G279" s="31"/>
      <c r="L279" s="31"/>
      <c r="M279" s="31"/>
      <c r="N279" s="31"/>
    </row>
    <row r="280" spans="2:14" ht="12.75">
      <c r="B280" s="31"/>
      <c r="C280" s="31"/>
      <c r="D280" s="31"/>
      <c r="E280" s="31"/>
      <c r="F280" s="31"/>
      <c r="G280" s="31"/>
      <c r="L280" s="31"/>
      <c r="M280" s="31"/>
      <c r="N280" s="31"/>
    </row>
    <row r="281" spans="2:14" ht="12.75">
      <c r="B281" s="31"/>
      <c r="C281" s="31"/>
      <c r="D281" s="31"/>
      <c r="E281" s="31"/>
      <c r="F281" s="31"/>
      <c r="G281" s="31"/>
      <c r="L281" s="31"/>
      <c r="M281" s="31"/>
      <c r="N281" s="31"/>
    </row>
    <row r="282" spans="2:14" ht="12.75">
      <c r="B282" s="31"/>
      <c r="C282" s="31"/>
      <c r="D282" s="31"/>
      <c r="E282" s="31"/>
      <c r="F282" s="31"/>
      <c r="G282" s="31"/>
      <c r="L282" s="31"/>
      <c r="M282" s="31"/>
      <c r="N282" s="31"/>
    </row>
    <row r="283" spans="2:14" ht="12.75">
      <c r="B283" s="31"/>
      <c r="C283" s="31"/>
      <c r="D283" s="31"/>
      <c r="E283" s="31"/>
      <c r="F283" s="31"/>
      <c r="G283" s="31"/>
      <c r="L283" s="31"/>
      <c r="M283" s="31"/>
      <c r="N283" s="31"/>
    </row>
    <row r="284" spans="2:14" ht="12.75">
      <c r="B284" s="31"/>
      <c r="C284" s="31"/>
      <c r="D284" s="31"/>
      <c r="E284" s="31"/>
      <c r="F284" s="31"/>
      <c r="G284" s="31"/>
      <c r="L284" s="31"/>
      <c r="M284" s="31"/>
      <c r="N284" s="31"/>
    </row>
    <row r="285" spans="2:14" ht="12.75">
      <c r="B285" s="31"/>
      <c r="C285" s="31"/>
      <c r="D285" s="31"/>
      <c r="E285" s="31"/>
      <c r="F285" s="31"/>
      <c r="G285" s="31"/>
      <c r="L285" s="31"/>
      <c r="M285" s="31"/>
      <c r="N285" s="31"/>
    </row>
    <row r="286" spans="2:14" ht="12.75">
      <c r="B286" s="31"/>
      <c r="C286" s="31"/>
      <c r="D286" s="31"/>
      <c r="E286" s="31"/>
      <c r="F286" s="31"/>
      <c r="G286" s="31"/>
      <c r="L286" s="31"/>
      <c r="M286" s="31"/>
      <c r="N286" s="31"/>
    </row>
    <row r="287" spans="2:14" ht="12.75">
      <c r="B287" s="31"/>
      <c r="C287" s="31"/>
      <c r="D287" s="31"/>
      <c r="E287" s="31"/>
      <c r="F287" s="31"/>
      <c r="G287" s="31"/>
      <c r="L287" s="31"/>
      <c r="M287" s="31"/>
      <c r="N287" s="31"/>
    </row>
    <row r="288" spans="2:14" ht="12.75">
      <c r="B288" s="31"/>
      <c r="C288" s="31"/>
      <c r="D288" s="31"/>
      <c r="E288" s="31"/>
      <c r="F288" s="31"/>
      <c r="G288" s="31"/>
      <c r="L288" s="31"/>
      <c r="M288" s="31"/>
      <c r="N288" s="31"/>
    </row>
    <row r="289" spans="2:14" ht="12.75">
      <c r="B289" s="31"/>
      <c r="C289" s="31"/>
      <c r="D289" s="31"/>
      <c r="E289" s="31"/>
      <c r="F289" s="31"/>
      <c r="G289" s="31"/>
      <c r="L289" s="31"/>
      <c r="M289" s="31"/>
      <c r="N289" s="31"/>
    </row>
    <row r="290" spans="2:14" ht="12.75">
      <c r="B290" s="31"/>
      <c r="C290" s="31"/>
      <c r="D290" s="31"/>
      <c r="E290" s="31"/>
      <c r="F290" s="31"/>
      <c r="G290" s="31"/>
      <c r="L290" s="31"/>
      <c r="M290" s="31"/>
      <c r="N290" s="31"/>
    </row>
    <row r="291" spans="2:14" ht="12.75">
      <c r="B291" s="31"/>
      <c r="C291" s="31"/>
      <c r="D291" s="31"/>
      <c r="E291" s="31"/>
      <c r="F291" s="31"/>
      <c r="G291" s="31"/>
      <c r="L291" s="31"/>
      <c r="M291" s="31"/>
      <c r="N291" s="31"/>
    </row>
    <row r="292" spans="2:14" ht="12.75">
      <c r="B292" s="31"/>
      <c r="C292" s="31"/>
      <c r="D292" s="31"/>
      <c r="E292" s="31"/>
      <c r="F292" s="31"/>
      <c r="G292" s="31"/>
      <c r="L292" s="31"/>
      <c r="M292" s="31"/>
      <c r="N292" s="31"/>
    </row>
    <row r="293" spans="2:14" ht="12.75">
      <c r="B293" s="31"/>
      <c r="C293" s="31"/>
      <c r="D293" s="31"/>
      <c r="E293" s="31"/>
      <c r="F293" s="31"/>
      <c r="G293" s="31"/>
      <c r="L293" s="31"/>
      <c r="M293" s="31"/>
      <c r="N293" s="31"/>
    </row>
    <row r="294" spans="2:14" ht="12.75">
      <c r="B294" s="31"/>
      <c r="C294" s="31"/>
      <c r="D294" s="31"/>
      <c r="E294" s="31"/>
      <c r="F294" s="31"/>
      <c r="G294" s="31"/>
      <c r="L294" s="31"/>
      <c r="M294" s="31"/>
      <c r="N294" s="31"/>
    </row>
    <row r="295" spans="2:14" ht="12.75">
      <c r="B295" s="31"/>
      <c r="C295" s="31"/>
      <c r="D295" s="31"/>
      <c r="E295" s="31"/>
      <c r="F295" s="31"/>
      <c r="G295" s="31"/>
      <c r="L295" s="31"/>
      <c r="M295" s="31"/>
      <c r="N295" s="31"/>
    </row>
    <row r="296" spans="2:14" ht="12.75">
      <c r="B296" s="31"/>
      <c r="C296" s="31"/>
      <c r="D296" s="31"/>
      <c r="E296" s="31"/>
      <c r="F296" s="31"/>
      <c r="G296" s="31"/>
      <c r="L296" s="31"/>
      <c r="M296" s="31"/>
      <c r="N296" s="31"/>
    </row>
    <row r="297" spans="2:14" ht="12.75">
      <c r="B297" s="31"/>
      <c r="C297" s="31"/>
      <c r="D297" s="31"/>
      <c r="E297" s="31"/>
      <c r="F297" s="31"/>
      <c r="G297" s="31"/>
      <c r="L297" s="31"/>
      <c r="M297" s="31"/>
      <c r="N297" s="31"/>
    </row>
    <row r="298" spans="2:14" ht="12.75">
      <c r="B298" s="31"/>
      <c r="C298" s="31"/>
      <c r="D298" s="31"/>
      <c r="E298" s="31"/>
      <c r="F298" s="31"/>
      <c r="G298" s="31"/>
      <c r="L298" s="31"/>
      <c r="M298" s="31"/>
      <c r="N298" s="31"/>
    </row>
    <row r="299" spans="2:14" ht="12.75">
      <c r="B299" s="31"/>
      <c r="C299" s="31"/>
      <c r="D299" s="31"/>
      <c r="E299" s="31"/>
      <c r="F299" s="31"/>
      <c r="G299" s="31"/>
      <c r="L299" s="31"/>
      <c r="M299" s="31"/>
      <c r="N299" s="31"/>
    </row>
    <row r="300" spans="2:14" ht="12.75">
      <c r="B300" s="31"/>
      <c r="C300" s="31"/>
      <c r="D300" s="31"/>
      <c r="E300" s="31"/>
      <c r="F300" s="31"/>
      <c r="G300" s="31"/>
      <c r="L300" s="31"/>
      <c r="M300" s="31"/>
      <c r="N300" s="31"/>
    </row>
    <row r="301" spans="2:14" ht="12.75">
      <c r="B301" s="31"/>
      <c r="C301" s="31"/>
      <c r="D301" s="31"/>
      <c r="E301" s="31"/>
      <c r="F301" s="31"/>
      <c r="G301" s="31"/>
      <c r="L301" s="31"/>
      <c r="M301" s="31"/>
      <c r="N301" s="31"/>
    </row>
    <row r="302" spans="2:14" ht="12.75">
      <c r="B302" s="31"/>
      <c r="C302" s="31"/>
      <c r="D302" s="31"/>
      <c r="E302" s="31"/>
      <c r="F302" s="31"/>
      <c r="G302" s="31"/>
      <c r="L302" s="31"/>
      <c r="M302" s="31"/>
      <c r="N302" s="31"/>
    </row>
    <row r="303" spans="2:14" ht="12.75">
      <c r="B303" s="31"/>
      <c r="C303" s="31"/>
      <c r="D303" s="31"/>
      <c r="E303" s="31"/>
      <c r="F303" s="31"/>
      <c r="G303" s="31"/>
      <c r="L303" s="31"/>
      <c r="M303" s="31"/>
      <c r="N303" s="31"/>
    </row>
    <row r="304" spans="2:14" ht="12.75">
      <c r="B304" s="31"/>
      <c r="C304" s="31"/>
      <c r="D304" s="31"/>
      <c r="E304" s="31"/>
      <c r="F304" s="31"/>
      <c r="G304" s="31"/>
      <c r="L304" s="31"/>
      <c r="M304" s="31"/>
      <c r="N304" s="31"/>
    </row>
    <row r="305" spans="2:14" ht="12.75">
      <c r="B305" s="31"/>
      <c r="C305" s="31"/>
      <c r="D305" s="31"/>
      <c r="E305" s="31"/>
      <c r="F305" s="31"/>
      <c r="G305" s="31"/>
      <c r="L305" s="31"/>
      <c r="M305" s="31"/>
      <c r="N305" s="31"/>
    </row>
    <row r="306" spans="2:14" ht="12.75">
      <c r="B306" s="31"/>
      <c r="C306" s="31"/>
      <c r="D306" s="31"/>
      <c r="E306" s="31"/>
      <c r="F306" s="31"/>
      <c r="G306" s="31"/>
      <c r="L306" s="31"/>
      <c r="M306" s="31"/>
      <c r="N306" s="31"/>
    </row>
    <row r="307" spans="2:14" ht="12.75">
      <c r="B307" s="31"/>
      <c r="C307" s="31"/>
      <c r="D307" s="31"/>
      <c r="E307" s="31"/>
      <c r="F307" s="31"/>
      <c r="G307" s="31"/>
      <c r="L307" s="31"/>
      <c r="M307" s="31"/>
      <c r="N307" s="31"/>
    </row>
    <row r="308" spans="2:14" ht="12.75">
      <c r="B308" s="31"/>
      <c r="C308" s="31"/>
      <c r="D308" s="31"/>
      <c r="E308" s="31"/>
      <c r="F308" s="31"/>
      <c r="G308" s="31"/>
      <c r="L308" s="31"/>
      <c r="M308" s="31"/>
      <c r="N308" s="31"/>
    </row>
    <row r="309" spans="2:14" ht="12.75">
      <c r="B309" s="31"/>
      <c r="C309" s="31"/>
      <c r="D309" s="31"/>
      <c r="E309" s="31"/>
      <c r="F309" s="31"/>
      <c r="G309" s="31"/>
      <c r="L309" s="31"/>
      <c r="M309" s="31"/>
      <c r="N309" s="31"/>
    </row>
    <row r="310" spans="2:14" ht="12.75">
      <c r="B310" s="31"/>
      <c r="C310" s="31"/>
      <c r="D310" s="31"/>
      <c r="E310" s="31"/>
      <c r="F310" s="31"/>
      <c r="G310" s="31"/>
      <c r="L310" s="31"/>
      <c r="M310" s="31"/>
      <c r="N310" s="31"/>
    </row>
    <row r="311" spans="2:14" ht="12.75">
      <c r="B311" s="31"/>
      <c r="C311" s="31"/>
      <c r="D311" s="31"/>
      <c r="E311" s="31"/>
      <c r="F311" s="31"/>
      <c r="G311" s="31"/>
      <c r="L311" s="31"/>
      <c r="M311" s="31"/>
      <c r="N311" s="31"/>
    </row>
    <row r="312" spans="2:14" ht="12.75">
      <c r="B312" s="31"/>
      <c r="C312" s="31"/>
      <c r="D312" s="31"/>
      <c r="E312" s="31"/>
      <c r="F312" s="31"/>
      <c r="G312" s="31"/>
      <c r="L312" s="31"/>
      <c r="M312" s="31"/>
      <c r="N312" s="31"/>
    </row>
    <row r="313" spans="2:14" ht="12.75">
      <c r="B313" s="31"/>
      <c r="C313" s="31"/>
      <c r="D313" s="31"/>
      <c r="E313" s="31"/>
      <c r="F313" s="31"/>
      <c r="G313" s="31"/>
      <c r="L313" s="31"/>
      <c r="M313" s="31"/>
      <c r="N313" s="31"/>
    </row>
    <row r="314" spans="2:14" ht="12.75">
      <c r="B314" s="31"/>
      <c r="C314" s="31"/>
      <c r="D314" s="31"/>
      <c r="E314" s="31"/>
      <c r="F314" s="31"/>
      <c r="G314" s="31"/>
      <c r="L314" s="31"/>
      <c r="M314" s="31"/>
      <c r="N314" s="31"/>
    </row>
    <row r="315" spans="2:14" ht="12.75">
      <c r="B315" s="31"/>
      <c r="C315" s="31"/>
      <c r="D315" s="31"/>
      <c r="E315" s="31"/>
      <c r="F315" s="31"/>
      <c r="G315" s="31"/>
      <c r="L315" s="31"/>
      <c r="M315" s="31"/>
      <c r="N315" s="31"/>
    </row>
    <row r="316" spans="2:14" ht="12.75">
      <c r="B316" s="31"/>
      <c r="C316" s="31"/>
      <c r="D316" s="31"/>
      <c r="E316" s="31"/>
      <c r="F316" s="31"/>
      <c r="G316" s="31"/>
      <c r="L316" s="31"/>
      <c r="M316" s="31"/>
      <c r="N316" s="31"/>
    </row>
    <row r="317" spans="2:14" ht="12.75">
      <c r="B317" s="31"/>
      <c r="C317" s="31"/>
      <c r="D317" s="31"/>
      <c r="E317" s="31"/>
      <c r="F317" s="31"/>
      <c r="G317" s="31"/>
      <c r="L317" s="31"/>
      <c r="M317" s="31"/>
      <c r="N317" s="31"/>
    </row>
    <row r="318" spans="2:14" ht="12.75">
      <c r="B318" s="31"/>
      <c r="C318" s="31"/>
      <c r="D318" s="31"/>
      <c r="E318" s="31"/>
      <c r="F318" s="31"/>
      <c r="G318" s="31"/>
      <c r="L318" s="31"/>
      <c r="M318" s="31"/>
      <c r="N318" s="31"/>
    </row>
    <row r="319" spans="2:14" ht="12.75">
      <c r="B319" s="31"/>
      <c r="C319" s="31"/>
      <c r="D319" s="31"/>
      <c r="E319" s="31"/>
      <c r="F319" s="31"/>
      <c r="G319" s="31"/>
      <c r="L319" s="31"/>
      <c r="M319" s="31"/>
      <c r="N319" s="31"/>
    </row>
    <row r="320" spans="2:14" ht="12.75">
      <c r="B320" s="31"/>
      <c r="C320" s="31"/>
      <c r="D320" s="31"/>
      <c r="E320" s="31"/>
      <c r="F320" s="31"/>
      <c r="G320" s="31"/>
      <c r="L320" s="31"/>
      <c r="M320" s="31"/>
      <c r="N320" s="31"/>
    </row>
    <row r="321" spans="2:14" ht="12.75">
      <c r="B321" s="31"/>
      <c r="C321" s="31"/>
      <c r="D321" s="31"/>
      <c r="E321" s="31"/>
      <c r="F321" s="31"/>
      <c r="G321" s="31"/>
      <c r="L321" s="31"/>
      <c r="M321" s="31"/>
      <c r="N321" s="31"/>
    </row>
    <row r="322" spans="2:14" ht="12.75">
      <c r="B322" s="31"/>
      <c r="C322" s="31"/>
      <c r="D322" s="31"/>
      <c r="E322" s="31"/>
      <c r="F322" s="31"/>
      <c r="G322" s="31"/>
      <c r="L322" s="31"/>
      <c r="M322" s="31"/>
      <c r="N322" s="31"/>
    </row>
    <row r="323" spans="2:14" ht="12.75">
      <c r="B323" s="31"/>
      <c r="C323" s="31"/>
      <c r="D323" s="31"/>
      <c r="E323" s="31"/>
      <c r="F323" s="31"/>
      <c r="G323" s="31"/>
      <c r="L323" s="31"/>
      <c r="M323" s="31"/>
      <c r="N323" s="31"/>
    </row>
    <row r="324" spans="2:14" ht="12.75">
      <c r="B324" s="31"/>
      <c r="C324" s="31"/>
      <c r="D324" s="31"/>
      <c r="E324" s="31"/>
      <c r="F324" s="31"/>
      <c r="G324" s="31"/>
      <c r="L324" s="31"/>
      <c r="M324" s="31"/>
      <c r="N324" s="31"/>
    </row>
    <row r="325" spans="2:14" ht="12.75">
      <c r="B325" s="31"/>
      <c r="C325" s="31"/>
      <c r="D325" s="31"/>
      <c r="E325" s="31"/>
      <c r="F325" s="31"/>
      <c r="G325" s="31"/>
      <c r="L325" s="31"/>
      <c r="M325" s="31"/>
      <c r="N325" s="31"/>
    </row>
    <row r="326" spans="2:14" ht="12.75">
      <c r="B326" s="31"/>
      <c r="C326" s="31"/>
      <c r="D326" s="31"/>
      <c r="E326" s="31"/>
      <c r="F326" s="31"/>
      <c r="G326" s="31"/>
      <c r="L326" s="31"/>
      <c r="M326" s="31"/>
      <c r="N326" s="31"/>
    </row>
    <row r="327" spans="2:14" ht="12.75">
      <c r="B327" s="31"/>
      <c r="C327" s="31"/>
      <c r="D327" s="31"/>
      <c r="E327" s="31"/>
      <c r="F327" s="31"/>
      <c r="G327" s="31"/>
      <c r="L327" s="31"/>
      <c r="M327" s="31"/>
      <c r="N327" s="31"/>
    </row>
    <row r="328" spans="2:14" ht="12.75">
      <c r="B328" s="31"/>
      <c r="C328" s="31"/>
      <c r="D328" s="31"/>
      <c r="E328" s="31"/>
      <c r="F328" s="31"/>
      <c r="G328" s="31"/>
      <c r="L328" s="31"/>
      <c r="M328" s="31"/>
      <c r="N328" s="31"/>
    </row>
    <row r="329" spans="2:14" ht="12.75">
      <c r="B329" s="31"/>
      <c r="C329" s="31"/>
      <c r="D329" s="31"/>
      <c r="E329" s="31"/>
      <c r="F329" s="31"/>
      <c r="G329" s="31"/>
      <c r="L329" s="31"/>
      <c r="M329" s="31"/>
      <c r="N329" s="31"/>
    </row>
    <row r="330" spans="2:14" ht="12.75">
      <c r="B330" s="31"/>
      <c r="C330" s="31"/>
      <c r="D330" s="31"/>
      <c r="E330" s="31"/>
      <c r="F330" s="31"/>
      <c r="G330" s="31"/>
      <c r="L330" s="31"/>
      <c r="M330" s="31"/>
      <c r="N330" s="31"/>
    </row>
    <row r="331" spans="2:14" ht="12.75">
      <c r="B331" s="31"/>
      <c r="C331" s="31"/>
      <c r="D331" s="31"/>
      <c r="E331" s="31"/>
      <c r="F331" s="31"/>
      <c r="G331" s="31"/>
      <c r="L331" s="31"/>
      <c r="M331" s="31"/>
      <c r="N331" s="31"/>
    </row>
    <row r="332" spans="2:14" ht="12.75">
      <c r="B332" s="31"/>
      <c r="C332" s="31"/>
      <c r="D332" s="31"/>
      <c r="E332" s="31"/>
      <c r="F332" s="31"/>
      <c r="G332" s="31"/>
      <c r="L332" s="31"/>
      <c r="M332" s="31"/>
      <c r="N332" s="31"/>
    </row>
    <row r="333" spans="2:14" ht="12.75">
      <c r="B333" s="31"/>
      <c r="C333" s="31"/>
      <c r="D333" s="31"/>
      <c r="E333" s="31"/>
      <c r="F333" s="31"/>
      <c r="G333" s="31"/>
      <c r="L333" s="31"/>
      <c r="M333" s="31"/>
      <c r="N333" s="31"/>
    </row>
    <row r="334" spans="2:14" ht="12.75">
      <c r="B334" s="31"/>
      <c r="C334" s="31"/>
      <c r="D334" s="31"/>
      <c r="E334" s="31"/>
      <c r="F334" s="31"/>
      <c r="G334" s="31"/>
      <c r="L334" s="31"/>
      <c r="M334" s="31"/>
      <c r="N334" s="31"/>
    </row>
    <row r="335" spans="2:14" ht="12.75">
      <c r="B335" s="31"/>
      <c r="C335" s="31"/>
      <c r="D335" s="31"/>
      <c r="E335" s="31"/>
      <c r="F335" s="31"/>
      <c r="G335" s="31"/>
      <c r="L335" s="31"/>
      <c r="M335" s="31"/>
      <c r="N335" s="31"/>
    </row>
    <row r="336" spans="2:14" ht="12.75">
      <c r="B336" s="31"/>
      <c r="C336" s="31"/>
      <c r="D336" s="31"/>
      <c r="E336" s="31"/>
      <c r="F336" s="31"/>
      <c r="G336" s="31"/>
      <c r="L336" s="31"/>
      <c r="M336" s="31"/>
      <c r="N336" s="31"/>
    </row>
    <row r="337" spans="2:14" ht="12.75">
      <c r="B337" s="31"/>
      <c r="C337" s="31"/>
      <c r="D337" s="31"/>
      <c r="E337" s="31"/>
      <c r="F337" s="31"/>
      <c r="G337" s="31"/>
      <c r="L337" s="31"/>
      <c r="M337" s="31"/>
      <c r="N337" s="31"/>
    </row>
    <row r="338" spans="2:14" ht="12.75">
      <c r="B338" s="31"/>
      <c r="C338" s="31"/>
      <c r="D338" s="31"/>
      <c r="E338" s="31"/>
      <c r="F338" s="31"/>
      <c r="G338" s="31"/>
      <c r="L338" s="31"/>
      <c r="M338" s="31"/>
      <c r="N338" s="31"/>
    </row>
    <row r="339" spans="2:14" ht="12.75">
      <c r="B339" s="31"/>
      <c r="C339" s="31"/>
      <c r="D339" s="31"/>
      <c r="E339" s="31"/>
      <c r="F339" s="31"/>
      <c r="G339" s="31"/>
      <c r="L339" s="31"/>
      <c r="M339" s="31"/>
      <c r="N339" s="31"/>
    </row>
    <row r="340" spans="2:14" ht="12.75">
      <c r="B340" s="31"/>
      <c r="C340" s="31"/>
      <c r="D340" s="31"/>
      <c r="E340" s="31"/>
      <c r="F340" s="31"/>
      <c r="G340" s="31"/>
      <c r="L340" s="31"/>
      <c r="M340" s="31"/>
      <c r="N340" s="31"/>
    </row>
    <row r="341" spans="2:14" ht="12.75">
      <c r="B341" s="31"/>
      <c r="C341" s="31"/>
      <c r="D341" s="31"/>
      <c r="E341" s="31"/>
      <c r="F341" s="31"/>
      <c r="G341" s="31"/>
      <c r="L341" s="31"/>
      <c r="M341" s="31"/>
      <c r="N341" s="31"/>
    </row>
    <row r="342" spans="2:14" ht="12.75">
      <c r="B342" s="31"/>
      <c r="C342" s="31"/>
      <c r="D342" s="31"/>
      <c r="E342" s="31"/>
      <c r="F342" s="31"/>
      <c r="G342" s="31"/>
      <c r="L342" s="31"/>
      <c r="M342" s="31"/>
      <c r="N342" s="31"/>
    </row>
    <row r="343" spans="2:14" ht="12.75">
      <c r="B343" s="31"/>
      <c r="C343" s="31"/>
      <c r="D343" s="31"/>
      <c r="E343" s="31"/>
      <c r="F343" s="31"/>
      <c r="G343" s="31"/>
      <c r="L343" s="31"/>
      <c r="M343" s="31"/>
      <c r="N343" s="31"/>
    </row>
    <row r="344" spans="2:14" ht="12.75">
      <c r="B344" s="31"/>
      <c r="C344" s="31"/>
      <c r="D344" s="31"/>
      <c r="E344" s="31"/>
      <c r="F344" s="31"/>
      <c r="G344" s="31"/>
      <c r="L344" s="31"/>
      <c r="M344" s="31"/>
      <c r="N344" s="31"/>
    </row>
    <row r="345" spans="2:14" ht="12.75">
      <c r="B345" s="31"/>
      <c r="C345" s="31"/>
      <c r="D345" s="31"/>
      <c r="E345" s="31"/>
      <c r="F345" s="31"/>
      <c r="G345" s="31"/>
      <c r="L345" s="31"/>
      <c r="M345" s="31"/>
      <c r="N345" s="31"/>
    </row>
    <row r="346" spans="2:14" ht="12.75">
      <c r="B346" s="31"/>
      <c r="C346" s="31"/>
      <c r="D346" s="31"/>
      <c r="E346" s="31"/>
      <c r="F346" s="31"/>
      <c r="G346" s="31"/>
      <c r="L346" s="31"/>
      <c r="M346" s="31"/>
      <c r="N346" s="31"/>
    </row>
    <row r="347" spans="2:14" ht="12.75">
      <c r="B347" s="31"/>
      <c r="C347" s="31"/>
      <c r="D347" s="31"/>
      <c r="E347" s="31"/>
      <c r="F347" s="31"/>
      <c r="G347" s="31"/>
      <c r="L347" s="31"/>
      <c r="M347" s="31"/>
      <c r="N347" s="31"/>
    </row>
    <row r="348" spans="2:14" ht="12.75">
      <c r="B348" s="31"/>
      <c r="C348" s="31"/>
      <c r="D348" s="31"/>
      <c r="E348" s="31"/>
      <c r="F348" s="31"/>
      <c r="G348" s="31"/>
      <c r="L348" s="31"/>
      <c r="M348" s="31"/>
      <c r="N348" s="31"/>
    </row>
    <row r="349" spans="2:14" ht="12.75">
      <c r="B349" s="31"/>
      <c r="C349" s="31"/>
      <c r="D349" s="31"/>
      <c r="E349" s="31"/>
      <c r="F349" s="31"/>
      <c r="G349" s="31"/>
      <c r="L349" s="31"/>
      <c r="M349" s="31"/>
      <c r="N349" s="31"/>
    </row>
    <row r="350" spans="2:14" ht="12.75">
      <c r="B350" s="31"/>
      <c r="C350" s="31"/>
      <c r="D350" s="31"/>
      <c r="E350" s="31"/>
      <c r="F350" s="31"/>
      <c r="G350" s="31"/>
      <c r="L350" s="31"/>
      <c r="M350" s="31"/>
      <c r="N350" s="31"/>
    </row>
    <row r="351" spans="2:14" ht="12.75">
      <c r="B351" s="31"/>
      <c r="C351" s="31"/>
      <c r="D351" s="31"/>
      <c r="E351" s="31"/>
      <c r="F351" s="31"/>
      <c r="G351" s="31"/>
      <c r="L351" s="31"/>
      <c r="M351" s="31"/>
      <c r="N351" s="31"/>
    </row>
    <row r="352" spans="2:14" ht="12.75">
      <c r="B352" s="31"/>
      <c r="C352" s="31"/>
      <c r="D352" s="31"/>
      <c r="E352" s="31"/>
      <c r="F352" s="31"/>
      <c r="G352" s="31"/>
      <c r="L352" s="31"/>
      <c r="M352" s="31"/>
      <c r="N352" s="31"/>
    </row>
    <row r="353" spans="2:14" ht="12.75">
      <c r="B353" s="31"/>
      <c r="C353" s="31"/>
      <c r="D353" s="31"/>
      <c r="E353" s="31"/>
      <c r="F353" s="31"/>
      <c r="G353" s="31"/>
      <c r="L353" s="31"/>
      <c r="M353" s="31"/>
      <c r="N353" s="31"/>
    </row>
    <row r="354" spans="2:14" ht="12.75">
      <c r="B354" s="31"/>
      <c r="C354" s="31"/>
      <c r="D354" s="31"/>
      <c r="E354" s="31"/>
      <c r="F354" s="31"/>
      <c r="G354" s="31"/>
      <c r="L354" s="31"/>
      <c r="M354" s="31"/>
      <c r="N354" s="31"/>
    </row>
    <row r="355" spans="2:14" ht="12.75">
      <c r="B355" s="31"/>
      <c r="C355" s="31"/>
      <c r="D355" s="31"/>
      <c r="E355" s="31"/>
      <c r="F355" s="31"/>
      <c r="G355" s="31"/>
      <c r="L355" s="31"/>
      <c r="M355" s="31"/>
      <c r="N355" s="31"/>
    </row>
    <row r="356" spans="2:14" ht="12.75">
      <c r="B356" s="31"/>
      <c r="C356" s="31"/>
      <c r="D356" s="31"/>
      <c r="E356" s="31"/>
      <c r="F356" s="31"/>
      <c r="G356" s="31"/>
      <c r="L356" s="31"/>
      <c r="M356" s="31"/>
      <c r="N356" s="31"/>
    </row>
    <row r="357" spans="2:14" ht="12.75">
      <c r="B357" s="31"/>
      <c r="C357" s="31"/>
      <c r="D357" s="31"/>
      <c r="E357" s="31"/>
      <c r="F357" s="31"/>
      <c r="G357" s="31"/>
      <c r="L357" s="31"/>
      <c r="M357" s="31"/>
      <c r="N357" s="31"/>
    </row>
    <row r="358" spans="2:14" ht="12.75">
      <c r="B358" s="31"/>
      <c r="C358" s="31"/>
      <c r="D358" s="31"/>
      <c r="E358" s="31"/>
      <c r="F358" s="31"/>
      <c r="G358" s="31"/>
      <c r="L358" s="31"/>
      <c r="M358" s="31"/>
      <c r="N358" s="31"/>
    </row>
    <row r="359" spans="2:14" ht="12.75">
      <c r="B359" s="31"/>
      <c r="C359" s="31"/>
      <c r="D359" s="31"/>
      <c r="E359" s="31"/>
      <c r="F359" s="31"/>
      <c r="G359" s="31"/>
      <c r="L359" s="31"/>
      <c r="M359" s="31"/>
      <c r="N359" s="31"/>
    </row>
    <row r="360" spans="2:14" ht="12.75">
      <c r="B360" s="31"/>
      <c r="C360" s="31"/>
      <c r="D360" s="31"/>
      <c r="E360" s="31"/>
      <c r="F360" s="31"/>
      <c r="G360" s="31"/>
      <c r="L360" s="31"/>
      <c r="M360" s="31"/>
      <c r="N360" s="31"/>
    </row>
    <row r="361" spans="2:14" ht="12.75">
      <c r="B361" s="31"/>
      <c r="C361" s="31"/>
      <c r="D361" s="31"/>
      <c r="E361" s="31"/>
      <c r="F361" s="31"/>
      <c r="G361" s="31"/>
      <c r="L361" s="31"/>
      <c r="M361" s="31"/>
      <c r="N361" s="31"/>
    </row>
    <row r="362" spans="2:14" ht="12.75">
      <c r="B362" s="31"/>
      <c r="C362" s="31"/>
      <c r="D362" s="31"/>
      <c r="E362" s="31"/>
      <c r="F362" s="31"/>
      <c r="G362" s="31"/>
      <c r="L362" s="31"/>
      <c r="M362" s="31"/>
      <c r="N362" s="31"/>
    </row>
    <row r="363" spans="2:14" ht="12.75">
      <c r="B363" s="31"/>
      <c r="C363" s="31"/>
      <c r="D363" s="31"/>
      <c r="E363" s="31"/>
      <c r="F363" s="31"/>
      <c r="G363" s="31"/>
      <c r="L363" s="31"/>
      <c r="M363" s="31"/>
      <c r="N363" s="31"/>
    </row>
    <row r="364" spans="2:14" ht="12.75">
      <c r="B364" s="31"/>
      <c r="C364" s="31"/>
      <c r="D364" s="31"/>
      <c r="E364" s="31"/>
      <c r="F364" s="31"/>
      <c r="G364" s="31"/>
      <c r="L364" s="31"/>
      <c r="M364" s="31"/>
      <c r="N364" s="31"/>
    </row>
    <row r="365" spans="2:14" ht="12.75">
      <c r="B365" s="31"/>
      <c r="C365" s="31"/>
      <c r="D365" s="31"/>
      <c r="E365" s="31"/>
      <c r="F365" s="31"/>
      <c r="G365" s="31"/>
      <c r="L365" s="31"/>
      <c r="M365" s="31"/>
      <c r="N365" s="31"/>
    </row>
    <row r="366" spans="2:14" ht="12.75">
      <c r="B366" s="31"/>
      <c r="C366" s="31"/>
      <c r="D366" s="31"/>
      <c r="E366" s="31"/>
      <c r="F366" s="31"/>
      <c r="G366" s="31"/>
      <c r="L366" s="31"/>
      <c r="M366" s="31"/>
      <c r="N366" s="31"/>
    </row>
    <row r="367" spans="2:14" ht="12.75">
      <c r="B367" s="31"/>
      <c r="C367" s="31"/>
      <c r="D367" s="31"/>
      <c r="E367" s="31"/>
      <c r="F367" s="31"/>
      <c r="G367" s="31"/>
      <c r="L367" s="31"/>
      <c r="M367" s="31"/>
      <c r="N367" s="31"/>
    </row>
    <row r="368" spans="2:14" ht="12.75">
      <c r="B368" s="31"/>
      <c r="C368" s="31"/>
      <c r="D368" s="31"/>
      <c r="E368" s="31"/>
      <c r="F368" s="31"/>
      <c r="G368" s="31"/>
      <c r="L368" s="31"/>
      <c r="M368" s="31"/>
      <c r="N368" s="31"/>
    </row>
    <row r="369" spans="2:14" ht="12.75">
      <c r="B369" s="31"/>
      <c r="C369" s="31"/>
      <c r="D369" s="31"/>
      <c r="E369" s="31"/>
      <c r="F369" s="31"/>
      <c r="G369" s="31"/>
      <c r="L369" s="31"/>
      <c r="M369" s="31"/>
      <c r="N369" s="31"/>
    </row>
    <row r="370" spans="2:14" ht="12.75">
      <c r="B370" s="31"/>
      <c r="C370" s="31"/>
      <c r="D370" s="31"/>
      <c r="E370" s="31"/>
      <c r="F370" s="31"/>
      <c r="G370" s="31"/>
      <c r="L370" s="31"/>
      <c r="M370" s="31"/>
      <c r="N370" s="31"/>
    </row>
    <row r="371" spans="2:14" ht="12.75">
      <c r="B371" s="31"/>
      <c r="C371" s="31"/>
      <c r="D371" s="31"/>
      <c r="E371" s="31"/>
      <c r="F371" s="31"/>
      <c r="G371" s="31"/>
      <c r="L371" s="31"/>
      <c r="M371" s="31"/>
      <c r="N371" s="31"/>
    </row>
    <row r="372" spans="2:14" ht="12.75">
      <c r="B372" s="31"/>
      <c r="C372" s="31"/>
      <c r="D372" s="31"/>
      <c r="E372" s="31"/>
      <c r="F372" s="31"/>
      <c r="G372" s="31"/>
      <c r="L372" s="31"/>
      <c r="M372" s="31"/>
      <c r="N372" s="31"/>
    </row>
    <row r="373" spans="2:14" ht="12.75">
      <c r="B373" s="31"/>
      <c r="C373" s="31"/>
      <c r="D373" s="31"/>
      <c r="E373" s="31"/>
      <c r="F373" s="31"/>
      <c r="G373" s="31"/>
      <c r="L373" s="31"/>
      <c r="M373" s="31"/>
      <c r="N373" s="31"/>
    </row>
    <row r="374" spans="2:14" ht="12.75">
      <c r="B374" s="31"/>
      <c r="C374" s="31"/>
      <c r="D374" s="31"/>
      <c r="E374" s="31"/>
      <c r="F374" s="31"/>
      <c r="G374" s="31"/>
      <c r="L374" s="31"/>
      <c r="M374" s="31"/>
      <c r="N374" s="31"/>
    </row>
    <row r="375" spans="2:14" ht="12.75">
      <c r="B375" s="31"/>
      <c r="C375" s="31"/>
      <c r="D375" s="31"/>
      <c r="E375" s="31"/>
      <c r="F375" s="31"/>
      <c r="G375" s="31"/>
      <c r="L375" s="31"/>
      <c r="M375" s="31"/>
      <c r="N375" s="31"/>
    </row>
    <row r="376" spans="2:14" ht="12.75">
      <c r="B376" s="31"/>
      <c r="C376" s="31"/>
      <c r="D376" s="31"/>
      <c r="E376" s="31"/>
      <c r="F376" s="31"/>
      <c r="G376" s="31"/>
      <c r="L376" s="31"/>
      <c r="M376" s="31"/>
      <c r="N376" s="31"/>
    </row>
    <row r="377" spans="2:14" ht="12.75">
      <c r="B377" s="31"/>
      <c r="C377" s="31"/>
      <c r="D377" s="31"/>
      <c r="E377" s="31"/>
      <c r="F377" s="31"/>
      <c r="G377" s="31"/>
      <c r="L377" s="31"/>
      <c r="M377" s="31"/>
      <c r="N377" s="31"/>
    </row>
    <row r="378" spans="2:14" ht="12.75">
      <c r="B378" s="31"/>
      <c r="C378" s="31"/>
      <c r="D378" s="31"/>
      <c r="E378" s="31"/>
      <c r="F378" s="31"/>
      <c r="G378" s="31"/>
      <c r="L378" s="31"/>
      <c r="M378" s="31"/>
      <c r="N378" s="31"/>
    </row>
    <row r="379" spans="2:14" ht="12.75">
      <c r="B379" s="31"/>
      <c r="C379" s="31"/>
      <c r="D379" s="31"/>
      <c r="E379" s="31"/>
      <c r="F379" s="31"/>
      <c r="G379" s="31"/>
      <c r="L379" s="31"/>
      <c r="M379" s="31"/>
      <c r="N379" s="31"/>
    </row>
    <row r="380" spans="2:14" ht="12.75">
      <c r="B380" s="31"/>
      <c r="C380" s="31"/>
      <c r="D380" s="31"/>
      <c r="E380" s="31"/>
      <c r="F380" s="31"/>
      <c r="G380" s="31"/>
      <c r="L380" s="31"/>
      <c r="M380" s="31"/>
      <c r="N380" s="31"/>
    </row>
    <row r="381" spans="2:14" ht="12.75">
      <c r="B381" s="31"/>
      <c r="C381" s="31"/>
      <c r="D381" s="31"/>
      <c r="E381" s="31"/>
      <c r="F381" s="31"/>
      <c r="G381" s="31"/>
      <c r="L381" s="31"/>
      <c r="M381" s="31"/>
      <c r="N381" s="31"/>
    </row>
    <row r="382" spans="2:14" ht="12.75">
      <c r="B382" s="31"/>
      <c r="C382" s="31"/>
      <c r="D382" s="31"/>
      <c r="E382" s="31"/>
      <c r="F382" s="31"/>
      <c r="G382" s="31"/>
      <c r="L382" s="31"/>
      <c r="M382" s="31"/>
      <c r="N382" s="31"/>
    </row>
    <row r="383" spans="2:14" ht="12.75">
      <c r="B383" s="31"/>
      <c r="C383" s="31"/>
      <c r="D383" s="31"/>
      <c r="E383" s="31"/>
      <c r="F383" s="31"/>
      <c r="G383" s="31"/>
      <c r="L383" s="31"/>
      <c r="M383" s="31"/>
      <c r="N383" s="31"/>
    </row>
    <row r="384" spans="2:14" ht="12.75">
      <c r="B384" s="31"/>
      <c r="C384" s="31"/>
      <c r="D384" s="31"/>
      <c r="E384" s="31"/>
      <c r="F384" s="31"/>
      <c r="G384" s="31"/>
      <c r="L384" s="31"/>
      <c r="M384" s="31"/>
      <c r="N384" s="31"/>
    </row>
    <row r="385" spans="2:14" ht="12.75">
      <c r="B385" s="31"/>
      <c r="C385" s="31"/>
      <c r="D385" s="31"/>
      <c r="E385" s="31"/>
      <c r="F385" s="31"/>
      <c r="G385" s="31"/>
      <c r="L385" s="31"/>
      <c r="M385" s="31"/>
      <c r="N385" s="31"/>
    </row>
    <row r="386" spans="2:14" ht="12.75">
      <c r="B386" s="31"/>
      <c r="C386" s="31"/>
      <c r="D386" s="31"/>
      <c r="E386" s="31"/>
      <c r="F386" s="31"/>
      <c r="G386" s="31"/>
      <c r="L386" s="31"/>
      <c r="M386" s="31"/>
      <c r="N386" s="31"/>
    </row>
    <row r="387" spans="2:14" ht="12.75">
      <c r="B387" s="31"/>
      <c r="C387" s="31"/>
      <c r="D387" s="31"/>
      <c r="E387" s="31"/>
      <c r="F387" s="31"/>
      <c r="G387" s="31"/>
      <c r="L387" s="31"/>
      <c r="M387" s="31"/>
      <c r="N387" s="31"/>
    </row>
    <row r="388" spans="2:14" ht="12.75">
      <c r="B388" s="31"/>
      <c r="C388" s="31"/>
      <c r="D388" s="31"/>
      <c r="E388" s="31"/>
      <c r="F388" s="31"/>
      <c r="G388" s="31"/>
      <c r="L388" s="31"/>
      <c r="M388" s="31"/>
      <c r="N388" s="31"/>
    </row>
    <row r="389" spans="2:14" ht="12.75">
      <c r="B389" s="31"/>
      <c r="C389" s="31"/>
      <c r="D389" s="31"/>
      <c r="E389" s="31"/>
      <c r="F389" s="31"/>
      <c r="G389" s="31"/>
      <c r="L389" s="31"/>
      <c r="M389" s="31"/>
      <c r="N389" s="31"/>
    </row>
    <row r="390" spans="2:14" ht="12.75">
      <c r="B390" s="31"/>
      <c r="C390" s="31"/>
      <c r="D390" s="31"/>
      <c r="E390" s="31"/>
      <c r="F390" s="31"/>
      <c r="G390" s="31"/>
      <c r="L390" s="31"/>
      <c r="M390" s="31"/>
      <c r="N390" s="31"/>
    </row>
    <row r="391" spans="2:14" ht="12.75">
      <c r="B391" s="31"/>
      <c r="C391" s="31"/>
      <c r="D391" s="31"/>
      <c r="E391" s="31"/>
      <c r="F391" s="31"/>
      <c r="G391" s="31"/>
      <c r="L391" s="31"/>
      <c r="M391" s="31"/>
      <c r="N391" s="31"/>
    </row>
    <row r="392" spans="2:14" ht="12.75">
      <c r="B392" s="31"/>
      <c r="C392" s="31"/>
      <c r="D392" s="31"/>
      <c r="E392" s="31"/>
      <c r="F392" s="31"/>
      <c r="G392" s="31"/>
      <c r="L392" s="31"/>
      <c r="M392" s="31"/>
      <c r="N392" s="31"/>
    </row>
    <row r="393" spans="2:14" ht="12.75">
      <c r="B393" s="31"/>
      <c r="C393" s="31"/>
      <c r="D393" s="31"/>
      <c r="E393" s="31"/>
      <c r="F393" s="31"/>
      <c r="G393" s="31"/>
      <c r="L393" s="31"/>
      <c r="M393" s="31"/>
      <c r="N393" s="31"/>
    </row>
    <row r="394" spans="2:14" ht="12.75">
      <c r="B394" s="31"/>
      <c r="C394" s="31"/>
      <c r="D394" s="31"/>
      <c r="E394" s="31"/>
      <c r="F394" s="31"/>
      <c r="G394" s="31"/>
      <c r="L394" s="31"/>
      <c r="M394" s="31"/>
      <c r="N394" s="31"/>
    </row>
    <row r="395" spans="2:14" ht="12.75">
      <c r="B395" s="31"/>
      <c r="C395" s="31"/>
      <c r="D395" s="31"/>
      <c r="E395" s="31"/>
      <c r="F395" s="31"/>
      <c r="G395" s="31"/>
      <c r="L395" s="31"/>
      <c r="M395" s="31"/>
      <c r="N395" s="31"/>
    </row>
    <row r="396" spans="2:14" ht="12.75">
      <c r="B396" s="31"/>
      <c r="C396" s="31"/>
      <c r="D396" s="31"/>
      <c r="E396" s="31"/>
      <c r="F396" s="31"/>
      <c r="G396" s="31"/>
      <c r="L396" s="31"/>
      <c r="M396" s="31"/>
      <c r="N396" s="31"/>
    </row>
    <row r="397" spans="2:14" ht="12.75">
      <c r="B397" s="31"/>
      <c r="C397" s="31"/>
      <c r="D397" s="31"/>
      <c r="E397" s="31"/>
      <c r="F397" s="31"/>
      <c r="G397" s="31"/>
      <c r="L397" s="31"/>
      <c r="M397" s="31"/>
      <c r="N397" s="31"/>
    </row>
    <row r="398" spans="2:14" ht="12.75">
      <c r="B398" s="31"/>
      <c r="C398" s="31"/>
      <c r="D398" s="31"/>
      <c r="E398" s="31"/>
      <c r="F398" s="31"/>
      <c r="G398" s="31"/>
      <c r="L398" s="31"/>
      <c r="M398" s="31"/>
      <c r="N398" s="31"/>
    </row>
    <row r="399" spans="2:14" ht="12.75">
      <c r="B399" s="31"/>
      <c r="C399" s="31"/>
      <c r="D399" s="31"/>
      <c r="E399" s="31"/>
      <c r="F399" s="31"/>
      <c r="G399" s="31"/>
      <c r="L399" s="31"/>
      <c r="M399" s="31"/>
      <c r="N399" s="31"/>
    </row>
    <row r="400" spans="2:14" ht="12.75">
      <c r="B400" s="31"/>
      <c r="C400" s="31"/>
      <c r="D400" s="31"/>
      <c r="E400" s="31"/>
      <c r="F400" s="31"/>
      <c r="G400" s="31"/>
      <c r="L400" s="31"/>
      <c r="M400" s="31"/>
      <c r="N400" s="31"/>
    </row>
    <row r="401" spans="2:14" ht="12.75">
      <c r="B401" s="31"/>
      <c r="C401" s="31"/>
      <c r="D401" s="31"/>
      <c r="E401" s="31"/>
      <c r="F401" s="31"/>
      <c r="G401" s="31"/>
      <c r="L401" s="31"/>
      <c r="M401" s="31"/>
      <c r="N401" s="31"/>
    </row>
    <row r="402" spans="2:14" ht="12.75">
      <c r="B402" s="31"/>
      <c r="C402" s="31"/>
      <c r="D402" s="31"/>
      <c r="E402" s="31"/>
      <c r="F402" s="31"/>
      <c r="G402" s="31"/>
      <c r="L402" s="31"/>
      <c r="M402" s="31"/>
      <c r="N402" s="31"/>
    </row>
    <row r="403" spans="2:14" ht="12.75">
      <c r="B403" s="31"/>
      <c r="C403" s="31"/>
      <c r="D403" s="31"/>
      <c r="E403" s="31"/>
      <c r="F403" s="31"/>
      <c r="G403" s="31"/>
      <c r="L403" s="31"/>
      <c r="M403" s="31"/>
      <c r="N403" s="31"/>
    </row>
    <row r="404" spans="2:14" ht="12.75">
      <c r="B404" s="31"/>
      <c r="C404" s="31"/>
      <c r="D404" s="31"/>
      <c r="E404" s="31"/>
      <c r="F404" s="31"/>
      <c r="G404" s="31"/>
      <c r="L404" s="31"/>
      <c r="M404" s="31"/>
      <c r="N404" s="31"/>
    </row>
    <row r="405" spans="2:14" ht="12.75">
      <c r="B405" s="31"/>
      <c r="C405" s="31"/>
      <c r="D405" s="31"/>
      <c r="E405" s="31"/>
      <c r="F405" s="31"/>
      <c r="G405" s="31"/>
      <c r="L405" s="31"/>
      <c r="M405" s="31"/>
      <c r="N405" s="31"/>
    </row>
    <row r="406" spans="2:14" ht="12.75">
      <c r="B406" s="31"/>
      <c r="C406" s="31"/>
      <c r="D406" s="31"/>
      <c r="E406" s="31"/>
      <c r="F406" s="31"/>
      <c r="G406" s="31"/>
      <c r="L406" s="31"/>
      <c r="M406" s="31"/>
      <c r="N406" s="31"/>
    </row>
    <row r="407" spans="2:14" ht="12.75">
      <c r="B407" s="31"/>
      <c r="C407" s="31"/>
      <c r="D407" s="31"/>
      <c r="E407" s="31"/>
      <c r="F407" s="31"/>
      <c r="G407" s="31"/>
      <c r="L407" s="31"/>
      <c r="M407" s="31"/>
      <c r="N407" s="31"/>
    </row>
    <row r="408" spans="2:14" ht="12.75">
      <c r="B408" s="31"/>
      <c r="C408" s="31"/>
      <c r="D408" s="31"/>
      <c r="E408" s="31"/>
      <c r="F408" s="31"/>
      <c r="G408" s="31"/>
      <c r="L408" s="31"/>
      <c r="M408" s="31"/>
      <c r="N408" s="31"/>
    </row>
    <row r="409" spans="2:14" ht="12.75">
      <c r="B409" s="31"/>
      <c r="C409" s="31"/>
      <c r="D409" s="31"/>
      <c r="E409" s="31"/>
      <c r="F409" s="31"/>
      <c r="G409" s="31"/>
      <c r="L409" s="31"/>
      <c r="M409" s="31"/>
      <c r="N409" s="31"/>
    </row>
    <row r="410" spans="2:14" ht="12.75">
      <c r="B410" s="31"/>
      <c r="C410" s="31"/>
      <c r="D410" s="31"/>
      <c r="E410" s="31"/>
      <c r="F410" s="31"/>
      <c r="G410" s="31"/>
      <c r="L410" s="31"/>
      <c r="M410" s="31"/>
      <c r="N410" s="31"/>
    </row>
    <row r="411" spans="2:14" ht="12.75">
      <c r="B411" s="31"/>
      <c r="C411" s="31"/>
      <c r="D411" s="31"/>
      <c r="E411" s="31"/>
      <c r="F411" s="31"/>
      <c r="G411" s="31"/>
      <c r="L411" s="31"/>
      <c r="M411" s="31"/>
      <c r="N411" s="31"/>
    </row>
    <row r="412" spans="2:14" ht="12.75">
      <c r="B412" s="31"/>
      <c r="C412" s="31"/>
      <c r="D412" s="31"/>
      <c r="E412" s="31"/>
      <c r="F412" s="31"/>
      <c r="G412" s="31"/>
      <c r="L412" s="31"/>
      <c r="M412" s="31"/>
      <c r="N412" s="31"/>
    </row>
    <row r="413" spans="2:14" ht="12.75">
      <c r="B413" s="31"/>
      <c r="C413" s="31"/>
      <c r="D413" s="31"/>
      <c r="E413" s="31"/>
      <c r="F413" s="31"/>
      <c r="G413" s="31"/>
      <c r="L413" s="31"/>
      <c r="M413" s="31"/>
      <c r="N413" s="31"/>
    </row>
    <row r="414" spans="2:14" ht="12.75">
      <c r="B414" s="31"/>
      <c r="C414" s="31"/>
      <c r="D414" s="31"/>
      <c r="E414" s="31"/>
      <c r="F414" s="31"/>
      <c r="G414" s="31"/>
      <c r="L414" s="31"/>
      <c r="M414" s="31"/>
      <c r="N414" s="31"/>
    </row>
    <row r="415" spans="2:14" ht="12.75">
      <c r="B415" s="31"/>
      <c r="C415" s="31"/>
      <c r="D415" s="31"/>
      <c r="E415" s="31"/>
      <c r="F415" s="31"/>
      <c r="G415" s="31"/>
      <c r="L415" s="31"/>
      <c r="M415" s="31"/>
      <c r="N415" s="31"/>
    </row>
    <row r="416" spans="2:14" ht="12.75">
      <c r="B416" s="31"/>
      <c r="C416" s="31"/>
      <c r="D416" s="31"/>
      <c r="E416" s="31"/>
      <c r="F416" s="31"/>
      <c r="G416" s="31"/>
      <c r="L416" s="31"/>
      <c r="M416" s="31"/>
      <c r="N416" s="31"/>
    </row>
    <row r="417" spans="2:14" ht="12.75">
      <c r="B417" s="31"/>
      <c r="C417" s="31"/>
      <c r="D417" s="31"/>
      <c r="E417" s="31"/>
      <c r="F417" s="31"/>
      <c r="G417" s="31"/>
      <c r="L417" s="31"/>
      <c r="M417" s="31"/>
      <c r="N417" s="31"/>
    </row>
    <row r="418" spans="2:14" ht="12.75">
      <c r="B418" s="31"/>
      <c r="C418" s="31"/>
      <c r="D418" s="31"/>
      <c r="E418" s="31"/>
      <c r="F418" s="31"/>
      <c r="G418" s="31"/>
      <c r="L418" s="31"/>
      <c r="M418" s="31"/>
      <c r="N418" s="31"/>
    </row>
    <row r="419" spans="2:14" ht="12.75">
      <c r="B419" s="31"/>
      <c r="C419" s="31"/>
      <c r="D419" s="31"/>
      <c r="E419" s="31"/>
      <c r="F419" s="31"/>
      <c r="G419" s="31"/>
      <c r="L419" s="31"/>
      <c r="M419" s="31"/>
      <c r="N419" s="31"/>
    </row>
    <row r="420" spans="2:14" ht="12.75">
      <c r="B420" s="31"/>
      <c r="C420" s="31"/>
      <c r="D420" s="31"/>
      <c r="E420" s="31"/>
      <c r="F420" s="31"/>
      <c r="G420" s="31"/>
      <c r="L420" s="31"/>
      <c r="M420" s="31"/>
      <c r="N420" s="31"/>
    </row>
    <row r="421" spans="2:14" ht="12.75">
      <c r="B421" s="31"/>
      <c r="C421" s="31"/>
      <c r="D421" s="31"/>
      <c r="E421" s="31"/>
      <c r="F421" s="31"/>
      <c r="G421" s="31"/>
      <c r="L421" s="31"/>
      <c r="M421" s="31"/>
      <c r="N421" s="31"/>
    </row>
    <row r="422" spans="2:14" ht="12.75">
      <c r="B422" s="31"/>
      <c r="C422" s="31"/>
      <c r="D422" s="31"/>
      <c r="E422" s="31"/>
      <c r="F422" s="31"/>
      <c r="G422" s="31"/>
      <c r="L422" s="31"/>
      <c r="M422" s="31"/>
      <c r="N422" s="31"/>
    </row>
    <row r="423" spans="2:14" ht="12.75">
      <c r="B423" s="31"/>
      <c r="C423" s="31"/>
      <c r="D423" s="31"/>
      <c r="E423" s="31"/>
      <c r="F423" s="31"/>
      <c r="G423" s="31"/>
      <c r="L423" s="31"/>
      <c r="M423" s="31"/>
      <c r="N423" s="31"/>
    </row>
    <row r="424" spans="2:14" ht="12.75">
      <c r="B424" s="31"/>
      <c r="C424" s="31"/>
      <c r="D424" s="31"/>
      <c r="E424" s="31"/>
      <c r="F424" s="31"/>
      <c r="G424" s="31"/>
      <c r="L424" s="31"/>
      <c r="M424" s="31"/>
      <c r="N424" s="31"/>
    </row>
    <row r="425" spans="2:14" ht="12.75">
      <c r="B425" s="31"/>
      <c r="C425" s="31"/>
      <c r="D425" s="31"/>
      <c r="E425" s="31"/>
      <c r="F425" s="31"/>
      <c r="G425" s="31"/>
      <c r="L425" s="31"/>
      <c r="M425" s="31"/>
      <c r="N425" s="31"/>
    </row>
    <row r="426" spans="2:14" ht="12.75">
      <c r="B426" s="31"/>
      <c r="C426" s="31"/>
      <c r="D426" s="31"/>
      <c r="E426" s="31"/>
      <c r="F426" s="31"/>
      <c r="G426" s="31"/>
      <c r="L426" s="31"/>
      <c r="M426" s="31"/>
      <c r="N426" s="31"/>
    </row>
    <row r="427" spans="2:14" ht="12.75">
      <c r="B427" s="31"/>
      <c r="C427" s="31"/>
      <c r="D427" s="31"/>
      <c r="E427" s="31"/>
      <c r="F427" s="31"/>
      <c r="G427" s="31"/>
      <c r="L427" s="31"/>
      <c r="M427" s="31"/>
      <c r="N427" s="31"/>
    </row>
    <row r="428" spans="2:14" ht="12.75">
      <c r="B428" s="31"/>
      <c r="C428" s="31"/>
      <c r="D428" s="31"/>
      <c r="E428" s="31"/>
      <c r="F428" s="31"/>
      <c r="G428" s="31"/>
      <c r="L428" s="31"/>
      <c r="M428" s="31"/>
      <c r="N428" s="31"/>
    </row>
    <row r="429" spans="2:14" ht="12.75">
      <c r="B429" s="31"/>
      <c r="C429" s="31"/>
      <c r="D429" s="31"/>
      <c r="E429" s="31"/>
      <c r="F429" s="31"/>
      <c r="G429" s="31"/>
      <c r="L429" s="31"/>
      <c r="M429" s="31"/>
      <c r="N429" s="31"/>
    </row>
    <row r="430" spans="2:14" ht="12.75">
      <c r="B430" s="31"/>
      <c r="C430" s="31"/>
      <c r="D430" s="31"/>
      <c r="E430" s="31"/>
      <c r="F430" s="31"/>
      <c r="G430" s="31"/>
      <c r="L430" s="31"/>
      <c r="M430" s="31"/>
      <c r="N430" s="31"/>
    </row>
    <row r="431" spans="2:14" ht="12.75">
      <c r="B431" s="31"/>
      <c r="C431" s="31"/>
      <c r="D431" s="31"/>
      <c r="E431" s="31"/>
      <c r="F431" s="31"/>
      <c r="G431" s="31"/>
      <c r="L431" s="31"/>
      <c r="M431" s="31"/>
      <c r="N431" s="31"/>
    </row>
    <row r="432" spans="2:14" ht="12.75">
      <c r="B432" s="31"/>
      <c r="C432" s="31"/>
      <c r="D432" s="31"/>
      <c r="E432" s="31"/>
      <c r="F432" s="31"/>
      <c r="G432" s="31"/>
      <c r="L432" s="31"/>
      <c r="M432" s="31"/>
      <c r="N432" s="31"/>
    </row>
    <row r="433" spans="2:14" ht="12.75">
      <c r="B433" s="31"/>
      <c r="C433" s="31"/>
      <c r="D433" s="31"/>
      <c r="E433" s="31"/>
      <c r="F433" s="31"/>
      <c r="G433" s="31"/>
      <c r="L433" s="31"/>
      <c r="M433" s="31"/>
      <c r="N433" s="31"/>
    </row>
    <row r="434" spans="2:14" ht="12.75">
      <c r="B434" s="31"/>
      <c r="C434" s="31"/>
      <c r="D434" s="31"/>
      <c r="E434" s="31"/>
      <c r="F434" s="31"/>
      <c r="G434" s="31"/>
      <c r="L434" s="31"/>
      <c r="M434" s="31"/>
      <c r="N434" s="31"/>
    </row>
    <row r="435" spans="2:14" ht="12.75">
      <c r="B435" s="31"/>
      <c r="C435" s="31"/>
      <c r="D435" s="31"/>
      <c r="E435" s="31"/>
      <c r="F435" s="31"/>
      <c r="G435" s="31"/>
      <c r="L435" s="31"/>
      <c r="M435" s="31"/>
      <c r="N435" s="31"/>
    </row>
    <row r="436" spans="2:14" ht="12.75">
      <c r="B436" s="31"/>
      <c r="C436" s="31"/>
      <c r="D436" s="31"/>
      <c r="E436" s="31"/>
      <c r="F436" s="31"/>
      <c r="G436" s="31"/>
      <c r="L436" s="31"/>
      <c r="M436" s="31"/>
      <c r="N436" s="31"/>
    </row>
    <row r="437" spans="2:14" ht="12.75">
      <c r="B437" s="31"/>
      <c r="C437" s="31"/>
      <c r="D437" s="31"/>
      <c r="E437" s="31"/>
      <c r="F437" s="31"/>
      <c r="G437" s="31"/>
      <c r="L437" s="31"/>
      <c r="M437" s="31"/>
      <c r="N437" s="31"/>
    </row>
    <row r="438" spans="2:14" ht="12.75">
      <c r="B438" s="31"/>
      <c r="C438" s="31"/>
      <c r="D438" s="31"/>
      <c r="E438" s="31"/>
      <c r="F438" s="31"/>
      <c r="G438" s="31"/>
      <c r="L438" s="31"/>
      <c r="M438" s="31"/>
      <c r="N438" s="31"/>
    </row>
    <row r="439" spans="2:14" ht="12.75">
      <c r="B439" s="31"/>
      <c r="C439" s="31"/>
      <c r="D439" s="31"/>
      <c r="E439" s="31"/>
      <c r="F439" s="31"/>
      <c r="G439" s="31"/>
      <c r="L439" s="31"/>
      <c r="M439" s="31"/>
      <c r="N439" s="31"/>
    </row>
    <row r="440" spans="2:14" ht="12.75">
      <c r="B440" s="31"/>
      <c r="C440" s="31"/>
      <c r="D440" s="31"/>
      <c r="E440" s="31"/>
      <c r="F440" s="31"/>
      <c r="G440" s="31"/>
      <c r="L440" s="31"/>
      <c r="M440" s="31"/>
      <c r="N440" s="31"/>
    </row>
    <row r="441" spans="2:14" ht="12.75">
      <c r="B441" s="31"/>
      <c r="C441" s="31"/>
      <c r="D441" s="31"/>
      <c r="E441" s="31"/>
      <c r="F441" s="31"/>
      <c r="G441" s="31"/>
      <c r="L441" s="31"/>
      <c r="M441" s="31"/>
      <c r="N441" s="31"/>
    </row>
    <row r="442" spans="2:14" ht="12.75">
      <c r="B442" s="31"/>
      <c r="C442" s="31"/>
      <c r="D442" s="31"/>
      <c r="E442" s="31"/>
      <c r="F442" s="31"/>
      <c r="G442" s="31"/>
      <c r="L442" s="31"/>
      <c r="M442" s="31"/>
      <c r="N442" s="31"/>
    </row>
    <row r="443" spans="2:14" ht="12.75">
      <c r="B443" s="31"/>
      <c r="C443" s="31"/>
      <c r="D443" s="31"/>
      <c r="E443" s="31"/>
      <c r="F443" s="31"/>
      <c r="G443" s="31"/>
      <c r="L443" s="31"/>
      <c r="M443" s="31"/>
      <c r="N443" s="31"/>
    </row>
    <row r="444" spans="2:14" ht="12.75">
      <c r="B444" s="31"/>
      <c r="C444" s="31"/>
      <c r="D444" s="31"/>
      <c r="E444" s="31"/>
      <c r="F444" s="31"/>
      <c r="G444" s="31"/>
      <c r="L444" s="31"/>
      <c r="M444" s="31"/>
      <c r="N444" s="31"/>
    </row>
    <row r="445" spans="2:14" ht="12.75">
      <c r="B445" s="31"/>
      <c r="C445" s="31"/>
      <c r="D445" s="31"/>
      <c r="E445" s="31"/>
      <c r="F445" s="31"/>
      <c r="G445" s="31"/>
      <c r="L445" s="31"/>
      <c r="M445" s="31"/>
      <c r="N445" s="31"/>
    </row>
    <row r="446" spans="2:14" ht="12.75">
      <c r="B446" s="31"/>
      <c r="C446" s="31"/>
      <c r="D446" s="31"/>
      <c r="E446" s="31"/>
      <c r="F446" s="31"/>
      <c r="G446" s="31"/>
      <c r="L446" s="31"/>
      <c r="M446" s="31"/>
      <c r="N446" s="31"/>
    </row>
    <row r="447" spans="2:14" ht="12.75">
      <c r="B447" s="31"/>
      <c r="C447" s="31"/>
      <c r="D447" s="31"/>
      <c r="E447" s="31"/>
      <c r="F447" s="31"/>
      <c r="G447" s="31"/>
      <c r="L447" s="31"/>
      <c r="M447" s="31"/>
      <c r="N447" s="31"/>
    </row>
    <row r="448" spans="2:14" ht="12.75">
      <c r="B448" s="31"/>
      <c r="C448" s="31"/>
      <c r="D448" s="31"/>
      <c r="E448" s="31"/>
      <c r="F448" s="31"/>
      <c r="G448" s="31"/>
      <c r="L448" s="31"/>
      <c r="M448" s="31"/>
      <c r="N448" s="31"/>
    </row>
    <row r="449" spans="2:14" ht="12.75">
      <c r="B449" s="31"/>
      <c r="C449" s="31"/>
      <c r="D449" s="31"/>
      <c r="E449" s="31"/>
      <c r="F449" s="31"/>
      <c r="G449" s="31"/>
      <c r="L449" s="31"/>
      <c r="M449" s="31"/>
      <c r="N449" s="31"/>
    </row>
    <row r="450" spans="2:14" ht="12.75">
      <c r="B450" s="31"/>
      <c r="C450" s="31"/>
      <c r="D450" s="31"/>
      <c r="E450" s="31"/>
      <c r="F450" s="31"/>
      <c r="G450" s="31"/>
      <c r="L450" s="31"/>
      <c r="M450" s="31"/>
      <c r="N450" s="31"/>
    </row>
    <row r="451" spans="2:14" ht="12.75">
      <c r="B451" s="31"/>
      <c r="C451" s="31"/>
      <c r="D451" s="31"/>
      <c r="E451" s="31"/>
      <c r="F451" s="31"/>
      <c r="G451" s="31"/>
      <c r="L451" s="31"/>
      <c r="M451" s="31"/>
      <c r="N451" s="31"/>
    </row>
    <row r="452" spans="2:14" ht="12.75">
      <c r="B452" s="31"/>
      <c r="C452" s="31"/>
      <c r="D452" s="31"/>
      <c r="E452" s="31"/>
      <c r="F452" s="31"/>
      <c r="G452" s="31"/>
      <c r="L452" s="31"/>
      <c r="M452" s="31"/>
      <c r="N452" s="31"/>
    </row>
    <row r="453" spans="2:14" ht="12.75">
      <c r="B453" s="31"/>
      <c r="C453" s="31"/>
      <c r="D453" s="31"/>
      <c r="E453" s="31"/>
      <c r="F453" s="31"/>
      <c r="G453" s="31"/>
      <c r="L453" s="31"/>
      <c r="M453" s="31"/>
      <c r="N453" s="31"/>
    </row>
    <row r="454" spans="2:14" ht="12.75">
      <c r="B454" s="31"/>
      <c r="C454" s="31"/>
      <c r="D454" s="31"/>
      <c r="E454" s="31"/>
      <c r="F454" s="31"/>
      <c r="G454" s="31"/>
      <c r="L454" s="31"/>
      <c r="M454" s="31"/>
      <c r="N454" s="31"/>
    </row>
    <row r="455" spans="2:14" ht="12.75">
      <c r="B455" s="31"/>
      <c r="C455" s="31"/>
      <c r="D455" s="31"/>
      <c r="E455" s="31"/>
      <c r="F455" s="31"/>
      <c r="G455" s="31"/>
      <c r="L455" s="31"/>
      <c r="M455" s="31"/>
      <c r="N455" s="31"/>
    </row>
    <row r="456" spans="2:14" ht="12.75">
      <c r="B456" s="31"/>
      <c r="C456" s="31"/>
      <c r="D456" s="31"/>
      <c r="E456" s="31"/>
      <c r="F456" s="31"/>
      <c r="G456" s="31"/>
      <c r="L456" s="31"/>
      <c r="M456" s="31"/>
      <c r="N456" s="31"/>
    </row>
    <row r="457" spans="2:14" ht="12.75">
      <c r="B457" s="31"/>
      <c r="C457" s="31"/>
      <c r="D457" s="31"/>
      <c r="E457" s="31"/>
      <c r="F457" s="31"/>
      <c r="G457" s="31"/>
      <c r="L457" s="31"/>
      <c r="M457" s="31"/>
      <c r="N457" s="31"/>
    </row>
    <row r="458" spans="2:14" ht="12.75">
      <c r="B458" s="31"/>
      <c r="C458" s="31"/>
      <c r="D458" s="31"/>
      <c r="E458" s="31"/>
      <c r="F458" s="31"/>
      <c r="G458" s="31"/>
      <c r="L458" s="31"/>
      <c r="M458" s="31"/>
      <c r="N458" s="31"/>
    </row>
    <row r="459" spans="2:14" ht="12.75">
      <c r="B459" s="31"/>
      <c r="C459" s="31"/>
      <c r="D459" s="31"/>
      <c r="E459" s="31"/>
      <c r="F459" s="31"/>
      <c r="G459" s="31"/>
      <c r="L459" s="31"/>
      <c r="M459" s="31"/>
      <c r="N459" s="31"/>
    </row>
    <row r="460" spans="2:14" ht="12.75">
      <c r="B460" s="31"/>
      <c r="C460" s="31"/>
      <c r="D460" s="31"/>
      <c r="E460" s="31"/>
      <c r="F460" s="31"/>
      <c r="G460" s="31"/>
      <c r="L460" s="31"/>
      <c r="M460" s="31"/>
      <c r="N460" s="31"/>
    </row>
    <row r="461" spans="2:14" ht="12.75">
      <c r="B461" s="31"/>
      <c r="C461" s="31"/>
      <c r="D461" s="31"/>
      <c r="E461" s="31"/>
      <c r="F461" s="31"/>
      <c r="G461" s="31"/>
      <c r="L461" s="31"/>
      <c r="M461" s="31"/>
      <c r="N461" s="31"/>
    </row>
    <row r="462" spans="2:14" ht="12.75">
      <c r="B462" s="31"/>
      <c r="C462" s="31"/>
      <c r="D462" s="31"/>
      <c r="E462" s="31"/>
      <c r="F462" s="31"/>
      <c r="G462" s="31"/>
      <c r="L462" s="31"/>
      <c r="M462" s="31"/>
      <c r="N462" s="31"/>
    </row>
    <row r="463" spans="2:14" ht="12.75">
      <c r="B463" s="31"/>
      <c r="C463" s="31"/>
      <c r="D463" s="31"/>
      <c r="E463" s="31"/>
      <c r="F463" s="31"/>
      <c r="G463" s="31"/>
      <c r="L463" s="31"/>
      <c r="M463" s="31"/>
      <c r="N463" s="31"/>
    </row>
    <row r="464" spans="2:14" ht="12.75">
      <c r="B464" s="31"/>
      <c r="C464" s="31"/>
      <c r="D464" s="31"/>
      <c r="E464" s="31"/>
      <c r="F464" s="31"/>
      <c r="G464" s="31"/>
      <c r="L464" s="31"/>
      <c r="M464" s="31"/>
      <c r="N464" s="31"/>
    </row>
    <row r="465" spans="2:14" ht="12.75">
      <c r="B465" s="31"/>
      <c r="C465" s="31"/>
      <c r="D465" s="31"/>
      <c r="E465" s="31"/>
      <c r="F465" s="31"/>
      <c r="G465" s="31"/>
      <c r="L465" s="31"/>
      <c r="M465" s="31"/>
      <c r="N465" s="31"/>
    </row>
    <row r="466" spans="2:14" ht="12.75">
      <c r="B466" s="31"/>
      <c r="C466" s="31"/>
      <c r="D466" s="31"/>
      <c r="E466" s="31"/>
      <c r="F466" s="31"/>
      <c r="G466" s="31"/>
      <c r="L466" s="31"/>
      <c r="M466" s="31"/>
      <c r="N466" s="31"/>
    </row>
    <row r="467" spans="2:14" ht="12.75">
      <c r="B467" s="31"/>
      <c r="C467" s="31"/>
      <c r="D467" s="31"/>
      <c r="E467" s="31"/>
      <c r="F467" s="31"/>
      <c r="G467" s="31"/>
      <c r="L467" s="31"/>
      <c r="M467" s="31"/>
      <c r="N467" s="31"/>
    </row>
    <row r="468" spans="2:14" ht="12.75">
      <c r="B468" s="31"/>
      <c r="C468" s="31"/>
      <c r="D468" s="31"/>
      <c r="E468" s="31"/>
      <c r="F468" s="31"/>
      <c r="G468" s="31"/>
      <c r="L468" s="31"/>
      <c r="M468" s="31"/>
      <c r="N468" s="31"/>
    </row>
    <row r="469" spans="2:14" ht="12.75">
      <c r="B469" s="31"/>
      <c r="C469" s="31"/>
      <c r="D469" s="31"/>
      <c r="E469" s="31"/>
      <c r="F469" s="31"/>
      <c r="G469" s="31"/>
      <c r="L469" s="31"/>
      <c r="M469" s="31"/>
      <c r="N469" s="31"/>
    </row>
    <row r="470" spans="2:14" ht="12.75">
      <c r="B470" s="31"/>
      <c r="C470" s="31"/>
      <c r="D470" s="31"/>
      <c r="E470" s="31"/>
      <c r="F470" s="31"/>
      <c r="G470" s="31"/>
      <c r="L470" s="31"/>
      <c r="M470" s="31"/>
      <c r="N470" s="31"/>
    </row>
    <row r="471" spans="2:14" ht="12.75">
      <c r="B471" s="31"/>
      <c r="C471" s="31"/>
      <c r="D471" s="31"/>
      <c r="E471" s="31"/>
      <c r="F471" s="31"/>
      <c r="G471" s="31"/>
      <c r="L471" s="31"/>
      <c r="M471" s="31"/>
      <c r="N471" s="31"/>
    </row>
    <row r="472" spans="2:14" ht="12.75">
      <c r="B472" s="31"/>
      <c r="C472" s="31"/>
      <c r="D472" s="31"/>
      <c r="E472" s="31"/>
      <c r="F472" s="31"/>
      <c r="G472" s="31"/>
      <c r="L472" s="31"/>
      <c r="M472" s="31"/>
      <c r="N472" s="31"/>
    </row>
    <row r="473" spans="2:14" ht="12.75">
      <c r="B473" s="31"/>
      <c r="C473" s="31"/>
      <c r="D473" s="31"/>
      <c r="E473" s="31"/>
      <c r="F473" s="31"/>
      <c r="G473" s="31"/>
      <c r="L473" s="31"/>
      <c r="M473" s="31"/>
      <c r="N473" s="31"/>
    </row>
    <row r="474" spans="2:14" ht="12.75">
      <c r="B474" s="31"/>
      <c r="C474" s="31"/>
      <c r="D474" s="31"/>
      <c r="E474" s="31"/>
      <c r="F474" s="31"/>
      <c r="G474" s="31"/>
      <c r="L474" s="31"/>
      <c r="M474" s="31"/>
      <c r="N474" s="31"/>
    </row>
    <row r="475" spans="2:14" ht="12.75">
      <c r="B475" s="31"/>
      <c r="C475" s="31"/>
      <c r="D475" s="31"/>
      <c r="E475" s="31"/>
      <c r="F475" s="31"/>
      <c r="G475" s="31"/>
      <c r="L475" s="31"/>
      <c r="M475" s="31"/>
      <c r="N475" s="31"/>
    </row>
    <row r="476" spans="2:14" ht="12.75">
      <c r="B476" s="31"/>
      <c r="C476" s="31"/>
      <c r="D476" s="31"/>
      <c r="E476" s="31"/>
      <c r="F476" s="31"/>
      <c r="G476" s="31"/>
      <c r="L476" s="31"/>
      <c r="M476" s="31"/>
      <c r="N476" s="31"/>
    </row>
    <row r="477" spans="2:14" ht="12.75">
      <c r="B477" s="31"/>
      <c r="C477" s="31"/>
      <c r="D477" s="31"/>
      <c r="E477" s="31"/>
      <c r="F477" s="31"/>
      <c r="G477" s="31"/>
      <c r="L477" s="31"/>
      <c r="M477" s="31"/>
      <c r="N477" s="31"/>
    </row>
    <row r="478" spans="2:14" ht="12.75">
      <c r="B478" s="31"/>
      <c r="C478" s="31"/>
      <c r="D478" s="31"/>
      <c r="E478" s="31"/>
      <c r="F478" s="31"/>
      <c r="G478" s="31"/>
      <c r="L478" s="31"/>
      <c r="M478" s="31"/>
      <c r="N478" s="31"/>
    </row>
    <row r="479" spans="2:14" ht="12.75">
      <c r="B479" s="31"/>
      <c r="C479" s="31"/>
      <c r="D479" s="31"/>
      <c r="E479" s="31"/>
      <c r="F479" s="31"/>
      <c r="G479" s="31"/>
      <c r="L479" s="31"/>
      <c r="M479" s="31"/>
      <c r="N479" s="31"/>
    </row>
    <row r="480" spans="2:14" ht="12.75">
      <c r="B480" s="31"/>
      <c r="C480" s="31"/>
      <c r="D480" s="31"/>
      <c r="E480" s="31"/>
      <c r="F480" s="31"/>
      <c r="G480" s="31"/>
      <c r="L480" s="31"/>
      <c r="M480" s="31"/>
      <c r="N480" s="31"/>
    </row>
    <row r="481" spans="2:14" ht="12.75">
      <c r="B481" s="31"/>
      <c r="C481" s="31"/>
      <c r="D481" s="31"/>
      <c r="E481" s="31"/>
      <c r="F481" s="31"/>
      <c r="G481" s="31"/>
      <c r="L481" s="31"/>
      <c r="M481" s="31"/>
      <c r="N481" s="31"/>
    </row>
    <row r="482" spans="2:14" ht="12.75">
      <c r="B482" s="31"/>
      <c r="C482" s="31"/>
      <c r="D482" s="31"/>
      <c r="E482" s="31"/>
      <c r="F482" s="31"/>
      <c r="G482" s="31"/>
      <c r="L482" s="31"/>
      <c r="M482" s="31"/>
      <c r="N482" s="31"/>
    </row>
    <row r="483" spans="2:14" ht="12.75">
      <c r="B483" s="31"/>
      <c r="C483" s="31"/>
      <c r="D483" s="31"/>
      <c r="E483" s="31"/>
      <c r="F483" s="31"/>
      <c r="G483" s="31"/>
      <c r="L483" s="31"/>
      <c r="M483" s="31"/>
      <c r="N483" s="31"/>
    </row>
    <row r="484" spans="2:14" ht="12.75">
      <c r="B484" s="31"/>
      <c r="C484" s="31"/>
      <c r="D484" s="31"/>
      <c r="E484" s="31"/>
      <c r="F484" s="31"/>
      <c r="G484" s="31"/>
      <c r="L484" s="31"/>
      <c r="M484" s="31"/>
      <c r="N484" s="31"/>
    </row>
    <row r="485" spans="2:14" ht="12.75">
      <c r="B485" s="31"/>
      <c r="C485" s="31"/>
      <c r="D485" s="31"/>
      <c r="E485" s="31"/>
      <c r="F485" s="31"/>
      <c r="G485" s="31"/>
      <c r="L485" s="31"/>
      <c r="M485" s="31"/>
      <c r="N485" s="31"/>
    </row>
    <row r="486" spans="2:14" ht="12.75">
      <c r="B486" s="31"/>
      <c r="C486" s="31"/>
      <c r="D486" s="31"/>
      <c r="E486" s="31"/>
      <c r="F486" s="31"/>
      <c r="G486" s="31"/>
      <c r="L486" s="31"/>
      <c r="M486" s="31"/>
      <c r="N486" s="31"/>
    </row>
    <row r="487" spans="2:14" ht="12.75">
      <c r="B487" s="31"/>
      <c r="C487" s="31"/>
      <c r="D487" s="31"/>
      <c r="E487" s="31"/>
      <c r="F487" s="31"/>
      <c r="G487" s="31"/>
      <c r="L487" s="31"/>
      <c r="M487" s="31"/>
      <c r="N487" s="31"/>
    </row>
    <row r="488" spans="2:14" ht="12.75">
      <c r="B488" s="31"/>
      <c r="C488" s="31"/>
      <c r="D488" s="31"/>
      <c r="E488" s="31"/>
      <c r="F488" s="31"/>
      <c r="G488" s="31"/>
      <c r="L488" s="31"/>
      <c r="M488" s="31"/>
      <c r="N488" s="31"/>
    </row>
    <row r="489" spans="2:14" ht="12.75">
      <c r="B489" s="31"/>
      <c r="C489" s="31"/>
      <c r="D489" s="31"/>
      <c r="E489" s="31"/>
      <c r="F489" s="31"/>
      <c r="G489" s="31"/>
      <c r="L489" s="31"/>
      <c r="M489" s="31"/>
      <c r="N489" s="31"/>
    </row>
    <row r="490" spans="2:14" ht="12.75">
      <c r="B490" s="31"/>
      <c r="C490" s="31"/>
      <c r="D490" s="31"/>
      <c r="E490" s="31"/>
      <c r="F490" s="31"/>
      <c r="G490" s="31"/>
      <c r="L490" s="31"/>
      <c r="M490" s="31"/>
      <c r="N490" s="31"/>
    </row>
    <row r="491" spans="2:14" ht="12.75">
      <c r="B491" s="31"/>
      <c r="C491" s="31"/>
      <c r="D491" s="31"/>
      <c r="E491" s="31"/>
      <c r="F491" s="31"/>
      <c r="G491" s="31"/>
      <c r="L491" s="31"/>
      <c r="M491" s="31"/>
      <c r="N491" s="31"/>
    </row>
    <row r="492" spans="2:14" ht="12.75">
      <c r="B492" s="31"/>
      <c r="C492" s="31"/>
      <c r="D492" s="31"/>
      <c r="E492" s="31"/>
      <c r="F492" s="31"/>
      <c r="G492" s="31"/>
      <c r="L492" s="31"/>
      <c r="M492" s="31"/>
      <c r="N492" s="31"/>
    </row>
    <row r="493" spans="2:14" ht="12.75">
      <c r="B493" s="31"/>
      <c r="C493" s="31"/>
      <c r="D493" s="31"/>
      <c r="E493" s="31"/>
      <c r="F493" s="31"/>
      <c r="G493" s="31"/>
      <c r="L493" s="31"/>
      <c r="M493" s="31"/>
      <c r="N493" s="31"/>
    </row>
    <row r="494" spans="2:14" ht="12.75">
      <c r="B494" s="31"/>
      <c r="C494" s="31"/>
      <c r="D494" s="31"/>
      <c r="E494" s="31"/>
      <c r="F494" s="31"/>
      <c r="G494" s="31"/>
      <c r="L494" s="31"/>
      <c r="M494" s="31"/>
      <c r="N494" s="31"/>
    </row>
    <row r="495" spans="2:14" ht="12.75">
      <c r="B495" s="31"/>
      <c r="C495" s="31"/>
      <c r="D495" s="31"/>
      <c r="E495" s="31"/>
      <c r="F495" s="31"/>
      <c r="G495" s="31"/>
      <c r="L495" s="31"/>
      <c r="M495" s="31"/>
      <c r="N495" s="31"/>
    </row>
    <row r="496" spans="2:14" ht="12.75">
      <c r="B496" s="31"/>
      <c r="C496" s="31"/>
      <c r="D496" s="31"/>
      <c r="E496" s="31"/>
      <c r="F496" s="31"/>
      <c r="G496" s="31"/>
      <c r="L496" s="31"/>
      <c r="M496" s="31"/>
      <c r="N496" s="31"/>
    </row>
    <row r="497" spans="2:14" ht="12.75">
      <c r="B497" s="31"/>
      <c r="C497" s="31"/>
      <c r="D497" s="31"/>
      <c r="E497" s="31"/>
      <c r="F497" s="31"/>
      <c r="G497" s="31"/>
      <c r="L497" s="31"/>
      <c r="M497" s="31"/>
      <c r="N497" s="31"/>
    </row>
    <row r="498" spans="2:14" ht="12.75">
      <c r="B498" s="31"/>
      <c r="C498" s="31"/>
      <c r="D498" s="31"/>
      <c r="E498" s="31"/>
      <c r="F498" s="31"/>
      <c r="G498" s="31"/>
      <c r="L498" s="31"/>
      <c r="M498" s="31"/>
      <c r="N498" s="31"/>
    </row>
    <row r="499" spans="2:14" ht="12.75">
      <c r="B499" s="31"/>
      <c r="C499" s="31"/>
      <c r="D499" s="31"/>
      <c r="E499" s="31"/>
      <c r="F499" s="31"/>
      <c r="G499" s="31"/>
      <c r="L499" s="31"/>
      <c r="M499" s="31"/>
      <c r="N499" s="31"/>
    </row>
    <row r="500" spans="2:14" ht="12.75">
      <c r="B500" s="31"/>
      <c r="C500" s="31"/>
      <c r="D500" s="31"/>
      <c r="E500" s="31"/>
      <c r="F500" s="31"/>
      <c r="G500" s="31"/>
      <c r="L500" s="31"/>
      <c r="M500" s="31"/>
      <c r="N500" s="31"/>
    </row>
    <row r="501" spans="2:14" ht="12.75">
      <c r="B501" s="31"/>
      <c r="C501" s="31"/>
      <c r="D501" s="31"/>
      <c r="E501" s="31"/>
      <c r="F501" s="31"/>
      <c r="G501" s="31"/>
      <c r="L501" s="31"/>
      <c r="M501" s="31"/>
      <c r="N501" s="31"/>
    </row>
    <row r="502" spans="2:14" ht="12.75">
      <c r="B502" s="31"/>
      <c r="C502" s="31"/>
      <c r="D502" s="31"/>
      <c r="E502" s="31"/>
      <c r="F502" s="31"/>
      <c r="G502" s="31"/>
      <c r="L502" s="31"/>
      <c r="M502" s="31"/>
      <c r="N502" s="31"/>
    </row>
    <row r="503" spans="2:14" ht="12.75">
      <c r="B503" s="31"/>
      <c r="C503" s="31"/>
      <c r="D503" s="31"/>
      <c r="E503" s="31"/>
      <c r="F503" s="31"/>
      <c r="G503" s="31"/>
      <c r="L503" s="31"/>
      <c r="M503" s="31"/>
      <c r="N503" s="31"/>
    </row>
    <row r="504" spans="2:14" ht="12.75">
      <c r="B504" s="31"/>
      <c r="C504" s="31"/>
      <c r="D504" s="31"/>
      <c r="E504" s="31"/>
      <c r="F504" s="31"/>
      <c r="G504" s="31"/>
      <c r="L504" s="31"/>
      <c r="M504" s="31"/>
      <c r="N504" s="31"/>
    </row>
    <row r="505" spans="2:14" ht="12.75">
      <c r="B505" s="31"/>
      <c r="C505" s="31"/>
      <c r="D505" s="31"/>
      <c r="E505" s="31"/>
      <c r="F505" s="31"/>
      <c r="G505" s="31"/>
      <c r="L505" s="31"/>
      <c r="M505" s="31"/>
      <c r="N505" s="31"/>
    </row>
    <row r="506" spans="2:14" ht="12.75">
      <c r="B506" s="31"/>
      <c r="C506" s="31"/>
      <c r="D506" s="31"/>
      <c r="E506" s="31"/>
      <c r="F506" s="31"/>
      <c r="G506" s="31"/>
      <c r="L506" s="31"/>
      <c r="M506" s="31"/>
      <c r="N506" s="31"/>
    </row>
    <row r="507" spans="2:14" ht="12.75">
      <c r="B507" s="31"/>
      <c r="C507" s="31"/>
      <c r="D507" s="31"/>
      <c r="E507" s="31"/>
      <c r="F507" s="31"/>
      <c r="G507" s="31"/>
      <c r="L507" s="31"/>
      <c r="M507" s="31"/>
      <c r="N507" s="31"/>
    </row>
    <row r="508" spans="2:14" ht="12.75">
      <c r="B508" s="31"/>
      <c r="C508" s="31"/>
      <c r="D508" s="31"/>
      <c r="E508" s="31"/>
      <c r="F508" s="31"/>
      <c r="G508" s="31"/>
      <c r="L508" s="31"/>
      <c r="M508" s="31"/>
      <c r="N508" s="31"/>
    </row>
    <row r="509" spans="2:14" ht="12.75">
      <c r="B509" s="31"/>
      <c r="C509" s="31"/>
      <c r="D509" s="31"/>
      <c r="E509" s="31"/>
      <c r="F509" s="31"/>
      <c r="G509" s="31"/>
      <c r="L509" s="31"/>
      <c r="M509" s="31"/>
      <c r="N509" s="31"/>
    </row>
    <row r="510" spans="2:14" ht="12.75">
      <c r="B510" s="31"/>
      <c r="C510" s="31"/>
      <c r="D510" s="31"/>
      <c r="E510" s="31"/>
      <c r="F510" s="31"/>
      <c r="G510" s="31"/>
      <c r="L510" s="31"/>
      <c r="M510" s="31"/>
      <c r="N510" s="31"/>
    </row>
    <row r="511" spans="2:14" ht="12.75">
      <c r="B511" s="31"/>
      <c r="C511" s="31"/>
      <c r="D511" s="31"/>
      <c r="E511" s="31"/>
      <c r="F511" s="31"/>
      <c r="G511" s="31"/>
      <c r="L511" s="31"/>
      <c r="M511" s="31"/>
      <c r="N511" s="31"/>
    </row>
    <row r="512" spans="2:14" ht="12.75">
      <c r="B512" s="31"/>
      <c r="C512" s="31"/>
      <c r="D512" s="31"/>
      <c r="E512" s="31"/>
      <c r="F512" s="31"/>
      <c r="G512" s="31"/>
      <c r="L512" s="31"/>
      <c r="M512" s="31"/>
      <c r="N512" s="31"/>
    </row>
    <row r="513" spans="2:14" ht="12.75">
      <c r="B513" s="31"/>
      <c r="C513" s="31"/>
      <c r="D513" s="31"/>
      <c r="E513" s="31"/>
      <c r="F513" s="31"/>
      <c r="G513" s="31"/>
      <c r="L513" s="31"/>
      <c r="M513" s="31"/>
      <c r="N513" s="31"/>
    </row>
    <row r="514" spans="2:14" ht="12.75">
      <c r="B514" s="31"/>
      <c r="C514" s="31"/>
      <c r="D514" s="31"/>
      <c r="E514" s="31"/>
      <c r="F514" s="31"/>
      <c r="G514" s="31"/>
      <c r="L514" s="31"/>
      <c r="M514" s="31"/>
      <c r="N514" s="31"/>
    </row>
    <row r="515" spans="2:14" ht="12.75">
      <c r="B515" s="31"/>
      <c r="C515" s="31"/>
      <c r="D515" s="31"/>
      <c r="E515" s="31"/>
      <c r="F515" s="31"/>
      <c r="G515" s="31"/>
      <c r="L515" s="31"/>
      <c r="M515" s="31"/>
      <c r="N515" s="31"/>
    </row>
    <row r="516" spans="2:14" ht="12.75">
      <c r="B516" s="31"/>
      <c r="C516" s="31"/>
      <c r="D516" s="31"/>
      <c r="E516" s="31"/>
      <c r="F516" s="31"/>
      <c r="G516" s="31"/>
      <c r="L516" s="31"/>
      <c r="M516" s="31"/>
      <c r="N516" s="31"/>
    </row>
    <row r="517" spans="2:14" ht="12.75">
      <c r="B517" s="31"/>
      <c r="C517" s="31"/>
      <c r="D517" s="31"/>
      <c r="E517" s="31"/>
      <c r="F517" s="31"/>
      <c r="G517" s="31"/>
      <c r="L517" s="31"/>
      <c r="M517" s="31"/>
      <c r="N517" s="31"/>
    </row>
    <row r="518" spans="2:14" ht="12.75">
      <c r="B518" s="31"/>
      <c r="C518" s="31"/>
      <c r="D518" s="31"/>
      <c r="E518" s="31"/>
      <c r="F518" s="31"/>
      <c r="G518" s="31"/>
      <c r="L518" s="31"/>
      <c r="M518" s="31"/>
      <c r="N518" s="31"/>
    </row>
    <row r="519" spans="2:14" ht="12.75">
      <c r="B519" s="31"/>
      <c r="C519" s="31"/>
      <c r="D519" s="31"/>
      <c r="E519" s="31"/>
      <c r="F519" s="31"/>
      <c r="G519" s="31"/>
      <c r="L519" s="31"/>
      <c r="M519" s="31"/>
      <c r="N519" s="31"/>
    </row>
    <row r="520" spans="2:14" ht="12.75">
      <c r="B520" s="31"/>
      <c r="C520" s="31"/>
      <c r="D520" s="31"/>
      <c r="E520" s="31"/>
      <c r="F520" s="31"/>
      <c r="G520" s="31"/>
      <c r="L520" s="31"/>
      <c r="M520" s="31"/>
      <c r="N520" s="31"/>
    </row>
    <row r="521" spans="2:14" ht="12.75">
      <c r="B521" s="31"/>
      <c r="C521" s="31"/>
      <c r="D521" s="31"/>
      <c r="E521" s="31"/>
      <c r="F521" s="31"/>
      <c r="G521" s="31"/>
      <c r="L521" s="31"/>
      <c r="M521" s="31"/>
      <c r="N521" s="31"/>
    </row>
    <row r="522" spans="2:14" ht="12.75">
      <c r="B522" s="31"/>
      <c r="C522" s="31"/>
      <c r="D522" s="31"/>
      <c r="E522" s="31"/>
      <c r="F522" s="31"/>
      <c r="G522" s="31"/>
      <c r="L522" s="31"/>
      <c r="M522" s="31"/>
      <c r="N522" s="31"/>
    </row>
    <row r="523" spans="2:14" ht="12.75">
      <c r="B523" s="31"/>
      <c r="C523" s="31"/>
      <c r="D523" s="31"/>
      <c r="E523" s="31"/>
      <c r="F523" s="31"/>
      <c r="G523" s="31"/>
      <c r="L523" s="31"/>
      <c r="M523" s="31"/>
      <c r="N523" s="31"/>
    </row>
    <row r="524" spans="2:14" ht="12.75">
      <c r="B524" s="31"/>
      <c r="C524" s="31"/>
      <c r="D524" s="31"/>
      <c r="E524" s="31"/>
      <c r="F524" s="31"/>
      <c r="G524" s="31"/>
      <c r="L524" s="31"/>
      <c r="M524" s="31"/>
      <c r="N524" s="31"/>
    </row>
    <row r="525" spans="2:14" ht="12.75">
      <c r="B525" s="31"/>
      <c r="C525" s="31"/>
      <c r="D525" s="31"/>
      <c r="E525" s="31"/>
      <c r="F525" s="31"/>
      <c r="G525" s="31"/>
      <c r="L525" s="31"/>
      <c r="M525" s="31"/>
      <c r="N525" s="31"/>
    </row>
    <row r="526" spans="2:14" ht="12.75">
      <c r="B526" s="31"/>
      <c r="C526" s="31"/>
      <c r="D526" s="31"/>
      <c r="E526" s="31"/>
      <c r="F526" s="31"/>
      <c r="G526" s="31"/>
      <c r="L526" s="31"/>
      <c r="M526" s="31"/>
      <c r="N526" s="31"/>
    </row>
    <row r="527" spans="2:14" ht="12.75">
      <c r="B527" s="31"/>
      <c r="C527" s="31"/>
      <c r="D527" s="31"/>
      <c r="E527" s="31"/>
      <c r="F527" s="31"/>
      <c r="G527" s="31"/>
      <c r="L527" s="31"/>
      <c r="M527" s="31"/>
      <c r="N527" s="31"/>
    </row>
    <row r="528" spans="2:14" ht="12.75">
      <c r="B528" s="31"/>
      <c r="C528" s="31"/>
      <c r="D528" s="31"/>
      <c r="E528" s="31"/>
      <c r="F528" s="31"/>
      <c r="G528" s="31"/>
      <c r="L528" s="31"/>
      <c r="M528" s="31"/>
      <c r="N528" s="31"/>
    </row>
    <row r="529" spans="2:14" ht="12.75">
      <c r="B529" s="31"/>
      <c r="C529" s="31"/>
      <c r="D529" s="31"/>
      <c r="E529" s="31"/>
      <c r="F529" s="31"/>
      <c r="G529" s="31"/>
      <c r="L529" s="31"/>
      <c r="M529" s="31"/>
      <c r="N529" s="31"/>
    </row>
    <row r="530" spans="2:14" ht="12.75">
      <c r="B530" s="31"/>
      <c r="C530" s="31"/>
      <c r="D530" s="31"/>
      <c r="E530" s="31"/>
      <c r="F530" s="31"/>
      <c r="G530" s="31"/>
      <c r="L530" s="31"/>
      <c r="M530" s="31"/>
      <c r="N530" s="31"/>
    </row>
    <row r="531" spans="2:14" ht="12.75">
      <c r="B531" s="31"/>
      <c r="C531" s="31"/>
      <c r="D531" s="31"/>
      <c r="E531" s="31"/>
      <c r="F531" s="31"/>
      <c r="G531" s="31"/>
      <c r="L531" s="31"/>
      <c r="M531" s="31"/>
      <c r="N531" s="31"/>
    </row>
    <row r="532" spans="2:14" ht="12.75">
      <c r="B532" s="31"/>
      <c r="C532" s="31"/>
      <c r="D532" s="31"/>
      <c r="E532" s="31"/>
      <c r="F532" s="31"/>
      <c r="G532" s="31"/>
      <c r="L532" s="31"/>
      <c r="M532" s="31"/>
      <c r="N532" s="31"/>
    </row>
    <row r="533" spans="2:14" ht="12.75">
      <c r="B533" s="31"/>
      <c r="C533" s="31"/>
      <c r="D533" s="31"/>
      <c r="E533" s="31"/>
      <c r="F533" s="31"/>
      <c r="G533" s="31"/>
      <c r="L533" s="31"/>
      <c r="M533" s="31"/>
      <c r="N533" s="31"/>
    </row>
    <row r="534" spans="2:14" ht="12.75">
      <c r="B534" s="31"/>
      <c r="C534" s="31"/>
      <c r="D534" s="31"/>
      <c r="E534" s="31"/>
      <c r="F534" s="31"/>
      <c r="G534" s="31"/>
      <c r="L534" s="31"/>
      <c r="M534" s="31"/>
      <c r="N534" s="31"/>
    </row>
    <row r="535" spans="2:14" ht="12.75">
      <c r="B535" s="31"/>
      <c r="C535" s="31"/>
      <c r="D535" s="31"/>
      <c r="E535" s="31"/>
      <c r="F535" s="31"/>
      <c r="G535" s="31"/>
      <c r="L535" s="31"/>
      <c r="M535" s="31"/>
      <c r="N535" s="31"/>
    </row>
    <row r="536" spans="2:14" ht="12.75">
      <c r="B536" s="31"/>
      <c r="C536" s="31"/>
      <c r="D536" s="31"/>
      <c r="E536" s="31"/>
      <c r="F536" s="31"/>
      <c r="G536" s="31"/>
      <c r="L536" s="31"/>
      <c r="M536" s="31"/>
      <c r="N536" s="31"/>
    </row>
    <row r="537" spans="2:14" ht="12.75">
      <c r="B537" s="31"/>
      <c r="C537" s="31"/>
      <c r="D537" s="31"/>
      <c r="E537" s="31"/>
      <c r="F537" s="31"/>
      <c r="G537" s="31"/>
      <c r="L537" s="31"/>
      <c r="M537" s="31"/>
      <c r="N537" s="31"/>
    </row>
    <row r="538" spans="2:14" ht="12.75">
      <c r="B538" s="31"/>
      <c r="C538" s="31"/>
      <c r="D538" s="31"/>
      <c r="E538" s="31"/>
      <c r="F538" s="31"/>
      <c r="G538" s="31"/>
      <c r="L538" s="31"/>
      <c r="M538" s="31"/>
      <c r="N538" s="31"/>
    </row>
    <row r="539" spans="2:14" ht="12.75">
      <c r="B539" s="31"/>
      <c r="C539" s="31"/>
      <c r="D539" s="31"/>
      <c r="E539" s="31"/>
      <c r="F539" s="31"/>
      <c r="G539" s="31"/>
      <c r="L539" s="31"/>
      <c r="M539" s="31"/>
      <c r="N539" s="31"/>
    </row>
    <row r="540" spans="2:14" ht="12.75">
      <c r="B540" s="31"/>
      <c r="C540" s="31"/>
      <c r="D540" s="31"/>
      <c r="E540" s="31"/>
      <c r="F540" s="31"/>
      <c r="G540" s="31"/>
      <c r="L540" s="31"/>
      <c r="M540" s="31"/>
      <c r="N540" s="31"/>
    </row>
    <row r="541" spans="2:14" ht="12.75">
      <c r="B541" s="31"/>
      <c r="C541" s="31"/>
      <c r="D541" s="31"/>
      <c r="E541" s="31"/>
      <c r="F541" s="31"/>
      <c r="G541" s="31"/>
      <c r="L541" s="31"/>
      <c r="M541" s="31"/>
      <c r="N541" s="31"/>
    </row>
    <row r="542" spans="2:14" ht="12.75">
      <c r="B542" s="31"/>
      <c r="C542" s="31"/>
      <c r="D542" s="31"/>
      <c r="E542" s="31"/>
      <c r="F542" s="31"/>
      <c r="G542" s="31"/>
      <c r="L542" s="31"/>
      <c r="M542" s="31"/>
      <c r="N542" s="31"/>
    </row>
    <row r="543" spans="2:14" ht="12.75">
      <c r="B543" s="31"/>
      <c r="C543" s="31"/>
      <c r="D543" s="31"/>
      <c r="E543" s="31"/>
      <c r="F543" s="31"/>
      <c r="G543" s="31"/>
      <c r="L543" s="31"/>
      <c r="M543" s="31"/>
      <c r="N543" s="31"/>
    </row>
    <row r="544" spans="2:14" ht="12.75">
      <c r="B544" s="31"/>
      <c r="C544" s="31"/>
      <c r="D544" s="31"/>
      <c r="E544" s="31"/>
      <c r="F544" s="31"/>
      <c r="G544" s="31"/>
      <c r="L544" s="31"/>
      <c r="M544" s="31"/>
      <c r="N544" s="31"/>
    </row>
    <row r="545" spans="2:14" ht="12.75">
      <c r="B545" s="31"/>
      <c r="C545" s="31"/>
      <c r="D545" s="31"/>
      <c r="E545" s="31"/>
      <c r="F545" s="31"/>
      <c r="G545" s="31"/>
      <c r="L545" s="31"/>
      <c r="M545" s="31"/>
      <c r="N545" s="31"/>
    </row>
    <row r="546" spans="2:14" ht="12.75">
      <c r="B546" s="31"/>
      <c r="C546" s="31"/>
      <c r="D546" s="31"/>
      <c r="E546" s="31"/>
      <c r="F546" s="31"/>
      <c r="G546" s="31"/>
      <c r="L546" s="31"/>
      <c r="M546" s="31"/>
      <c r="N546" s="31"/>
    </row>
    <row r="547" spans="2:14" ht="12.75">
      <c r="B547" s="31"/>
      <c r="C547" s="31"/>
      <c r="D547" s="31"/>
      <c r="E547" s="31"/>
      <c r="F547" s="31"/>
      <c r="G547" s="31"/>
      <c r="L547" s="31"/>
      <c r="M547" s="31"/>
      <c r="N547" s="31"/>
    </row>
    <row r="548" spans="2:14" ht="12.75">
      <c r="B548" s="31"/>
      <c r="C548" s="31"/>
      <c r="D548" s="31"/>
      <c r="E548" s="31"/>
      <c r="F548" s="31"/>
      <c r="G548" s="31"/>
      <c r="L548" s="31"/>
      <c r="M548" s="31"/>
      <c r="N548" s="31"/>
    </row>
    <row r="549" spans="2:14" ht="12.75">
      <c r="B549" s="31"/>
      <c r="C549" s="31"/>
      <c r="D549" s="31"/>
      <c r="E549" s="31"/>
      <c r="F549" s="31"/>
      <c r="G549" s="31"/>
      <c r="L549" s="31"/>
      <c r="M549" s="31"/>
      <c r="N549" s="31"/>
    </row>
    <row r="550" spans="2:14" ht="12.75">
      <c r="B550" s="31"/>
      <c r="C550" s="31"/>
      <c r="D550" s="31"/>
      <c r="E550" s="31"/>
      <c r="F550" s="31"/>
      <c r="G550" s="31"/>
      <c r="L550" s="31"/>
      <c r="M550" s="31"/>
      <c r="N550" s="31"/>
    </row>
    <row r="551" spans="2:14" ht="12.75">
      <c r="B551" s="31"/>
      <c r="C551" s="31"/>
      <c r="D551" s="31"/>
      <c r="E551" s="31"/>
      <c r="F551" s="31"/>
      <c r="G551" s="31"/>
      <c r="L551" s="31"/>
      <c r="M551" s="31"/>
      <c r="N551" s="31"/>
    </row>
    <row r="552" spans="2:14" ht="12.75">
      <c r="B552" s="31"/>
      <c r="C552" s="31"/>
      <c r="D552" s="31"/>
      <c r="E552" s="31"/>
      <c r="F552" s="31"/>
      <c r="G552" s="31"/>
      <c r="L552" s="31"/>
      <c r="M552" s="31"/>
      <c r="N552" s="31"/>
    </row>
    <row r="553" spans="2:14" ht="12.75">
      <c r="B553" s="31"/>
      <c r="C553" s="31"/>
      <c r="D553" s="31"/>
      <c r="E553" s="31"/>
      <c r="F553" s="31"/>
      <c r="G553" s="31"/>
      <c r="L553" s="31"/>
      <c r="M553" s="31"/>
      <c r="N553" s="31"/>
    </row>
    <row r="554" spans="2:14" ht="12.75">
      <c r="B554" s="31"/>
      <c r="C554" s="31"/>
      <c r="D554" s="31"/>
      <c r="E554" s="31"/>
      <c r="F554" s="31"/>
      <c r="G554" s="31"/>
      <c r="L554" s="31"/>
      <c r="M554" s="31"/>
      <c r="N554" s="31"/>
    </row>
    <row r="555" spans="2:14" ht="12.75">
      <c r="B555" s="31"/>
      <c r="C555" s="31"/>
      <c r="D555" s="31"/>
      <c r="E555" s="31"/>
      <c r="F555" s="31"/>
      <c r="G555" s="31"/>
      <c r="L555" s="31"/>
      <c r="M555" s="31"/>
      <c r="N555" s="31"/>
    </row>
    <row r="556" spans="2:14" ht="12.75">
      <c r="B556" s="31"/>
      <c r="C556" s="31"/>
      <c r="D556" s="31"/>
      <c r="E556" s="31"/>
      <c r="F556" s="31"/>
      <c r="G556" s="31"/>
      <c r="L556" s="31"/>
      <c r="M556" s="31"/>
      <c r="N556" s="31"/>
    </row>
    <row r="557" spans="2:14" ht="12.75">
      <c r="B557" s="31"/>
      <c r="C557" s="31"/>
      <c r="D557" s="31"/>
      <c r="E557" s="31"/>
      <c r="F557" s="31"/>
      <c r="G557" s="31"/>
      <c r="L557" s="31"/>
      <c r="M557" s="31"/>
      <c r="N557" s="31"/>
    </row>
    <row r="558" spans="2:14" ht="12.75">
      <c r="B558" s="31"/>
      <c r="C558" s="31"/>
      <c r="D558" s="31"/>
      <c r="E558" s="31"/>
      <c r="F558" s="31"/>
      <c r="G558" s="31"/>
      <c r="L558" s="31"/>
      <c r="M558" s="31"/>
      <c r="N558" s="31"/>
    </row>
    <row r="559" spans="2:14" ht="12.75">
      <c r="B559" s="31"/>
      <c r="C559" s="31"/>
      <c r="D559" s="31"/>
      <c r="E559" s="31"/>
      <c r="F559" s="31"/>
      <c r="G559" s="31"/>
      <c r="L559" s="31"/>
      <c r="M559" s="31"/>
      <c r="N559" s="31"/>
    </row>
    <row r="560" spans="2:14" ht="12.75">
      <c r="B560" s="31"/>
      <c r="C560" s="31"/>
      <c r="D560" s="31"/>
      <c r="E560" s="31"/>
      <c r="F560" s="31"/>
      <c r="G560" s="31"/>
      <c r="L560" s="31"/>
      <c r="M560" s="31"/>
      <c r="N560" s="31"/>
    </row>
    <row r="561" spans="2:14" ht="12.75">
      <c r="B561" s="31"/>
      <c r="C561" s="31"/>
      <c r="D561" s="31"/>
      <c r="E561" s="31"/>
      <c r="F561" s="31"/>
      <c r="G561" s="31"/>
      <c r="L561" s="31"/>
      <c r="M561" s="31"/>
      <c r="N561" s="31"/>
    </row>
    <row r="562" spans="2:14" ht="12.75">
      <c r="B562" s="31"/>
      <c r="C562" s="31"/>
      <c r="D562" s="31"/>
      <c r="E562" s="31"/>
      <c r="F562" s="31"/>
      <c r="G562" s="31"/>
      <c r="L562" s="31"/>
      <c r="M562" s="31"/>
      <c r="N562" s="31"/>
    </row>
    <row r="563" spans="2:14" ht="12.75">
      <c r="B563" s="31"/>
      <c r="C563" s="31"/>
      <c r="D563" s="31"/>
      <c r="E563" s="31"/>
      <c r="F563" s="31"/>
      <c r="G563" s="31"/>
      <c r="L563" s="31"/>
      <c r="M563" s="31"/>
      <c r="N563" s="31"/>
    </row>
    <row r="564" spans="2:14" ht="12.75">
      <c r="B564" s="31"/>
      <c r="C564" s="31"/>
      <c r="D564" s="31"/>
      <c r="E564" s="31"/>
      <c r="F564" s="31"/>
      <c r="G564" s="31"/>
      <c r="L564" s="31"/>
      <c r="M564" s="31"/>
      <c r="N564" s="31"/>
    </row>
    <row r="565" spans="2:14" ht="12.75">
      <c r="B565" s="31"/>
      <c r="C565" s="31"/>
      <c r="D565" s="31"/>
      <c r="E565" s="31"/>
      <c r="F565" s="31"/>
      <c r="G565" s="31"/>
      <c r="L565" s="31"/>
      <c r="M565" s="31"/>
      <c r="N565" s="31"/>
    </row>
    <row r="566" spans="2:14" ht="12.75">
      <c r="B566" s="31"/>
      <c r="C566" s="31"/>
      <c r="D566" s="31"/>
      <c r="E566" s="31"/>
      <c r="F566" s="31"/>
      <c r="G566" s="31"/>
      <c r="L566" s="31"/>
      <c r="M566" s="31"/>
      <c r="N566" s="31"/>
    </row>
    <row r="567" spans="2:14" ht="12.75">
      <c r="B567" s="31"/>
      <c r="C567" s="31"/>
      <c r="D567" s="31"/>
      <c r="E567" s="31"/>
      <c r="F567" s="31"/>
      <c r="G567" s="31"/>
      <c r="L567" s="31"/>
      <c r="M567" s="31"/>
      <c r="N567" s="31"/>
    </row>
    <row r="568" spans="2:14" ht="12.75">
      <c r="B568" s="31"/>
      <c r="C568" s="31"/>
      <c r="D568" s="31"/>
      <c r="E568" s="31"/>
      <c r="F568" s="31"/>
      <c r="G568" s="31"/>
      <c r="L568" s="31"/>
      <c r="M568" s="31"/>
      <c r="N568" s="31"/>
    </row>
    <row r="569" spans="2:14" ht="12.75">
      <c r="B569" s="31"/>
      <c r="C569" s="31"/>
      <c r="D569" s="31"/>
      <c r="E569" s="31"/>
      <c r="F569" s="31"/>
      <c r="G569" s="31"/>
      <c r="L569" s="31"/>
      <c r="M569" s="31"/>
      <c r="N569" s="31"/>
    </row>
    <row r="570" spans="2:14" ht="12.75">
      <c r="B570" s="31"/>
      <c r="C570" s="31"/>
      <c r="D570" s="31"/>
      <c r="E570" s="31"/>
      <c r="F570" s="31"/>
      <c r="G570" s="31"/>
      <c r="L570" s="31"/>
      <c r="M570" s="31"/>
      <c r="N570" s="31"/>
    </row>
    <row r="571" spans="2:14" ht="12.75">
      <c r="B571" s="31"/>
      <c r="C571" s="31"/>
      <c r="D571" s="31"/>
      <c r="E571" s="31"/>
      <c r="F571" s="31"/>
      <c r="G571" s="31"/>
      <c r="L571" s="31"/>
      <c r="M571" s="31"/>
      <c r="N571" s="31"/>
    </row>
    <row r="572" spans="2:14" ht="12.75">
      <c r="B572" s="31"/>
      <c r="C572" s="31"/>
      <c r="D572" s="31"/>
      <c r="E572" s="31"/>
      <c r="F572" s="31"/>
      <c r="G572" s="31"/>
      <c r="L572" s="31"/>
      <c r="M572" s="31"/>
      <c r="N572" s="31"/>
    </row>
    <row r="573" spans="2:14" ht="12.75">
      <c r="B573" s="31"/>
      <c r="C573" s="31"/>
      <c r="D573" s="31"/>
      <c r="E573" s="31"/>
      <c r="F573" s="31"/>
      <c r="G573" s="31"/>
      <c r="L573" s="31"/>
      <c r="M573" s="31"/>
      <c r="N573" s="31"/>
    </row>
    <row r="574" spans="2:14" ht="12.75">
      <c r="B574" s="31"/>
      <c r="C574" s="31"/>
      <c r="D574" s="31"/>
      <c r="E574" s="31"/>
      <c r="F574" s="31"/>
      <c r="G574" s="31"/>
      <c r="L574" s="31"/>
      <c r="M574" s="31"/>
      <c r="N574" s="31"/>
    </row>
    <row r="575" spans="2:14" ht="12.75">
      <c r="B575" s="31"/>
      <c r="C575" s="31"/>
      <c r="D575" s="31"/>
      <c r="E575" s="31"/>
      <c r="F575" s="31"/>
      <c r="G575" s="31"/>
      <c r="L575" s="31"/>
      <c r="M575" s="31"/>
      <c r="N575" s="31"/>
    </row>
    <row r="576" spans="2:14" ht="12.75">
      <c r="B576" s="31"/>
      <c r="C576" s="31"/>
      <c r="D576" s="31"/>
      <c r="E576" s="31"/>
      <c r="F576" s="31"/>
      <c r="G576" s="31"/>
      <c r="L576" s="31"/>
      <c r="M576" s="31"/>
      <c r="N576" s="31"/>
    </row>
    <row r="577" spans="2:14" ht="12.75">
      <c r="B577" s="31"/>
      <c r="C577" s="31"/>
      <c r="D577" s="31"/>
      <c r="E577" s="31"/>
      <c r="F577" s="31"/>
      <c r="G577" s="31"/>
      <c r="L577" s="31"/>
      <c r="M577" s="31"/>
      <c r="N577" s="31"/>
    </row>
    <row r="578" spans="2:14" ht="12.75">
      <c r="B578" s="31"/>
      <c r="C578" s="31"/>
      <c r="D578" s="31"/>
      <c r="E578" s="31"/>
      <c r="F578" s="31"/>
      <c r="G578" s="31"/>
      <c r="L578" s="31"/>
      <c r="M578" s="31"/>
      <c r="N578" s="31"/>
    </row>
    <row r="579" spans="2:14" ht="12.75">
      <c r="B579" s="31"/>
      <c r="C579" s="31"/>
      <c r="D579" s="31"/>
      <c r="E579" s="31"/>
      <c r="F579" s="31"/>
      <c r="G579" s="31"/>
      <c r="L579" s="31"/>
      <c r="M579" s="31"/>
      <c r="N579" s="31"/>
    </row>
    <row r="580" spans="2:14" ht="12.75">
      <c r="B580" s="31"/>
      <c r="C580" s="31"/>
      <c r="D580" s="31"/>
      <c r="E580" s="31"/>
      <c r="F580" s="31"/>
      <c r="G580" s="31"/>
      <c r="L580" s="31"/>
      <c r="M580" s="31"/>
      <c r="N580" s="31"/>
    </row>
    <row r="581" spans="2:14" ht="12.75">
      <c r="B581" s="31"/>
      <c r="C581" s="31"/>
      <c r="D581" s="31"/>
      <c r="E581" s="31"/>
      <c r="F581" s="31"/>
      <c r="G581" s="31"/>
      <c r="L581" s="31"/>
      <c r="M581" s="31"/>
      <c r="N581" s="31"/>
    </row>
    <row r="582" spans="2:14" ht="12.75">
      <c r="B582" s="31"/>
      <c r="C582" s="31"/>
      <c r="D582" s="31"/>
      <c r="E582" s="31"/>
      <c r="F582" s="31"/>
      <c r="G582" s="31"/>
      <c r="L582" s="31"/>
      <c r="M582" s="31"/>
      <c r="N582" s="31"/>
    </row>
    <row r="583" spans="2:14" ht="12.75">
      <c r="B583" s="31"/>
      <c r="C583" s="31"/>
      <c r="D583" s="31"/>
      <c r="E583" s="31"/>
      <c r="F583" s="31"/>
      <c r="G583" s="31"/>
      <c r="L583" s="31"/>
      <c r="M583" s="31"/>
      <c r="N583" s="31"/>
    </row>
    <row r="584" spans="2:14" ht="12.75">
      <c r="B584" s="31"/>
      <c r="C584" s="31"/>
      <c r="D584" s="31"/>
      <c r="E584" s="31"/>
      <c r="F584" s="31"/>
      <c r="G584" s="31"/>
      <c r="L584" s="31"/>
      <c r="M584" s="31"/>
      <c r="N584" s="31"/>
    </row>
    <row r="585" spans="2:14" ht="12.75">
      <c r="B585" s="31"/>
      <c r="C585" s="31"/>
      <c r="D585" s="31"/>
      <c r="E585" s="31"/>
      <c r="F585" s="31"/>
      <c r="G585" s="31"/>
      <c r="L585" s="31"/>
      <c r="M585" s="31"/>
      <c r="N585" s="31"/>
    </row>
    <row r="586" spans="2:14" ht="12.75">
      <c r="B586" s="31"/>
      <c r="C586" s="31"/>
      <c r="D586" s="31"/>
      <c r="E586" s="31"/>
      <c r="F586" s="31"/>
      <c r="G586" s="31"/>
      <c r="L586" s="31"/>
      <c r="M586" s="31"/>
      <c r="N586" s="31"/>
    </row>
    <row r="587" spans="2:14" ht="12.75">
      <c r="B587" s="31"/>
      <c r="C587" s="31"/>
      <c r="D587" s="31"/>
      <c r="E587" s="31"/>
      <c r="F587" s="31"/>
      <c r="G587" s="31"/>
      <c r="L587" s="31"/>
      <c r="M587" s="31"/>
      <c r="N587" s="31"/>
    </row>
    <row r="588" spans="2:14" ht="12.75">
      <c r="B588" s="31"/>
      <c r="C588" s="31"/>
      <c r="D588" s="31"/>
      <c r="E588" s="31"/>
      <c r="F588" s="31"/>
      <c r="G588" s="31"/>
      <c r="L588" s="31"/>
      <c r="M588" s="31"/>
      <c r="N588" s="31"/>
    </row>
    <row r="589" spans="2:14" ht="12.75">
      <c r="B589" s="31"/>
      <c r="C589" s="31"/>
      <c r="D589" s="31"/>
      <c r="E589" s="31"/>
      <c r="F589" s="31"/>
      <c r="G589" s="31"/>
      <c r="L589" s="31"/>
      <c r="M589" s="31"/>
      <c r="N589" s="31"/>
    </row>
    <row r="590" spans="2:14" ht="12.75">
      <c r="B590" s="31"/>
      <c r="C590" s="31"/>
      <c r="D590" s="31"/>
      <c r="E590" s="31"/>
      <c r="F590" s="31"/>
      <c r="G590" s="31"/>
      <c r="L590" s="31"/>
      <c r="M590" s="31"/>
      <c r="N590" s="31"/>
    </row>
    <row r="591" spans="2:14" ht="12.75">
      <c r="B591" s="31"/>
      <c r="C591" s="31"/>
      <c r="D591" s="31"/>
      <c r="E591" s="31"/>
      <c r="F591" s="31"/>
      <c r="G591" s="31"/>
      <c r="L591" s="31"/>
      <c r="M591" s="31"/>
      <c r="N591" s="31"/>
    </row>
    <row r="592" spans="2:14" ht="12.75">
      <c r="B592" s="31"/>
      <c r="C592" s="31"/>
      <c r="D592" s="31"/>
      <c r="E592" s="31"/>
      <c r="F592" s="31"/>
      <c r="G592" s="31"/>
      <c r="L592" s="31"/>
      <c r="M592" s="31"/>
      <c r="N592" s="31"/>
    </row>
    <row r="593" spans="2:14" ht="12.75">
      <c r="B593" s="31"/>
      <c r="C593" s="31"/>
      <c r="D593" s="31"/>
      <c r="E593" s="31"/>
      <c r="F593" s="31"/>
      <c r="G593" s="31"/>
      <c r="L593" s="31"/>
      <c r="M593" s="31"/>
      <c r="N593" s="31"/>
    </row>
    <row r="594" spans="2:14" ht="12.75">
      <c r="B594" s="31"/>
      <c r="C594" s="31"/>
      <c r="D594" s="31"/>
      <c r="E594" s="31"/>
      <c r="F594" s="31"/>
      <c r="G594" s="31"/>
      <c r="L594" s="31"/>
      <c r="M594" s="31"/>
      <c r="N594" s="31"/>
    </row>
    <row r="595" spans="2:14" ht="12.75">
      <c r="B595" s="31"/>
      <c r="C595" s="31"/>
      <c r="D595" s="31"/>
      <c r="E595" s="31"/>
      <c r="F595" s="31"/>
      <c r="G595" s="31"/>
      <c r="L595" s="31"/>
      <c r="M595" s="31"/>
      <c r="N595" s="31"/>
    </row>
    <row r="596" spans="2:14" ht="12.75">
      <c r="B596" s="31"/>
      <c r="C596" s="31"/>
      <c r="D596" s="31"/>
      <c r="E596" s="31"/>
      <c r="F596" s="31"/>
      <c r="G596" s="31"/>
      <c r="L596" s="31"/>
      <c r="M596" s="31"/>
      <c r="N596" s="31"/>
    </row>
    <row r="597" spans="2:14" ht="12.75">
      <c r="B597" s="31"/>
      <c r="C597" s="31"/>
      <c r="D597" s="31"/>
      <c r="E597" s="31"/>
      <c r="F597" s="31"/>
      <c r="G597" s="31"/>
      <c r="L597" s="31"/>
      <c r="M597" s="31"/>
      <c r="N597" s="31"/>
    </row>
    <row r="598" spans="2:14" ht="12.75">
      <c r="B598" s="31"/>
      <c r="C598" s="31"/>
      <c r="D598" s="31"/>
      <c r="E598" s="31"/>
      <c r="F598" s="31"/>
      <c r="G598" s="31"/>
      <c r="L598" s="31"/>
      <c r="M598" s="31"/>
      <c r="N598" s="31"/>
    </row>
    <row r="599" spans="2:14" ht="12.75">
      <c r="B599" s="31"/>
      <c r="C599" s="31"/>
      <c r="D599" s="31"/>
      <c r="E599" s="31"/>
      <c r="F599" s="31"/>
      <c r="G599" s="31"/>
      <c r="L599" s="31"/>
      <c r="M599" s="31"/>
      <c r="N599" s="31"/>
    </row>
    <row r="600" spans="2:14" ht="12.75">
      <c r="B600" s="31"/>
      <c r="C600" s="31"/>
      <c r="D600" s="31"/>
      <c r="E600" s="31"/>
      <c r="F600" s="31"/>
      <c r="G600" s="31"/>
      <c r="L600" s="31"/>
      <c r="M600" s="31"/>
      <c r="N600" s="31"/>
    </row>
    <row r="601" spans="2:14" ht="12.75">
      <c r="B601" s="31"/>
      <c r="C601" s="31"/>
      <c r="D601" s="31"/>
      <c r="E601" s="31"/>
      <c r="F601" s="31"/>
      <c r="G601" s="31"/>
      <c r="L601" s="31"/>
      <c r="M601" s="31"/>
      <c r="N601" s="31"/>
    </row>
    <row r="602" spans="2:14" ht="12.75">
      <c r="B602" s="31"/>
      <c r="C602" s="31"/>
      <c r="D602" s="31"/>
      <c r="E602" s="31"/>
      <c r="F602" s="31"/>
      <c r="G602" s="31"/>
      <c r="L602" s="31"/>
      <c r="M602" s="31"/>
      <c r="N602" s="31"/>
    </row>
    <row r="603" spans="2:14" ht="12.75">
      <c r="B603" s="31"/>
      <c r="C603" s="31"/>
      <c r="D603" s="31"/>
      <c r="E603" s="31"/>
      <c r="F603" s="31"/>
      <c r="G603" s="31"/>
      <c r="L603" s="31"/>
      <c r="M603" s="31"/>
      <c r="N603" s="31"/>
    </row>
    <row r="604" spans="2:14" ht="12.75">
      <c r="B604" s="31"/>
      <c r="C604" s="31"/>
      <c r="D604" s="31"/>
      <c r="E604" s="31"/>
      <c r="F604" s="31"/>
      <c r="G604" s="31"/>
      <c r="L604" s="31"/>
      <c r="M604" s="31"/>
      <c r="N604" s="31"/>
    </row>
    <row r="605" spans="2:14" ht="12.75">
      <c r="B605" s="31"/>
      <c r="C605" s="31"/>
      <c r="D605" s="31"/>
      <c r="E605" s="31"/>
      <c r="F605" s="31"/>
      <c r="G605" s="31"/>
      <c r="L605" s="31"/>
      <c r="M605" s="31"/>
      <c r="N605" s="31"/>
    </row>
    <row r="606" spans="2:14" ht="12.75">
      <c r="B606" s="31"/>
      <c r="C606" s="31"/>
      <c r="D606" s="31"/>
      <c r="E606" s="31"/>
      <c r="F606" s="31"/>
      <c r="G606" s="31"/>
      <c r="L606" s="31"/>
      <c r="M606" s="31"/>
      <c r="N606" s="31"/>
    </row>
    <row r="607" spans="2:14" ht="12.75">
      <c r="B607" s="31"/>
      <c r="C607" s="31"/>
      <c r="D607" s="31"/>
      <c r="E607" s="31"/>
      <c r="F607" s="31"/>
      <c r="G607" s="31"/>
      <c r="L607" s="31"/>
      <c r="M607" s="31"/>
      <c r="N607" s="31"/>
    </row>
    <row r="608" spans="2:14" ht="12.75">
      <c r="B608" s="31"/>
      <c r="C608" s="31"/>
      <c r="D608" s="31"/>
      <c r="E608" s="31"/>
      <c r="F608" s="31"/>
      <c r="G608" s="31"/>
      <c r="L608" s="31"/>
      <c r="M608" s="31"/>
      <c r="N608" s="31"/>
    </row>
    <row r="609" spans="2:14" ht="12.75">
      <c r="B609" s="31"/>
      <c r="C609" s="31"/>
      <c r="D609" s="31"/>
      <c r="E609" s="31"/>
      <c r="F609" s="31"/>
      <c r="G609" s="31"/>
      <c r="L609" s="31"/>
      <c r="M609" s="31"/>
      <c r="N609" s="31"/>
    </row>
    <row r="610" spans="2:14" ht="12.75">
      <c r="B610" s="31"/>
      <c r="C610" s="31"/>
      <c r="D610" s="31"/>
      <c r="E610" s="31"/>
      <c r="F610" s="31"/>
      <c r="G610" s="31"/>
      <c r="L610" s="31"/>
      <c r="M610" s="31"/>
      <c r="N610" s="31"/>
    </row>
    <row r="611" spans="2:14" ht="12.75">
      <c r="B611" s="31"/>
      <c r="C611" s="31"/>
      <c r="D611" s="31"/>
      <c r="E611" s="31"/>
      <c r="F611" s="31"/>
      <c r="G611" s="31"/>
      <c r="L611" s="31"/>
      <c r="M611" s="31"/>
      <c r="N611" s="31"/>
    </row>
    <row r="612" spans="2:14" ht="12.75">
      <c r="B612" s="31"/>
      <c r="C612" s="31"/>
      <c r="D612" s="31"/>
      <c r="E612" s="31"/>
      <c r="F612" s="31"/>
      <c r="G612" s="31"/>
      <c r="L612" s="31"/>
      <c r="M612" s="31"/>
      <c r="N612" s="31"/>
    </row>
    <row r="613" spans="2:14" ht="12.75">
      <c r="B613" s="31"/>
      <c r="C613" s="31"/>
      <c r="D613" s="31"/>
      <c r="E613" s="31"/>
      <c r="F613" s="31"/>
      <c r="G613" s="31"/>
      <c r="L613" s="31"/>
      <c r="M613" s="31"/>
      <c r="N613" s="31"/>
    </row>
    <row r="614" spans="2:14" ht="12.75">
      <c r="B614" s="31"/>
      <c r="C614" s="31"/>
      <c r="D614" s="31"/>
      <c r="E614" s="31"/>
      <c r="F614" s="31"/>
      <c r="G614" s="31"/>
      <c r="L614" s="31"/>
      <c r="M614" s="31"/>
      <c r="N614" s="31"/>
    </row>
    <row r="615" spans="2:14" ht="12.75">
      <c r="B615" s="31"/>
      <c r="C615" s="31"/>
      <c r="D615" s="31"/>
      <c r="E615" s="31"/>
      <c r="F615" s="31"/>
      <c r="G615" s="31"/>
      <c r="L615" s="31"/>
      <c r="M615" s="31"/>
      <c r="N615" s="31"/>
    </row>
    <row r="616" spans="2:14" ht="12.75">
      <c r="B616" s="31"/>
      <c r="C616" s="31"/>
      <c r="D616" s="31"/>
      <c r="E616" s="31"/>
      <c r="F616" s="31"/>
      <c r="G616" s="31"/>
      <c r="L616" s="31"/>
      <c r="M616" s="31"/>
      <c r="N616" s="31"/>
    </row>
    <row r="617" spans="2:14" ht="12.75">
      <c r="B617" s="31"/>
      <c r="C617" s="31"/>
      <c r="D617" s="31"/>
      <c r="E617" s="31"/>
      <c r="F617" s="31"/>
      <c r="G617" s="31"/>
      <c r="L617" s="31"/>
      <c r="M617" s="31"/>
      <c r="N617" s="31"/>
    </row>
    <row r="618" spans="2:14" ht="12.75">
      <c r="B618" s="31"/>
      <c r="C618" s="31"/>
      <c r="D618" s="31"/>
      <c r="E618" s="31"/>
      <c r="F618" s="31"/>
      <c r="G618" s="31"/>
      <c r="L618" s="31"/>
      <c r="M618" s="31"/>
      <c r="N618" s="31"/>
    </row>
    <row r="619" spans="2:14" ht="12.75">
      <c r="B619" s="31"/>
      <c r="C619" s="31"/>
      <c r="D619" s="31"/>
      <c r="E619" s="31"/>
      <c r="F619" s="31"/>
      <c r="G619" s="31"/>
      <c r="L619" s="31"/>
      <c r="M619" s="31"/>
      <c r="N619" s="31"/>
    </row>
    <row r="620" spans="2:14" ht="12.75">
      <c r="B620" s="31"/>
      <c r="C620" s="31"/>
      <c r="D620" s="31"/>
      <c r="E620" s="31"/>
      <c r="F620" s="31"/>
      <c r="G620" s="31"/>
      <c r="L620" s="31"/>
      <c r="M620" s="31"/>
      <c r="N620" s="31"/>
    </row>
    <row r="621" spans="2:14" ht="12.75">
      <c r="B621" s="31"/>
      <c r="C621" s="31"/>
      <c r="D621" s="31"/>
      <c r="E621" s="31"/>
      <c r="F621" s="31"/>
      <c r="G621" s="31"/>
      <c r="L621" s="31"/>
      <c r="M621" s="31"/>
      <c r="N621" s="31"/>
    </row>
    <row r="622" spans="2:14" ht="12.75">
      <c r="B622" s="31"/>
      <c r="C622" s="31"/>
      <c r="D622" s="31"/>
      <c r="E622" s="31"/>
      <c r="F622" s="31"/>
      <c r="G622" s="31"/>
      <c r="L622" s="31"/>
      <c r="M622" s="31"/>
      <c r="N622" s="31"/>
    </row>
    <row r="623" spans="2:14" ht="12.75">
      <c r="B623" s="31"/>
      <c r="C623" s="31"/>
      <c r="D623" s="31"/>
      <c r="E623" s="31"/>
      <c r="F623" s="31"/>
      <c r="G623" s="31"/>
      <c r="L623" s="31"/>
      <c r="M623" s="31"/>
      <c r="N623" s="31"/>
    </row>
    <row r="624" spans="2:14" ht="12.75">
      <c r="B624" s="31"/>
      <c r="C624" s="31"/>
      <c r="D624" s="31"/>
      <c r="E624" s="31"/>
      <c r="F624" s="31"/>
      <c r="G624" s="31"/>
      <c r="L624" s="31"/>
      <c r="M624" s="31"/>
      <c r="N624" s="31"/>
    </row>
    <row r="625" spans="2:14" ht="12.75">
      <c r="B625" s="31"/>
      <c r="C625" s="31"/>
      <c r="D625" s="31"/>
      <c r="E625" s="31"/>
      <c r="F625" s="31"/>
      <c r="G625" s="31"/>
      <c r="L625" s="31"/>
      <c r="M625" s="31"/>
      <c r="N625" s="31"/>
    </row>
    <row r="626" spans="2:14" ht="12.75">
      <c r="B626" s="31"/>
      <c r="C626" s="31"/>
      <c r="D626" s="31"/>
      <c r="E626" s="31"/>
      <c r="F626" s="31"/>
      <c r="G626" s="31"/>
      <c r="L626" s="31"/>
      <c r="M626" s="31"/>
      <c r="N626" s="31"/>
    </row>
    <row r="627" spans="2:14" ht="12.75">
      <c r="B627" s="31"/>
      <c r="C627" s="31"/>
      <c r="D627" s="31"/>
      <c r="E627" s="31"/>
      <c r="F627" s="31"/>
      <c r="G627" s="31"/>
      <c r="L627" s="31"/>
      <c r="M627" s="31"/>
      <c r="N627" s="31"/>
    </row>
    <row r="628" spans="2:14" ht="12.75">
      <c r="B628" s="31"/>
      <c r="C628" s="31"/>
      <c r="D628" s="31"/>
      <c r="E628" s="31"/>
      <c r="F628" s="31"/>
      <c r="G628" s="31"/>
      <c r="L628" s="31"/>
      <c r="M628" s="31"/>
      <c r="N628" s="31"/>
    </row>
    <row r="629" spans="2:14" ht="12.75">
      <c r="B629" s="31"/>
      <c r="C629" s="31"/>
      <c r="D629" s="31"/>
      <c r="E629" s="31"/>
      <c r="F629" s="31"/>
      <c r="G629" s="31"/>
      <c r="L629" s="31"/>
      <c r="M629" s="31"/>
      <c r="N629" s="31"/>
    </row>
    <row r="630" spans="2:14" ht="12.75">
      <c r="B630" s="31"/>
      <c r="C630" s="31"/>
      <c r="D630" s="31"/>
      <c r="E630" s="31"/>
      <c r="F630" s="31"/>
      <c r="G630" s="31"/>
      <c r="L630" s="31"/>
      <c r="M630" s="31"/>
      <c r="N630" s="31"/>
    </row>
    <row r="631" spans="2:14" ht="12.75">
      <c r="B631" s="31"/>
      <c r="C631" s="31"/>
      <c r="D631" s="31"/>
      <c r="E631" s="31"/>
      <c r="F631" s="31"/>
      <c r="G631" s="31"/>
      <c r="L631" s="31"/>
      <c r="M631" s="31"/>
      <c r="N631" s="31"/>
    </row>
    <row r="632" spans="2:14" ht="12.75">
      <c r="B632" s="31"/>
      <c r="C632" s="31"/>
      <c r="D632" s="31"/>
      <c r="E632" s="31"/>
      <c r="F632" s="31"/>
      <c r="G632" s="31"/>
      <c r="L632" s="31"/>
      <c r="M632" s="31"/>
      <c r="N632" s="31"/>
    </row>
    <row r="633" spans="2:14" ht="12.75">
      <c r="B633" s="31"/>
      <c r="C633" s="31"/>
      <c r="D633" s="31"/>
      <c r="E633" s="31"/>
      <c r="F633" s="31"/>
      <c r="G633" s="31"/>
      <c r="L633" s="31"/>
      <c r="M633" s="31"/>
      <c r="N633" s="31"/>
    </row>
    <row r="634" spans="2:14" ht="12.75">
      <c r="B634" s="31"/>
      <c r="C634" s="31"/>
      <c r="D634" s="31"/>
      <c r="E634" s="31"/>
      <c r="F634" s="31"/>
      <c r="G634" s="31"/>
      <c r="L634" s="31"/>
      <c r="M634" s="31"/>
      <c r="N634" s="31"/>
    </row>
    <row r="635" spans="2:14" ht="12.75">
      <c r="B635" s="31"/>
      <c r="C635" s="31"/>
      <c r="D635" s="31"/>
      <c r="E635" s="31"/>
      <c r="F635" s="31"/>
      <c r="G635" s="31"/>
      <c r="L635" s="31"/>
      <c r="M635" s="31"/>
      <c r="N635" s="31"/>
    </row>
    <row r="636" spans="2:14" ht="12.75">
      <c r="B636" s="31"/>
      <c r="C636" s="31"/>
      <c r="D636" s="31"/>
      <c r="E636" s="31"/>
      <c r="F636" s="31"/>
      <c r="G636" s="31"/>
      <c r="L636" s="31"/>
      <c r="M636" s="31"/>
      <c r="N636" s="31"/>
    </row>
    <row r="637" spans="2:14" ht="12.75">
      <c r="B637" s="31"/>
      <c r="C637" s="31"/>
      <c r="D637" s="31"/>
      <c r="E637" s="31"/>
      <c r="F637" s="31"/>
      <c r="G637" s="31"/>
      <c r="L637" s="31"/>
      <c r="M637" s="31"/>
      <c r="N637" s="31"/>
    </row>
    <row r="638" spans="2:14" ht="12.75">
      <c r="B638" s="31"/>
      <c r="C638" s="31"/>
      <c r="D638" s="31"/>
      <c r="E638" s="31"/>
      <c r="F638" s="31"/>
      <c r="G638" s="31"/>
      <c r="L638" s="31"/>
      <c r="M638" s="31"/>
      <c r="N638" s="31"/>
    </row>
    <row r="639" spans="2:14" ht="12.75">
      <c r="B639" s="31"/>
      <c r="C639" s="31"/>
      <c r="D639" s="31"/>
      <c r="E639" s="31"/>
      <c r="F639" s="31"/>
      <c r="G639" s="31"/>
      <c r="L639" s="31"/>
      <c r="M639" s="31"/>
      <c r="N639" s="31"/>
    </row>
    <row r="640" spans="2:14" ht="12.75">
      <c r="B640" s="31"/>
      <c r="C640" s="31"/>
      <c r="D640" s="31"/>
      <c r="E640" s="31"/>
      <c r="F640" s="31"/>
      <c r="G640" s="31"/>
      <c r="L640" s="31"/>
      <c r="M640" s="31"/>
      <c r="N640" s="31"/>
    </row>
    <row r="641" spans="2:14" ht="12.75">
      <c r="B641" s="31"/>
      <c r="C641" s="31"/>
      <c r="D641" s="31"/>
      <c r="E641" s="31"/>
      <c r="F641" s="31"/>
      <c r="G641" s="31"/>
      <c r="L641" s="31"/>
      <c r="M641" s="31"/>
      <c r="N641" s="31"/>
    </row>
    <row r="642" spans="2:14" ht="12.75">
      <c r="B642" s="31"/>
      <c r="C642" s="31"/>
      <c r="D642" s="31"/>
      <c r="E642" s="31"/>
      <c r="F642" s="31"/>
      <c r="G642" s="31"/>
      <c r="L642" s="31"/>
      <c r="M642" s="31"/>
      <c r="N642" s="31"/>
    </row>
    <row r="643" spans="2:14" ht="12.75">
      <c r="B643" s="31"/>
      <c r="C643" s="31"/>
      <c r="D643" s="31"/>
      <c r="E643" s="31"/>
      <c r="F643" s="31"/>
      <c r="G643" s="31"/>
      <c r="L643" s="31"/>
      <c r="M643" s="31"/>
      <c r="N643" s="31"/>
    </row>
    <row r="644" spans="2:14" ht="12.75">
      <c r="B644" s="31"/>
      <c r="C644" s="31"/>
      <c r="D644" s="31"/>
      <c r="E644" s="31"/>
      <c r="F644" s="31"/>
      <c r="G644" s="31"/>
      <c r="L644" s="31"/>
      <c r="M644" s="31"/>
      <c r="N644" s="31"/>
    </row>
    <row r="645" spans="2:14" ht="12.75">
      <c r="B645" s="31"/>
      <c r="C645" s="31"/>
      <c r="D645" s="31"/>
      <c r="E645" s="31"/>
      <c r="F645" s="31"/>
      <c r="G645" s="31"/>
      <c r="L645" s="31"/>
      <c r="M645" s="31"/>
      <c r="N645" s="31"/>
    </row>
    <row r="646" spans="2:14" ht="12.75">
      <c r="B646" s="31"/>
      <c r="C646" s="31"/>
      <c r="D646" s="31"/>
      <c r="E646" s="31"/>
      <c r="F646" s="31"/>
      <c r="G646" s="31"/>
      <c r="L646" s="31"/>
      <c r="M646" s="31"/>
      <c r="N646" s="31"/>
    </row>
    <row r="647" spans="2:14" ht="12.75">
      <c r="B647" s="31"/>
      <c r="C647" s="31"/>
      <c r="D647" s="31"/>
      <c r="E647" s="31"/>
      <c r="F647" s="31"/>
      <c r="G647" s="31"/>
      <c r="L647" s="31"/>
      <c r="M647" s="31"/>
      <c r="N647" s="31"/>
    </row>
    <row r="648" spans="2:14" ht="12.75">
      <c r="B648" s="31"/>
      <c r="C648" s="31"/>
      <c r="D648" s="31"/>
      <c r="E648" s="31"/>
      <c r="F648" s="31"/>
      <c r="G648" s="31"/>
      <c r="L648" s="31"/>
      <c r="M648" s="31"/>
      <c r="N648" s="31"/>
    </row>
    <row r="649" spans="2:14" ht="12.75">
      <c r="B649" s="31"/>
      <c r="C649" s="31"/>
      <c r="D649" s="31"/>
      <c r="E649" s="31"/>
      <c r="F649" s="31"/>
      <c r="G649" s="31"/>
      <c r="L649" s="31"/>
      <c r="M649" s="31"/>
      <c r="N649" s="31"/>
    </row>
    <row r="650" spans="2:14" ht="12.75">
      <c r="B650" s="31"/>
      <c r="C650" s="31"/>
      <c r="D650" s="31"/>
      <c r="E650" s="31"/>
      <c r="F650" s="31"/>
      <c r="G650" s="31"/>
      <c r="L650" s="31"/>
      <c r="M650" s="31"/>
      <c r="N650" s="31"/>
    </row>
    <row r="651" spans="2:14" ht="12.75">
      <c r="B651" s="31"/>
      <c r="C651" s="31"/>
      <c r="D651" s="31"/>
      <c r="E651" s="31"/>
      <c r="F651" s="31"/>
      <c r="G651" s="31"/>
      <c r="L651" s="31"/>
      <c r="M651" s="31"/>
      <c r="N651" s="31"/>
    </row>
    <row r="652" spans="2:14" ht="12.75">
      <c r="B652" s="31"/>
      <c r="C652" s="31"/>
      <c r="D652" s="31"/>
      <c r="E652" s="31"/>
      <c r="F652" s="31"/>
      <c r="G652" s="31"/>
      <c r="L652" s="31"/>
      <c r="M652" s="31"/>
      <c r="N652" s="31"/>
    </row>
    <row r="653" spans="2:14" ht="12.75">
      <c r="B653" s="31"/>
      <c r="C653" s="31"/>
      <c r="D653" s="31"/>
      <c r="E653" s="31"/>
      <c r="F653" s="31"/>
      <c r="G653" s="31"/>
      <c r="L653" s="31"/>
      <c r="M653" s="31"/>
      <c r="N653" s="31"/>
    </row>
    <row r="654" spans="2:14" ht="12.75">
      <c r="B654" s="31"/>
      <c r="C654" s="31"/>
      <c r="D654" s="31"/>
      <c r="E654" s="31"/>
      <c r="F654" s="31"/>
      <c r="G654" s="31"/>
      <c r="L654" s="31"/>
      <c r="M654" s="31"/>
      <c r="N654" s="31"/>
    </row>
    <row r="655" spans="2:14" ht="12.75">
      <c r="B655" s="31"/>
      <c r="C655" s="31"/>
      <c r="D655" s="31"/>
      <c r="E655" s="31"/>
      <c r="F655" s="31"/>
      <c r="G655" s="31"/>
      <c r="L655" s="31"/>
      <c r="M655" s="31"/>
      <c r="N655" s="31"/>
    </row>
    <row r="656" spans="2:14" ht="12.75">
      <c r="B656" s="31"/>
      <c r="C656" s="31"/>
      <c r="D656" s="31"/>
      <c r="E656" s="31"/>
      <c r="F656" s="31"/>
      <c r="G656" s="31"/>
      <c r="L656" s="31"/>
      <c r="M656" s="31"/>
      <c r="N656" s="31"/>
    </row>
    <row r="657" spans="2:14" ht="12.75">
      <c r="B657" s="31"/>
      <c r="C657" s="31"/>
      <c r="D657" s="31"/>
      <c r="E657" s="31"/>
      <c r="F657" s="31"/>
      <c r="G657" s="31"/>
      <c r="L657" s="31"/>
      <c r="M657" s="31"/>
      <c r="N657" s="31"/>
    </row>
    <row r="658" spans="2:14" ht="12.75">
      <c r="B658" s="31"/>
      <c r="C658" s="31"/>
      <c r="D658" s="31"/>
      <c r="E658" s="31"/>
      <c r="F658" s="31"/>
      <c r="G658" s="31"/>
      <c r="L658" s="31"/>
      <c r="M658" s="31"/>
      <c r="N658" s="31"/>
    </row>
    <row r="659" spans="2:14" ht="12.75">
      <c r="B659" s="31"/>
      <c r="C659" s="31"/>
      <c r="D659" s="31"/>
      <c r="E659" s="31"/>
      <c r="F659" s="31"/>
      <c r="G659" s="31"/>
      <c r="L659" s="31"/>
      <c r="M659" s="31"/>
      <c r="N659" s="31"/>
    </row>
    <row r="660" spans="2:14" ht="12.75">
      <c r="B660" s="31"/>
      <c r="C660" s="31"/>
      <c r="D660" s="31"/>
      <c r="E660" s="31"/>
      <c r="F660" s="31"/>
      <c r="G660" s="31"/>
      <c r="L660" s="31"/>
      <c r="M660" s="31"/>
      <c r="N660" s="31"/>
    </row>
    <row r="661" spans="2:14" ht="12.75">
      <c r="B661" s="31"/>
      <c r="C661" s="31"/>
      <c r="D661" s="31"/>
      <c r="E661" s="31"/>
      <c r="F661" s="31"/>
      <c r="G661" s="31"/>
      <c r="L661" s="31"/>
      <c r="M661" s="31"/>
      <c r="N661" s="31"/>
    </row>
    <row r="662" spans="2:14" ht="12.75">
      <c r="B662" s="31"/>
      <c r="C662" s="31"/>
      <c r="D662" s="31"/>
      <c r="E662" s="31"/>
      <c r="F662" s="31"/>
      <c r="G662" s="31"/>
      <c r="L662" s="31"/>
      <c r="M662" s="31"/>
      <c r="N662" s="31"/>
    </row>
    <row r="663" spans="2:14" ht="12.75">
      <c r="B663" s="31"/>
      <c r="C663" s="31"/>
      <c r="D663" s="31"/>
      <c r="E663" s="31"/>
      <c r="F663" s="31"/>
      <c r="G663" s="31"/>
      <c r="L663" s="31"/>
      <c r="M663" s="31"/>
      <c r="N663" s="31"/>
    </row>
    <row r="664" spans="2:14" ht="12.75">
      <c r="B664" s="31"/>
      <c r="C664" s="31"/>
      <c r="D664" s="31"/>
      <c r="E664" s="31"/>
      <c r="F664" s="31"/>
      <c r="G664" s="31"/>
      <c r="L664" s="31"/>
      <c r="M664" s="31"/>
      <c r="N664" s="31"/>
    </row>
    <row r="665" spans="2:14" ht="12.75">
      <c r="B665" s="31"/>
      <c r="C665" s="31"/>
      <c r="D665" s="31"/>
      <c r="E665" s="31"/>
      <c r="F665" s="31"/>
      <c r="G665" s="31"/>
      <c r="L665" s="31"/>
      <c r="M665" s="31"/>
      <c r="N665" s="31"/>
    </row>
    <row r="666" spans="2:14" ht="12.75">
      <c r="B666" s="31"/>
      <c r="C666" s="31"/>
      <c r="D666" s="31"/>
      <c r="E666" s="31"/>
      <c r="F666" s="31"/>
      <c r="G666" s="31"/>
      <c r="L666" s="31"/>
      <c r="M666" s="31"/>
      <c r="N666" s="31"/>
    </row>
    <row r="667" spans="2:14" ht="12.75">
      <c r="B667" s="31"/>
      <c r="C667" s="31"/>
      <c r="D667" s="31"/>
      <c r="E667" s="31"/>
      <c r="F667" s="31"/>
      <c r="G667" s="31"/>
      <c r="L667" s="31"/>
      <c r="M667" s="31"/>
      <c r="N667" s="31"/>
    </row>
    <row r="668" spans="2:14" ht="12.75">
      <c r="B668" s="31"/>
      <c r="C668" s="31"/>
      <c r="D668" s="31"/>
      <c r="E668" s="31"/>
      <c r="F668" s="31"/>
      <c r="G668" s="31"/>
      <c r="L668" s="31"/>
      <c r="M668" s="31"/>
      <c r="N668" s="31"/>
    </row>
    <row r="669" spans="2:14" ht="12.75">
      <c r="B669" s="31"/>
      <c r="C669" s="31"/>
      <c r="D669" s="31"/>
      <c r="E669" s="31"/>
      <c r="F669" s="31"/>
      <c r="G669" s="31"/>
      <c r="L669" s="31"/>
      <c r="M669" s="31"/>
      <c r="N669" s="31"/>
    </row>
    <row r="670" spans="2:14" ht="12.75">
      <c r="B670" s="31"/>
      <c r="C670" s="31"/>
      <c r="D670" s="31"/>
      <c r="E670" s="31"/>
      <c r="F670" s="31"/>
      <c r="G670" s="31"/>
      <c r="L670" s="31"/>
      <c r="M670" s="31"/>
      <c r="N670" s="31"/>
    </row>
    <row r="671" spans="2:14" ht="12.75">
      <c r="B671" s="31"/>
      <c r="C671" s="31"/>
      <c r="D671" s="31"/>
      <c r="E671" s="31"/>
      <c r="F671" s="31"/>
      <c r="G671" s="31"/>
      <c r="L671" s="31"/>
      <c r="M671" s="31"/>
      <c r="N671" s="31"/>
    </row>
    <row r="672" spans="2:14" ht="12.75">
      <c r="B672" s="31"/>
      <c r="C672" s="31"/>
      <c r="D672" s="31"/>
      <c r="E672" s="31"/>
      <c r="F672" s="31"/>
      <c r="G672" s="31"/>
      <c r="L672" s="31"/>
      <c r="M672" s="31"/>
      <c r="N672" s="31"/>
    </row>
    <row r="673" spans="2:14" ht="12.75">
      <c r="B673" s="31"/>
      <c r="C673" s="31"/>
      <c r="D673" s="31"/>
      <c r="E673" s="31"/>
      <c r="F673" s="31"/>
      <c r="G673" s="31"/>
      <c r="L673" s="31"/>
      <c r="M673" s="31"/>
      <c r="N673" s="31"/>
    </row>
    <row r="674" spans="2:14" ht="12.75">
      <c r="B674" s="31"/>
      <c r="C674" s="31"/>
      <c r="D674" s="31"/>
      <c r="E674" s="31"/>
      <c r="F674" s="31"/>
      <c r="G674" s="31"/>
      <c r="L674" s="31"/>
      <c r="M674" s="31"/>
      <c r="N674" s="31"/>
    </row>
    <row r="675" spans="2:14" ht="12.75">
      <c r="B675" s="31"/>
      <c r="C675" s="31"/>
      <c r="D675" s="31"/>
      <c r="E675" s="31"/>
      <c r="F675" s="31"/>
      <c r="G675" s="31"/>
      <c r="L675" s="31"/>
      <c r="M675" s="31"/>
      <c r="N675" s="31"/>
    </row>
    <row r="676" spans="2:14" ht="12.75">
      <c r="B676" s="31"/>
      <c r="C676" s="31"/>
      <c r="D676" s="31"/>
      <c r="E676" s="31"/>
      <c r="F676" s="31"/>
      <c r="G676" s="31"/>
      <c r="L676" s="31"/>
      <c r="M676" s="31"/>
      <c r="N676" s="31"/>
    </row>
    <row r="677" spans="2:14" ht="12.75">
      <c r="B677" s="31"/>
      <c r="C677" s="31"/>
      <c r="D677" s="31"/>
      <c r="E677" s="31"/>
      <c r="F677" s="31"/>
      <c r="G677" s="31"/>
      <c r="L677" s="31"/>
      <c r="M677" s="31"/>
      <c r="N677" s="31"/>
    </row>
    <row r="678" spans="2:14" ht="12.75">
      <c r="B678" s="31"/>
      <c r="C678" s="31"/>
      <c r="D678" s="31"/>
      <c r="E678" s="31"/>
      <c r="F678" s="31"/>
      <c r="G678" s="31"/>
      <c r="L678" s="31"/>
      <c r="M678" s="31"/>
      <c r="N678" s="31"/>
    </row>
    <row r="679" spans="2:14" ht="12.75">
      <c r="B679" s="31"/>
      <c r="C679" s="31"/>
      <c r="D679" s="31"/>
      <c r="E679" s="31"/>
      <c r="F679" s="31"/>
      <c r="G679" s="31"/>
      <c r="L679" s="31"/>
      <c r="M679" s="31"/>
      <c r="N679" s="31"/>
    </row>
    <row r="680" spans="2:14" ht="12.75">
      <c r="B680" s="31"/>
      <c r="C680" s="31"/>
      <c r="D680" s="31"/>
      <c r="E680" s="31"/>
      <c r="F680" s="31"/>
      <c r="G680" s="31"/>
      <c r="L680" s="31"/>
      <c r="M680" s="31"/>
      <c r="N680" s="31"/>
    </row>
    <row r="681" spans="2:14" ht="12.75">
      <c r="B681" s="31"/>
      <c r="C681" s="31"/>
      <c r="D681" s="31"/>
      <c r="E681" s="31"/>
      <c r="F681" s="31"/>
      <c r="G681" s="31"/>
      <c r="L681" s="31"/>
      <c r="M681" s="31"/>
      <c r="N681" s="31"/>
    </row>
    <row r="682" spans="2:14" ht="12.75">
      <c r="B682" s="31"/>
      <c r="C682" s="31"/>
      <c r="D682" s="31"/>
      <c r="E682" s="31"/>
      <c r="F682" s="31"/>
      <c r="G682" s="31"/>
      <c r="L682" s="31"/>
      <c r="M682" s="31"/>
      <c r="N682" s="31"/>
    </row>
    <row r="683" spans="2:14" ht="12.75">
      <c r="B683" s="31"/>
      <c r="C683" s="31"/>
      <c r="D683" s="31"/>
      <c r="E683" s="31"/>
      <c r="F683" s="31"/>
      <c r="G683" s="31"/>
      <c r="L683" s="31"/>
      <c r="M683" s="31"/>
      <c r="N683" s="31"/>
    </row>
    <row r="684" spans="2:14" ht="12.75">
      <c r="B684" s="31"/>
      <c r="C684" s="31"/>
      <c r="D684" s="31"/>
      <c r="E684" s="31"/>
      <c r="F684" s="31"/>
      <c r="G684" s="31"/>
      <c r="L684" s="31"/>
      <c r="M684" s="31"/>
      <c r="N684" s="31"/>
    </row>
    <row r="685" spans="2:14" ht="12.75">
      <c r="B685" s="31"/>
      <c r="C685" s="31"/>
      <c r="D685" s="31"/>
      <c r="E685" s="31"/>
      <c r="F685" s="31"/>
      <c r="G685" s="31"/>
      <c r="L685" s="31"/>
      <c r="M685" s="31"/>
      <c r="N685" s="31"/>
    </row>
    <row r="686" spans="2:14" ht="12.75">
      <c r="B686" s="31"/>
      <c r="C686" s="31"/>
      <c r="D686" s="31"/>
      <c r="E686" s="31"/>
      <c r="F686" s="31"/>
      <c r="G686" s="31"/>
      <c r="L686" s="31"/>
      <c r="M686" s="31"/>
      <c r="N686" s="31"/>
    </row>
    <row r="687" spans="2:14" ht="12.75">
      <c r="B687" s="31"/>
      <c r="C687" s="31"/>
      <c r="D687" s="31"/>
      <c r="E687" s="31"/>
      <c r="F687" s="31"/>
      <c r="G687" s="31"/>
      <c r="L687" s="31"/>
      <c r="M687" s="31"/>
      <c r="N687" s="31"/>
    </row>
    <row r="688" spans="2:14" ht="12.75">
      <c r="B688" s="31"/>
      <c r="C688" s="31"/>
      <c r="D688" s="31"/>
      <c r="E688" s="31"/>
      <c r="F688" s="31"/>
      <c r="G688" s="31"/>
      <c r="L688" s="31"/>
      <c r="M688" s="31"/>
      <c r="N688" s="31"/>
    </row>
    <row r="689" spans="2:14" ht="12.75">
      <c r="B689" s="31"/>
      <c r="C689" s="31"/>
      <c r="D689" s="31"/>
      <c r="E689" s="31"/>
      <c r="F689" s="31"/>
      <c r="G689" s="31"/>
      <c r="L689" s="31"/>
      <c r="M689" s="31"/>
      <c r="N689" s="31"/>
    </row>
    <row r="690" spans="2:14" ht="12.75">
      <c r="B690" s="31"/>
      <c r="C690" s="31"/>
      <c r="D690" s="31"/>
      <c r="E690" s="31"/>
      <c r="F690" s="31"/>
      <c r="G690" s="31"/>
      <c r="L690" s="31"/>
      <c r="M690" s="31"/>
      <c r="N690" s="31"/>
    </row>
    <row r="691" spans="2:14" ht="12.75">
      <c r="B691" s="31"/>
      <c r="C691" s="31"/>
      <c r="D691" s="31"/>
      <c r="E691" s="31"/>
      <c r="F691" s="31"/>
      <c r="G691" s="31"/>
      <c r="L691" s="31"/>
      <c r="M691" s="31"/>
      <c r="N691" s="31"/>
    </row>
    <row r="692" spans="2:14" ht="12.75">
      <c r="B692" s="31"/>
      <c r="C692" s="31"/>
      <c r="D692" s="31"/>
      <c r="E692" s="31"/>
      <c r="F692" s="31"/>
      <c r="G692" s="31"/>
      <c r="L692" s="31"/>
      <c r="M692" s="31"/>
      <c r="N692" s="31"/>
    </row>
    <row r="693" spans="2:14" ht="12.75">
      <c r="B693" s="31"/>
      <c r="C693" s="31"/>
      <c r="D693" s="31"/>
      <c r="E693" s="31"/>
      <c r="F693" s="31"/>
      <c r="G693" s="31"/>
      <c r="L693" s="31"/>
      <c r="M693" s="31"/>
      <c r="N693" s="31"/>
    </row>
    <row r="694" spans="2:14" ht="12.75">
      <c r="B694" s="31"/>
      <c r="C694" s="31"/>
      <c r="D694" s="31"/>
      <c r="E694" s="31"/>
      <c r="F694" s="31"/>
      <c r="G694" s="31"/>
      <c r="L694" s="31"/>
      <c r="M694" s="31"/>
      <c r="N694" s="31"/>
    </row>
    <row r="695" spans="2:14" ht="12.75">
      <c r="B695" s="31"/>
      <c r="C695" s="31"/>
      <c r="D695" s="31"/>
      <c r="E695" s="31"/>
      <c r="F695" s="31"/>
      <c r="G695" s="31"/>
      <c r="L695" s="31"/>
      <c r="M695" s="31"/>
      <c r="N695" s="31"/>
    </row>
    <row r="696" spans="2:14" ht="12.75">
      <c r="B696" s="31"/>
      <c r="C696" s="31"/>
      <c r="D696" s="31"/>
      <c r="E696" s="31"/>
      <c r="F696" s="31"/>
      <c r="G696" s="31"/>
      <c r="L696" s="31"/>
      <c r="M696" s="31"/>
      <c r="N696" s="31"/>
    </row>
    <row r="697" spans="2:14" ht="12.75">
      <c r="B697" s="31"/>
      <c r="C697" s="31"/>
      <c r="D697" s="31"/>
      <c r="E697" s="31"/>
      <c r="F697" s="31"/>
      <c r="G697" s="31"/>
      <c r="L697" s="31"/>
      <c r="M697" s="31"/>
      <c r="N697" s="31"/>
    </row>
    <row r="698" spans="2:14" ht="12.75">
      <c r="B698" s="31"/>
      <c r="C698" s="31"/>
      <c r="D698" s="31"/>
      <c r="E698" s="31"/>
      <c r="F698" s="31"/>
      <c r="G698" s="31"/>
      <c r="L698" s="31"/>
      <c r="M698" s="31"/>
      <c r="N698" s="31"/>
    </row>
    <row r="699" spans="2:14" ht="12.75">
      <c r="B699" s="31"/>
      <c r="C699" s="31"/>
      <c r="D699" s="31"/>
      <c r="E699" s="31"/>
      <c r="F699" s="31"/>
      <c r="G699" s="31"/>
      <c r="L699" s="31"/>
      <c r="M699" s="31"/>
      <c r="N699" s="31"/>
    </row>
    <row r="700" spans="2:14" ht="12.75">
      <c r="B700" s="31"/>
      <c r="C700" s="31"/>
      <c r="D700" s="31"/>
      <c r="E700" s="31"/>
      <c r="F700" s="31"/>
      <c r="G700" s="31"/>
      <c r="L700" s="31"/>
      <c r="M700" s="31"/>
      <c r="N700" s="31"/>
    </row>
    <row r="701" spans="2:14" ht="12.75">
      <c r="B701" s="31"/>
      <c r="C701" s="31"/>
      <c r="D701" s="31"/>
      <c r="E701" s="31"/>
      <c r="F701" s="31"/>
      <c r="G701" s="31"/>
      <c r="L701" s="31"/>
      <c r="M701" s="31"/>
      <c r="N701" s="31"/>
    </row>
    <row r="702" spans="2:14" ht="12.75">
      <c r="B702" s="31"/>
      <c r="C702" s="31"/>
      <c r="D702" s="31"/>
      <c r="E702" s="31"/>
      <c r="F702" s="31"/>
      <c r="G702" s="31"/>
      <c r="L702" s="31"/>
      <c r="M702" s="31"/>
      <c r="N702" s="31"/>
    </row>
    <row r="703" spans="2:14" ht="12.75">
      <c r="B703" s="31"/>
      <c r="C703" s="31"/>
      <c r="D703" s="31"/>
      <c r="E703" s="31"/>
      <c r="F703" s="31"/>
      <c r="G703" s="31"/>
      <c r="L703" s="31"/>
      <c r="M703" s="31"/>
      <c r="N703" s="31"/>
    </row>
    <row r="704" spans="2:14" ht="12.75">
      <c r="B704" s="31"/>
      <c r="C704" s="31"/>
      <c r="D704" s="31"/>
      <c r="E704" s="31"/>
      <c r="F704" s="31"/>
      <c r="G704" s="31"/>
      <c r="L704" s="31"/>
      <c r="M704" s="31"/>
      <c r="N704" s="31"/>
    </row>
    <row r="705" spans="2:14" ht="12.75">
      <c r="B705" s="31"/>
      <c r="C705" s="31"/>
      <c r="D705" s="31"/>
      <c r="E705" s="31"/>
      <c r="F705" s="31"/>
      <c r="G705" s="31"/>
      <c r="L705" s="31"/>
      <c r="M705" s="31"/>
      <c r="N705" s="31"/>
    </row>
    <row r="706" spans="2:14" ht="12.75">
      <c r="B706" s="31"/>
      <c r="C706" s="31"/>
      <c r="D706" s="31"/>
      <c r="E706" s="31"/>
      <c r="F706" s="31"/>
      <c r="G706" s="31"/>
      <c r="L706" s="31"/>
      <c r="M706" s="31"/>
      <c r="N706" s="31"/>
    </row>
    <row r="707" spans="2:14" ht="12.75">
      <c r="B707" s="31"/>
      <c r="C707" s="31"/>
      <c r="D707" s="31"/>
      <c r="E707" s="31"/>
      <c r="F707" s="31"/>
      <c r="G707" s="31"/>
      <c r="L707" s="31"/>
      <c r="M707" s="31"/>
      <c r="N707" s="31"/>
    </row>
    <row r="708" spans="2:14" ht="12.75">
      <c r="B708" s="31"/>
      <c r="C708" s="31"/>
      <c r="D708" s="31"/>
      <c r="E708" s="31"/>
      <c r="F708" s="31"/>
      <c r="G708" s="31"/>
      <c r="L708" s="31"/>
      <c r="M708" s="31"/>
      <c r="N708" s="31"/>
    </row>
    <row r="709" spans="2:14" ht="12.75">
      <c r="B709" s="31"/>
      <c r="C709" s="31"/>
      <c r="D709" s="31"/>
      <c r="E709" s="31"/>
      <c r="F709" s="31"/>
      <c r="G709" s="31"/>
      <c r="L709" s="31"/>
      <c r="M709" s="31"/>
      <c r="N709" s="31"/>
    </row>
    <row r="710" spans="2:14" ht="12.75">
      <c r="B710" s="31"/>
      <c r="C710" s="31"/>
      <c r="D710" s="31"/>
      <c r="E710" s="31"/>
      <c r="F710" s="31"/>
      <c r="G710" s="31"/>
      <c r="L710" s="31"/>
      <c r="M710" s="31"/>
      <c r="N710" s="31"/>
    </row>
    <row r="711" spans="2:14" ht="12.75">
      <c r="B711" s="31"/>
      <c r="C711" s="31"/>
      <c r="D711" s="31"/>
      <c r="E711" s="31"/>
      <c r="F711" s="31"/>
      <c r="G711" s="31"/>
      <c r="L711" s="31"/>
      <c r="M711" s="31"/>
      <c r="N711" s="31"/>
    </row>
    <row r="712" spans="2:14" ht="12.75">
      <c r="B712" s="31"/>
      <c r="C712" s="31"/>
      <c r="D712" s="31"/>
      <c r="E712" s="31"/>
      <c r="F712" s="31"/>
      <c r="G712" s="31"/>
      <c r="L712" s="31"/>
      <c r="M712" s="31"/>
      <c r="N712" s="31"/>
    </row>
    <row r="713" spans="2:14" ht="12.75">
      <c r="B713" s="31"/>
      <c r="C713" s="31"/>
      <c r="D713" s="31"/>
      <c r="E713" s="31"/>
      <c r="F713" s="31"/>
      <c r="G713" s="31"/>
      <c r="L713" s="31"/>
      <c r="M713" s="31"/>
      <c r="N713" s="31"/>
    </row>
    <row r="714" spans="2:14" ht="12.75">
      <c r="B714" s="31"/>
      <c r="C714" s="31"/>
      <c r="D714" s="31"/>
      <c r="E714" s="31"/>
      <c r="F714" s="31"/>
      <c r="G714" s="31"/>
      <c r="L714" s="31"/>
      <c r="M714" s="31"/>
      <c r="N714" s="31"/>
    </row>
    <row r="715" spans="2:14" ht="12.75">
      <c r="B715" s="31"/>
      <c r="C715" s="31"/>
      <c r="D715" s="31"/>
      <c r="E715" s="31"/>
      <c r="F715" s="31"/>
      <c r="G715" s="31"/>
      <c r="L715" s="31"/>
      <c r="M715" s="31"/>
      <c r="N715" s="31"/>
    </row>
    <row r="716" spans="2:14" ht="12.75">
      <c r="B716" s="31"/>
      <c r="C716" s="31"/>
      <c r="D716" s="31"/>
      <c r="E716" s="31"/>
      <c r="F716" s="31"/>
      <c r="G716" s="31"/>
      <c r="L716" s="31"/>
      <c r="M716" s="31"/>
      <c r="N716" s="31"/>
    </row>
    <row r="717" spans="2:14" ht="12.75">
      <c r="B717" s="31"/>
      <c r="C717" s="31"/>
      <c r="D717" s="31"/>
      <c r="E717" s="31"/>
      <c r="F717" s="31"/>
      <c r="G717" s="31"/>
      <c r="L717" s="31"/>
      <c r="M717" s="31"/>
      <c r="N717" s="31"/>
    </row>
    <row r="718" spans="2:14" ht="12.75">
      <c r="B718" s="31"/>
      <c r="C718" s="31"/>
      <c r="D718" s="31"/>
      <c r="E718" s="31"/>
      <c r="F718" s="31"/>
      <c r="G718" s="31"/>
      <c r="L718" s="31"/>
      <c r="M718" s="31"/>
      <c r="N718" s="31"/>
    </row>
    <row r="719" spans="2:14" ht="12.75">
      <c r="B719" s="31"/>
      <c r="C719" s="31"/>
      <c r="D719" s="31"/>
      <c r="E719" s="31"/>
      <c r="F719" s="31"/>
      <c r="G719" s="31"/>
      <c r="L719" s="31"/>
      <c r="M719" s="31"/>
      <c r="N719" s="31"/>
    </row>
    <row r="720" spans="2:14" ht="12.75">
      <c r="B720" s="31"/>
      <c r="C720" s="31"/>
      <c r="D720" s="31"/>
      <c r="E720" s="31"/>
      <c r="F720" s="31"/>
      <c r="G720" s="31"/>
      <c r="L720" s="31"/>
      <c r="M720" s="31"/>
      <c r="N720" s="31"/>
    </row>
    <row r="721" spans="2:14" ht="12.75">
      <c r="B721" s="31"/>
      <c r="C721" s="31"/>
      <c r="D721" s="31"/>
      <c r="E721" s="31"/>
      <c r="F721" s="31"/>
      <c r="G721" s="31"/>
      <c r="L721" s="31"/>
      <c r="M721" s="31"/>
      <c r="N721" s="31"/>
    </row>
    <row r="722" spans="2:14" ht="12.75">
      <c r="B722" s="31"/>
      <c r="C722" s="31"/>
      <c r="D722" s="31"/>
      <c r="E722" s="31"/>
      <c r="F722" s="31"/>
      <c r="G722" s="31"/>
      <c r="L722" s="31"/>
      <c r="M722" s="31"/>
      <c r="N722" s="31"/>
    </row>
    <row r="723" spans="2:14" ht="12.75">
      <c r="B723" s="31"/>
      <c r="C723" s="31"/>
      <c r="D723" s="31"/>
      <c r="E723" s="31"/>
      <c r="F723" s="31"/>
      <c r="G723" s="31"/>
      <c r="L723" s="31"/>
      <c r="M723" s="31"/>
      <c r="N723" s="31"/>
    </row>
    <row r="724" spans="2:14" ht="12.75">
      <c r="B724" s="31"/>
      <c r="C724" s="31"/>
      <c r="D724" s="31"/>
      <c r="E724" s="31"/>
      <c r="F724" s="31"/>
      <c r="G724" s="31"/>
      <c r="L724" s="31"/>
      <c r="M724" s="31"/>
      <c r="N724" s="31"/>
    </row>
    <row r="725" spans="2:14" ht="12.75">
      <c r="B725" s="31"/>
      <c r="C725" s="31"/>
      <c r="D725" s="31"/>
      <c r="E725" s="31"/>
      <c r="F725" s="31"/>
      <c r="G725" s="31"/>
      <c r="L725" s="31"/>
      <c r="M725" s="31"/>
      <c r="N725" s="31"/>
    </row>
    <row r="726" spans="2:14" ht="12.75">
      <c r="B726" s="31"/>
      <c r="C726" s="31"/>
      <c r="D726" s="31"/>
      <c r="E726" s="31"/>
      <c r="F726" s="31"/>
      <c r="G726" s="31"/>
      <c r="L726" s="31"/>
      <c r="M726" s="31"/>
      <c r="N726" s="31"/>
    </row>
    <row r="727" spans="2:14" ht="12.75">
      <c r="B727" s="31"/>
      <c r="C727" s="31"/>
      <c r="D727" s="31"/>
      <c r="E727" s="31"/>
      <c r="F727" s="31"/>
      <c r="G727" s="31"/>
      <c r="L727" s="31"/>
      <c r="M727" s="31"/>
      <c r="N727" s="31"/>
    </row>
    <row r="728" spans="2:14" ht="12.75">
      <c r="B728" s="31"/>
      <c r="C728" s="31"/>
      <c r="D728" s="31"/>
      <c r="E728" s="31"/>
      <c r="F728" s="31"/>
      <c r="G728" s="31"/>
      <c r="L728" s="31"/>
      <c r="M728" s="31"/>
      <c r="N728" s="31"/>
    </row>
    <row r="729" spans="2:14" ht="12.75">
      <c r="B729" s="31"/>
      <c r="C729" s="31"/>
      <c r="D729" s="31"/>
      <c r="E729" s="31"/>
      <c r="F729" s="31"/>
      <c r="G729" s="31"/>
      <c r="L729" s="31"/>
      <c r="M729" s="31"/>
      <c r="N729" s="31"/>
    </row>
    <row r="730" spans="2:14" ht="12.75">
      <c r="B730" s="31"/>
      <c r="C730" s="31"/>
      <c r="D730" s="31"/>
      <c r="E730" s="31"/>
      <c r="F730" s="31"/>
      <c r="G730" s="31"/>
      <c r="L730" s="31"/>
      <c r="M730" s="31"/>
      <c r="N730" s="31"/>
    </row>
    <row r="731" spans="2:14" ht="12.75">
      <c r="B731" s="31"/>
      <c r="C731" s="31"/>
      <c r="D731" s="31"/>
      <c r="E731" s="31"/>
      <c r="F731" s="31"/>
      <c r="G731" s="31"/>
      <c r="L731" s="31"/>
      <c r="M731" s="31"/>
      <c r="N731" s="31"/>
    </row>
    <row r="732" spans="2:14" ht="12.75">
      <c r="B732" s="31"/>
      <c r="C732" s="31"/>
      <c r="D732" s="31"/>
      <c r="E732" s="31"/>
      <c r="F732" s="31"/>
      <c r="G732" s="31"/>
      <c r="L732" s="31"/>
      <c r="M732" s="31"/>
      <c r="N732" s="31"/>
    </row>
    <row r="733" spans="2:14" ht="12.75">
      <c r="B733" s="31"/>
      <c r="C733" s="31"/>
      <c r="D733" s="31"/>
      <c r="E733" s="31"/>
      <c r="F733" s="31"/>
      <c r="G733" s="31"/>
      <c r="L733" s="31"/>
      <c r="M733" s="31"/>
      <c r="N733" s="31"/>
    </row>
    <row r="734" spans="2:14" ht="12.75">
      <c r="B734" s="31"/>
      <c r="C734" s="31"/>
      <c r="D734" s="31"/>
      <c r="E734" s="31"/>
      <c r="F734" s="31"/>
      <c r="G734" s="31"/>
      <c r="L734" s="31"/>
      <c r="M734" s="31"/>
      <c r="N734" s="31"/>
    </row>
    <row r="735" spans="2:14" ht="12.75">
      <c r="B735" s="31"/>
      <c r="C735" s="31"/>
      <c r="D735" s="31"/>
      <c r="E735" s="31"/>
      <c r="F735" s="31"/>
      <c r="G735" s="31"/>
      <c r="L735" s="31"/>
      <c r="M735" s="31"/>
      <c r="N735" s="31"/>
    </row>
    <row r="736" spans="2:14" ht="12.75">
      <c r="B736" s="31"/>
      <c r="C736" s="31"/>
      <c r="D736" s="31"/>
      <c r="E736" s="31"/>
      <c r="F736" s="31"/>
      <c r="G736" s="31"/>
      <c r="L736" s="31"/>
      <c r="M736" s="31"/>
      <c r="N736" s="31"/>
    </row>
    <row r="737" spans="2:14" ht="12.75">
      <c r="B737" s="31"/>
      <c r="C737" s="31"/>
      <c r="D737" s="31"/>
      <c r="E737" s="31"/>
      <c r="F737" s="31"/>
      <c r="G737" s="31"/>
      <c r="L737" s="31"/>
      <c r="M737" s="31"/>
      <c r="N737" s="31"/>
    </row>
    <row r="738" spans="2:14" ht="12.75">
      <c r="B738" s="31"/>
      <c r="C738" s="31"/>
      <c r="D738" s="31"/>
      <c r="E738" s="31"/>
      <c r="F738" s="31"/>
      <c r="G738" s="31"/>
      <c r="L738" s="31"/>
      <c r="M738" s="31"/>
      <c r="N738" s="31"/>
    </row>
    <row r="739" spans="2:14" ht="12.75">
      <c r="B739" s="31"/>
      <c r="C739" s="31"/>
      <c r="D739" s="31"/>
      <c r="E739" s="31"/>
      <c r="F739" s="31"/>
      <c r="G739" s="31"/>
      <c r="L739" s="31"/>
      <c r="M739" s="31"/>
      <c r="N739" s="31"/>
    </row>
    <row r="740" spans="2:14" ht="12.75">
      <c r="B740" s="31"/>
      <c r="C740" s="31"/>
      <c r="D740" s="31"/>
      <c r="E740" s="31"/>
      <c r="F740" s="31"/>
      <c r="G740" s="31"/>
      <c r="L740" s="31"/>
      <c r="M740" s="31"/>
      <c r="N740" s="31"/>
    </row>
    <row r="741" spans="2:14" ht="12.75">
      <c r="B741" s="31"/>
      <c r="C741" s="31"/>
      <c r="D741" s="31"/>
      <c r="E741" s="31"/>
      <c r="F741" s="31"/>
      <c r="G741" s="31"/>
      <c r="L741" s="31"/>
      <c r="M741" s="31"/>
      <c r="N741" s="31"/>
    </row>
    <row r="742" spans="2:14" ht="12.75">
      <c r="B742" s="31"/>
      <c r="C742" s="31"/>
      <c r="D742" s="31"/>
      <c r="E742" s="31"/>
      <c r="F742" s="31"/>
      <c r="G742" s="31"/>
      <c r="L742" s="31"/>
      <c r="M742" s="31"/>
      <c r="N742" s="31"/>
    </row>
    <row r="743" spans="2:14" ht="12.75">
      <c r="B743" s="31"/>
      <c r="C743" s="31"/>
      <c r="D743" s="31"/>
      <c r="E743" s="31"/>
      <c r="F743" s="31"/>
      <c r="G743" s="31"/>
      <c r="L743" s="31"/>
      <c r="M743" s="31"/>
      <c r="N743" s="31"/>
    </row>
    <row r="744" spans="2:14" ht="12.75">
      <c r="B744" s="31"/>
      <c r="C744" s="31"/>
      <c r="D744" s="31"/>
      <c r="E744" s="31"/>
      <c r="F744" s="31"/>
      <c r="G744" s="31"/>
      <c r="L744" s="31"/>
      <c r="M744" s="31"/>
      <c r="N744" s="31"/>
    </row>
    <row r="745" spans="2:14" ht="12.75">
      <c r="B745" s="31"/>
      <c r="C745" s="31"/>
      <c r="D745" s="31"/>
      <c r="E745" s="31"/>
      <c r="F745" s="31"/>
      <c r="G745" s="31"/>
      <c r="L745" s="31"/>
      <c r="M745" s="31"/>
      <c r="N745" s="31"/>
    </row>
    <row r="746" spans="2:14" ht="12.75">
      <c r="B746" s="31"/>
      <c r="C746" s="31"/>
      <c r="D746" s="31"/>
      <c r="E746" s="31"/>
      <c r="F746" s="31"/>
      <c r="G746" s="31"/>
      <c r="L746" s="31"/>
      <c r="M746" s="31"/>
      <c r="N746" s="31"/>
    </row>
    <row r="747" spans="2:14" ht="12.75">
      <c r="B747" s="31"/>
      <c r="C747" s="31"/>
      <c r="D747" s="31"/>
      <c r="E747" s="31"/>
      <c r="F747" s="31"/>
      <c r="G747" s="31"/>
      <c r="L747" s="31"/>
      <c r="M747" s="31"/>
      <c r="N747" s="31"/>
    </row>
    <row r="748" spans="2:14" ht="12.75">
      <c r="B748" s="31"/>
      <c r="C748" s="31"/>
      <c r="D748" s="31"/>
      <c r="E748" s="31"/>
      <c r="F748" s="31"/>
      <c r="G748" s="31"/>
      <c r="L748" s="31"/>
      <c r="M748" s="31"/>
      <c r="N748" s="31"/>
    </row>
    <row r="749" spans="2:14" ht="12.75">
      <c r="B749" s="31"/>
      <c r="C749" s="31"/>
      <c r="D749" s="31"/>
      <c r="E749" s="31"/>
      <c r="F749" s="31"/>
      <c r="G749" s="31"/>
      <c r="L749" s="31"/>
      <c r="M749" s="31"/>
      <c r="N749" s="31"/>
    </row>
    <row r="750" spans="2:14" ht="12.75">
      <c r="B750" s="31"/>
      <c r="C750" s="31"/>
      <c r="D750" s="31"/>
      <c r="E750" s="31"/>
      <c r="F750" s="31"/>
      <c r="G750" s="31"/>
      <c r="L750" s="31"/>
      <c r="M750" s="31"/>
      <c r="N750" s="31"/>
    </row>
    <row r="751" spans="2:14" ht="12.75">
      <c r="B751" s="31"/>
      <c r="C751" s="31"/>
      <c r="D751" s="31"/>
      <c r="E751" s="31"/>
      <c r="F751" s="31"/>
      <c r="G751" s="31"/>
      <c r="L751" s="31"/>
      <c r="M751" s="31"/>
      <c r="N751" s="31"/>
    </row>
    <row r="752" spans="2:14" ht="12.75">
      <c r="B752" s="31"/>
      <c r="C752" s="31"/>
      <c r="D752" s="31"/>
      <c r="E752" s="31"/>
      <c r="F752" s="31"/>
      <c r="G752" s="31"/>
      <c r="L752" s="31"/>
      <c r="M752" s="31"/>
      <c r="N752" s="31"/>
    </row>
    <row r="753" spans="2:14" ht="12.75">
      <c r="B753" s="31"/>
      <c r="C753" s="31"/>
      <c r="D753" s="31"/>
      <c r="E753" s="31"/>
      <c r="F753" s="31"/>
      <c r="G753" s="31"/>
      <c r="L753" s="31"/>
      <c r="M753" s="31"/>
      <c r="N753" s="31"/>
    </row>
    <row r="754" spans="2:14" ht="12.75">
      <c r="B754" s="31"/>
      <c r="C754" s="31"/>
      <c r="D754" s="31"/>
      <c r="E754" s="31"/>
      <c r="F754" s="31"/>
      <c r="G754" s="31"/>
      <c r="L754" s="31"/>
      <c r="M754" s="31"/>
      <c r="N754" s="31"/>
    </row>
    <row r="755" spans="2:14" ht="12.75">
      <c r="B755" s="31"/>
      <c r="C755" s="31"/>
      <c r="D755" s="31"/>
      <c r="E755" s="31"/>
      <c r="F755" s="31"/>
      <c r="G755" s="31"/>
      <c r="L755" s="31"/>
      <c r="M755" s="31"/>
      <c r="N755" s="31"/>
    </row>
    <row r="756" spans="2:14" ht="12.75">
      <c r="B756" s="31"/>
      <c r="C756" s="31"/>
      <c r="D756" s="31"/>
      <c r="E756" s="31"/>
      <c r="F756" s="31"/>
      <c r="G756" s="31"/>
      <c r="L756" s="31"/>
      <c r="M756" s="31"/>
      <c r="N756" s="31"/>
    </row>
    <row r="757" spans="2:14" ht="12.75">
      <c r="B757" s="31"/>
      <c r="C757" s="31"/>
      <c r="D757" s="31"/>
      <c r="E757" s="31"/>
      <c r="F757" s="31"/>
      <c r="G757" s="31"/>
      <c r="L757" s="31"/>
      <c r="M757" s="31"/>
      <c r="N757" s="31"/>
    </row>
    <row r="758" spans="2:14" ht="12.75">
      <c r="B758" s="31"/>
      <c r="C758" s="31"/>
      <c r="D758" s="31"/>
      <c r="E758" s="31"/>
      <c r="F758" s="31"/>
      <c r="G758" s="31"/>
      <c r="L758" s="31"/>
      <c r="M758" s="31"/>
      <c r="N758" s="31"/>
    </row>
    <row r="759" spans="2:14" ht="12.75">
      <c r="B759" s="31"/>
      <c r="C759" s="31"/>
      <c r="D759" s="31"/>
      <c r="E759" s="31"/>
      <c r="F759" s="31"/>
      <c r="G759" s="31"/>
      <c r="L759" s="31"/>
      <c r="M759" s="31"/>
      <c r="N759" s="31"/>
    </row>
    <row r="760" spans="2:14" ht="12.75">
      <c r="B760" s="31"/>
      <c r="C760" s="31"/>
      <c r="D760" s="31"/>
      <c r="E760" s="31"/>
      <c r="F760" s="31"/>
      <c r="G760" s="31"/>
      <c r="L760" s="31"/>
      <c r="M760" s="31"/>
      <c r="N760" s="31"/>
    </row>
    <row r="761" spans="2:14" ht="12.75">
      <c r="B761" s="31"/>
      <c r="C761" s="31"/>
      <c r="D761" s="31"/>
      <c r="E761" s="31"/>
      <c r="F761" s="31"/>
      <c r="G761" s="31"/>
      <c r="L761" s="31"/>
      <c r="M761" s="31"/>
      <c r="N761" s="31"/>
    </row>
    <row r="762" spans="2:14" ht="12.75">
      <c r="B762" s="31"/>
      <c r="C762" s="31"/>
      <c r="D762" s="31"/>
      <c r="E762" s="31"/>
      <c r="F762" s="31"/>
      <c r="G762" s="31"/>
      <c r="L762" s="31"/>
      <c r="M762" s="31"/>
      <c r="N762" s="31"/>
    </row>
    <row r="763" spans="2:14" ht="12.75">
      <c r="B763" s="31"/>
      <c r="C763" s="31"/>
      <c r="D763" s="31"/>
      <c r="E763" s="31"/>
      <c r="F763" s="31"/>
      <c r="G763" s="31"/>
      <c r="L763" s="31"/>
      <c r="M763" s="31"/>
      <c r="N763" s="31"/>
    </row>
    <row r="764" spans="2:14" ht="12.75">
      <c r="B764" s="31"/>
      <c r="C764" s="31"/>
      <c r="D764" s="31"/>
      <c r="E764" s="31"/>
      <c r="F764" s="31"/>
      <c r="G764" s="31"/>
      <c r="L764" s="31"/>
      <c r="M764" s="31"/>
      <c r="N764" s="31"/>
    </row>
    <row r="765" spans="2:14" ht="12.75">
      <c r="B765" s="31"/>
      <c r="C765" s="31"/>
      <c r="D765" s="31"/>
      <c r="E765" s="31"/>
      <c r="F765" s="31"/>
      <c r="G765" s="31"/>
      <c r="L765" s="31"/>
      <c r="M765" s="31"/>
      <c r="N765" s="31"/>
    </row>
    <row r="766" spans="2:14" ht="12.75">
      <c r="B766" s="31"/>
      <c r="C766" s="31"/>
      <c r="D766" s="31"/>
      <c r="E766" s="31"/>
      <c r="F766" s="31"/>
      <c r="G766" s="31"/>
      <c r="L766" s="31"/>
      <c r="M766" s="31"/>
      <c r="N766" s="31"/>
    </row>
    <row r="767" spans="2:14" ht="12.75">
      <c r="B767" s="31"/>
      <c r="C767" s="31"/>
      <c r="D767" s="31"/>
      <c r="E767" s="31"/>
      <c r="F767" s="31"/>
      <c r="G767" s="31"/>
      <c r="L767" s="31"/>
      <c r="M767" s="31"/>
      <c r="N767" s="31"/>
    </row>
    <row r="768" spans="2:14" ht="12.75">
      <c r="B768" s="31"/>
      <c r="C768" s="31"/>
      <c r="D768" s="31"/>
      <c r="E768" s="31"/>
      <c r="F768" s="31"/>
      <c r="G768" s="31"/>
      <c r="L768" s="31"/>
      <c r="M768" s="31"/>
      <c r="N768" s="31"/>
    </row>
    <row r="769" spans="2:14" ht="12.75">
      <c r="B769" s="31"/>
      <c r="C769" s="31"/>
      <c r="D769" s="31"/>
      <c r="E769" s="31"/>
      <c r="F769" s="31"/>
      <c r="G769" s="31"/>
      <c r="L769" s="31"/>
      <c r="M769" s="31"/>
      <c r="N769" s="31"/>
    </row>
    <row r="770" spans="2:14" ht="12.75">
      <c r="B770" s="31"/>
      <c r="C770" s="31"/>
      <c r="D770" s="31"/>
      <c r="E770" s="31"/>
      <c r="F770" s="31"/>
      <c r="G770" s="31"/>
      <c r="L770" s="31"/>
      <c r="M770" s="31"/>
      <c r="N770" s="31"/>
    </row>
    <row r="771" spans="2:14" ht="12.75">
      <c r="B771" s="31"/>
      <c r="C771" s="31"/>
      <c r="D771" s="31"/>
      <c r="E771" s="31"/>
      <c r="F771" s="31"/>
      <c r="G771" s="31"/>
      <c r="L771" s="31"/>
      <c r="M771" s="31"/>
      <c r="N771" s="31"/>
    </row>
    <row r="772" spans="2:14" ht="12.75">
      <c r="B772" s="31"/>
      <c r="C772" s="31"/>
      <c r="D772" s="31"/>
      <c r="E772" s="31"/>
      <c r="F772" s="31"/>
      <c r="G772" s="31"/>
      <c r="L772" s="31"/>
      <c r="M772" s="31"/>
      <c r="N772" s="31"/>
    </row>
    <row r="773" spans="2:14" ht="12.75">
      <c r="B773" s="31"/>
      <c r="C773" s="31"/>
      <c r="D773" s="31"/>
      <c r="E773" s="31"/>
      <c r="F773" s="31"/>
      <c r="G773" s="31"/>
      <c r="L773" s="31"/>
      <c r="M773" s="31"/>
      <c r="N773" s="31"/>
    </row>
    <row r="774" spans="2:14" ht="12.75">
      <c r="B774" s="31"/>
      <c r="C774" s="31"/>
      <c r="D774" s="31"/>
      <c r="E774" s="31"/>
      <c r="F774" s="31"/>
      <c r="G774" s="31"/>
      <c r="L774" s="31"/>
      <c r="M774" s="31"/>
      <c r="N774" s="31"/>
    </row>
    <row r="775" spans="2:14" ht="12.75">
      <c r="B775" s="31"/>
      <c r="C775" s="31"/>
      <c r="D775" s="31"/>
      <c r="E775" s="31"/>
      <c r="F775" s="31"/>
      <c r="G775" s="31"/>
      <c r="L775" s="31"/>
      <c r="M775" s="31"/>
      <c r="N775" s="31"/>
    </row>
    <row r="776" spans="2:14" ht="12.75">
      <c r="B776" s="31"/>
      <c r="C776" s="31"/>
      <c r="D776" s="31"/>
      <c r="E776" s="31"/>
      <c r="F776" s="31"/>
      <c r="G776" s="31"/>
      <c r="L776" s="31"/>
      <c r="M776" s="31"/>
      <c r="N776" s="31"/>
    </row>
    <row r="777" spans="2:14" ht="12.75">
      <c r="B777" s="31"/>
      <c r="C777" s="31"/>
      <c r="D777" s="31"/>
      <c r="E777" s="31"/>
      <c r="F777" s="31"/>
      <c r="G777" s="31"/>
      <c r="L777" s="31"/>
      <c r="M777" s="31"/>
      <c r="N777" s="31"/>
    </row>
    <row r="778" spans="2:14" ht="12.75">
      <c r="B778" s="31"/>
      <c r="C778" s="31"/>
      <c r="D778" s="31"/>
      <c r="E778" s="31"/>
      <c r="F778" s="31"/>
      <c r="G778" s="31"/>
      <c r="L778" s="31"/>
      <c r="M778" s="31"/>
      <c r="N778" s="31"/>
    </row>
    <row r="779" spans="2:14" ht="12.75">
      <c r="B779" s="31"/>
      <c r="C779" s="31"/>
      <c r="D779" s="31"/>
      <c r="E779" s="31"/>
      <c r="F779" s="31"/>
      <c r="G779" s="31"/>
      <c r="L779" s="31"/>
      <c r="M779" s="31"/>
      <c r="N779" s="31"/>
    </row>
    <row r="780" spans="2:14" ht="12.75">
      <c r="B780" s="31"/>
      <c r="C780" s="31"/>
      <c r="D780" s="31"/>
      <c r="E780" s="31"/>
      <c r="F780" s="31"/>
      <c r="G780" s="31"/>
      <c r="L780" s="31"/>
      <c r="M780" s="31"/>
      <c r="N780" s="31"/>
    </row>
    <row r="781" spans="2:14" ht="12.75">
      <c r="B781" s="31"/>
      <c r="C781" s="31"/>
      <c r="D781" s="31"/>
      <c r="E781" s="31"/>
      <c r="F781" s="31"/>
      <c r="G781" s="31"/>
      <c r="L781" s="31"/>
      <c r="M781" s="31"/>
      <c r="N781" s="31"/>
    </row>
    <row r="782" spans="2:14" ht="12.75">
      <c r="B782" s="31"/>
      <c r="C782" s="31"/>
      <c r="D782" s="31"/>
      <c r="E782" s="31"/>
      <c r="F782" s="31"/>
      <c r="G782" s="31"/>
      <c r="L782" s="31"/>
      <c r="M782" s="31"/>
      <c r="N782" s="31"/>
    </row>
    <row r="783" spans="2:14" ht="12.75">
      <c r="B783" s="31"/>
      <c r="C783" s="31"/>
      <c r="D783" s="31"/>
      <c r="E783" s="31"/>
      <c r="F783" s="31"/>
      <c r="G783" s="31"/>
      <c r="L783" s="31"/>
      <c r="M783" s="31"/>
      <c r="N783" s="31"/>
    </row>
    <row r="784" spans="2:14" ht="12.75">
      <c r="B784" s="31"/>
      <c r="C784" s="31"/>
      <c r="D784" s="31"/>
      <c r="E784" s="31"/>
      <c r="F784" s="31"/>
      <c r="G784" s="31"/>
      <c r="L784" s="31"/>
      <c r="M784" s="31"/>
      <c r="N784" s="31"/>
    </row>
    <row r="785" spans="2:14" ht="12.75">
      <c r="B785" s="31"/>
      <c r="C785" s="31"/>
      <c r="D785" s="31"/>
      <c r="E785" s="31"/>
      <c r="F785" s="31"/>
      <c r="G785" s="31"/>
      <c r="L785" s="31"/>
      <c r="M785" s="31"/>
      <c r="N785" s="31"/>
    </row>
    <row r="786" spans="2:14" ht="12.75">
      <c r="B786" s="31"/>
      <c r="C786" s="31"/>
      <c r="D786" s="31"/>
      <c r="E786" s="31"/>
      <c r="F786" s="31"/>
      <c r="G786" s="31"/>
      <c r="L786" s="31"/>
      <c r="M786" s="31"/>
      <c r="N786" s="31"/>
    </row>
    <row r="787" spans="2:14" ht="12.75">
      <c r="B787" s="31"/>
      <c r="C787" s="31"/>
      <c r="D787" s="31"/>
      <c r="E787" s="31"/>
      <c r="F787" s="31"/>
      <c r="G787" s="31"/>
      <c r="L787" s="31"/>
      <c r="M787" s="31"/>
      <c r="N787" s="31"/>
    </row>
    <row r="788" spans="2:14" ht="12.75">
      <c r="B788" s="31"/>
      <c r="C788" s="31"/>
      <c r="D788" s="31"/>
      <c r="E788" s="31"/>
      <c r="F788" s="31"/>
      <c r="G788" s="31"/>
      <c r="L788" s="31"/>
      <c r="M788" s="31"/>
      <c r="N788" s="31"/>
    </row>
    <row r="789" spans="2:14" ht="12.75">
      <c r="B789" s="31"/>
      <c r="C789" s="31"/>
      <c r="D789" s="31"/>
      <c r="E789" s="31"/>
      <c r="F789" s="31"/>
      <c r="G789" s="31"/>
      <c r="L789" s="31"/>
      <c r="M789" s="31"/>
      <c r="N789" s="31"/>
    </row>
    <row r="790" spans="2:14" ht="12.75">
      <c r="B790" s="31"/>
      <c r="C790" s="31"/>
      <c r="D790" s="31"/>
      <c r="E790" s="31"/>
      <c r="F790" s="31"/>
      <c r="G790" s="31"/>
      <c r="L790" s="31"/>
      <c r="M790" s="31"/>
      <c r="N790" s="31"/>
    </row>
    <row r="791" spans="2:14" ht="12.75">
      <c r="B791" s="31"/>
      <c r="C791" s="31"/>
      <c r="D791" s="31"/>
      <c r="E791" s="31"/>
      <c r="F791" s="31"/>
      <c r="G791" s="31"/>
      <c r="L791" s="31"/>
      <c r="M791" s="31"/>
      <c r="N791" s="31"/>
    </row>
    <row r="792" spans="2:14" ht="12.75">
      <c r="B792" s="31"/>
      <c r="C792" s="31"/>
      <c r="D792" s="31"/>
      <c r="E792" s="31"/>
      <c r="F792" s="31"/>
      <c r="G792" s="31"/>
      <c r="L792" s="31"/>
      <c r="M792" s="31"/>
      <c r="N792" s="31"/>
    </row>
    <row r="793" spans="2:14" ht="12.75">
      <c r="B793" s="31"/>
      <c r="C793" s="31"/>
      <c r="D793" s="31"/>
      <c r="E793" s="31"/>
      <c r="F793" s="31"/>
      <c r="G793" s="31"/>
      <c r="L793" s="31"/>
      <c r="M793" s="31"/>
      <c r="N793" s="31"/>
    </row>
    <row r="794" spans="2:14" ht="12.75">
      <c r="B794" s="31"/>
      <c r="C794" s="31"/>
      <c r="D794" s="31"/>
      <c r="E794" s="31"/>
      <c r="F794" s="31"/>
      <c r="G794" s="31"/>
      <c r="L794" s="31"/>
      <c r="M794" s="31"/>
      <c r="N794" s="31"/>
    </row>
    <row r="795" spans="2:14" ht="12.75">
      <c r="B795" s="31"/>
      <c r="C795" s="31"/>
      <c r="D795" s="31"/>
      <c r="E795" s="31"/>
      <c r="F795" s="31"/>
      <c r="G795" s="31"/>
      <c r="L795" s="31"/>
      <c r="M795" s="31"/>
      <c r="N795" s="31"/>
    </row>
    <row r="796" spans="2:14" ht="12.75">
      <c r="B796" s="31"/>
      <c r="C796" s="31"/>
      <c r="D796" s="31"/>
      <c r="E796" s="31"/>
      <c r="F796" s="31"/>
      <c r="G796" s="31"/>
      <c r="L796" s="31"/>
      <c r="M796" s="31"/>
      <c r="N796" s="31"/>
    </row>
    <row r="797" spans="2:14" ht="12.75">
      <c r="B797" s="31"/>
      <c r="C797" s="31"/>
      <c r="D797" s="31"/>
      <c r="E797" s="31"/>
      <c r="F797" s="31"/>
      <c r="G797" s="31"/>
      <c r="L797" s="31"/>
      <c r="M797" s="31"/>
      <c r="N797" s="31"/>
    </row>
    <row r="798" spans="2:14" ht="12.75">
      <c r="B798" s="31"/>
      <c r="C798" s="31"/>
      <c r="D798" s="31"/>
      <c r="E798" s="31"/>
      <c r="F798" s="31"/>
      <c r="G798" s="31"/>
      <c r="L798" s="31"/>
      <c r="M798" s="31"/>
      <c r="N798" s="31"/>
    </row>
    <row r="799" spans="2:14" ht="12.75">
      <c r="B799" s="31"/>
      <c r="C799" s="31"/>
      <c r="D799" s="31"/>
      <c r="E799" s="31"/>
      <c r="F799" s="31"/>
      <c r="G799" s="31"/>
      <c r="L799" s="31"/>
      <c r="M799" s="31"/>
      <c r="N799" s="31"/>
    </row>
    <row r="800" spans="2:14" ht="12.75">
      <c r="B800" s="31"/>
      <c r="C800" s="31"/>
      <c r="D800" s="31"/>
      <c r="E800" s="31"/>
      <c r="F800" s="31"/>
      <c r="G800" s="31"/>
      <c r="L800" s="31"/>
      <c r="M800" s="31"/>
      <c r="N800" s="31"/>
    </row>
    <row r="801" spans="2:14" ht="12.75">
      <c r="B801" s="31"/>
      <c r="C801" s="31"/>
      <c r="D801" s="31"/>
      <c r="E801" s="31"/>
      <c r="F801" s="31"/>
      <c r="G801" s="31"/>
      <c r="L801" s="31"/>
      <c r="M801" s="31"/>
      <c r="N801" s="31"/>
    </row>
    <row r="802" spans="2:14" ht="12.75">
      <c r="B802" s="31"/>
      <c r="C802" s="31"/>
      <c r="D802" s="31"/>
      <c r="E802" s="31"/>
      <c r="F802" s="31"/>
      <c r="G802" s="31"/>
      <c r="L802" s="31"/>
      <c r="M802" s="31"/>
      <c r="N802" s="31"/>
    </row>
    <row r="803" spans="2:14" ht="12.75">
      <c r="B803" s="31"/>
      <c r="C803" s="31"/>
      <c r="D803" s="31"/>
      <c r="E803" s="31"/>
      <c r="F803" s="31"/>
      <c r="G803" s="31"/>
      <c r="L803" s="31"/>
      <c r="M803" s="31"/>
      <c r="N803" s="31"/>
    </row>
    <row r="804" spans="2:14" ht="12.75">
      <c r="B804" s="31"/>
      <c r="C804" s="31"/>
      <c r="D804" s="31"/>
      <c r="E804" s="31"/>
      <c r="F804" s="31"/>
      <c r="G804" s="31"/>
      <c r="L804" s="31"/>
      <c r="M804" s="31"/>
      <c r="N804" s="31"/>
    </row>
    <row r="805" spans="2:14" ht="12.75">
      <c r="B805" s="31"/>
      <c r="C805" s="31"/>
      <c r="D805" s="31"/>
      <c r="E805" s="31"/>
      <c r="F805" s="31"/>
      <c r="G805" s="31"/>
      <c r="L805" s="31"/>
      <c r="M805" s="31"/>
      <c r="N805" s="31"/>
    </row>
    <row r="806" spans="2:14" ht="12.75">
      <c r="B806" s="31"/>
      <c r="C806" s="31"/>
      <c r="D806" s="31"/>
      <c r="E806" s="31"/>
      <c r="F806" s="31"/>
      <c r="G806" s="31"/>
      <c r="L806" s="31"/>
      <c r="M806" s="31"/>
      <c r="N806" s="31"/>
    </row>
    <row r="807" spans="2:14" ht="12.75">
      <c r="B807" s="31"/>
      <c r="C807" s="31"/>
      <c r="D807" s="31"/>
      <c r="E807" s="31"/>
      <c r="F807" s="31"/>
      <c r="G807" s="31"/>
      <c r="L807" s="31"/>
      <c r="M807" s="31"/>
      <c r="N807" s="31"/>
    </row>
    <row r="808" spans="2:14" ht="12.75">
      <c r="B808" s="31"/>
      <c r="C808" s="31"/>
      <c r="D808" s="31"/>
      <c r="E808" s="31"/>
      <c r="F808" s="31"/>
      <c r="G808" s="31"/>
      <c r="L808" s="31"/>
      <c r="M808" s="31"/>
      <c r="N808" s="31"/>
    </row>
    <row r="809" spans="2:14" ht="12.75">
      <c r="B809" s="31"/>
      <c r="C809" s="31"/>
      <c r="D809" s="31"/>
      <c r="E809" s="31"/>
      <c r="F809" s="31"/>
      <c r="G809" s="31"/>
      <c r="L809" s="31"/>
      <c r="M809" s="31"/>
      <c r="N809" s="31"/>
    </row>
    <row r="810" spans="2:14" ht="12.75">
      <c r="B810" s="31"/>
      <c r="C810" s="31"/>
      <c r="D810" s="31"/>
      <c r="E810" s="31"/>
      <c r="F810" s="31"/>
      <c r="G810" s="31"/>
      <c r="L810" s="31"/>
      <c r="M810" s="31"/>
      <c r="N810" s="31"/>
    </row>
    <row r="811" spans="2:14" ht="12.75">
      <c r="B811" s="31"/>
      <c r="C811" s="31"/>
      <c r="D811" s="31"/>
      <c r="E811" s="31"/>
      <c r="F811" s="31"/>
      <c r="G811" s="31"/>
      <c r="L811" s="31"/>
      <c r="M811" s="31"/>
      <c r="N811" s="31"/>
    </row>
    <row r="812" spans="2:14" ht="12.75">
      <c r="B812" s="31"/>
      <c r="C812" s="31"/>
      <c r="D812" s="31"/>
      <c r="E812" s="31"/>
      <c r="F812" s="31"/>
      <c r="G812" s="31"/>
      <c r="L812" s="31"/>
      <c r="M812" s="31"/>
      <c r="N812" s="31"/>
    </row>
    <row r="813" spans="2:14" ht="12.75">
      <c r="B813" s="31"/>
      <c r="C813" s="31"/>
      <c r="D813" s="31"/>
      <c r="E813" s="31"/>
      <c r="F813" s="31"/>
      <c r="G813" s="31"/>
      <c r="L813" s="31"/>
      <c r="M813" s="31"/>
      <c r="N813" s="31"/>
    </row>
    <row r="814" spans="2:14" ht="12.75">
      <c r="B814" s="31"/>
      <c r="C814" s="31"/>
      <c r="D814" s="31"/>
      <c r="E814" s="31"/>
      <c r="F814" s="31"/>
      <c r="G814" s="31"/>
      <c r="L814" s="31"/>
      <c r="M814" s="31"/>
      <c r="N814" s="31"/>
    </row>
    <row r="815" spans="2:14" ht="12.75">
      <c r="B815" s="31"/>
      <c r="C815" s="31"/>
      <c r="D815" s="31"/>
      <c r="E815" s="31"/>
      <c r="F815" s="31"/>
      <c r="G815" s="31"/>
      <c r="L815" s="31"/>
      <c r="M815" s="31"/>
      <c r="N815" s="31"/>
    </row>
    <row r="816" spans="2:14" ht="12.75">
      <c r="B816" s="31"/>
      <c r="C816" s="31"/>
      <c r="D816" s="31"/>
      <c r="E816" s="31"/>
      <c r="F816" s="31"/>
      <c r="G816" s="31"/>
      <c r="L816" s="31"/>
      <c r="M816" s="31"/>
      <c r="N816" s="31"/>
    </row>
    <row r="817" spans="2:14" ht="12.75">
      <c r="B817" s="31"/>
      <c r="C817" s="31"/>
      <c r="D817" s="31"/>
      <c r="E817" s="31"/>
      <c r="F817" s="31"/>
      <c r="G817" s="31"/>
      <c r="L817" s="31"/>
      <c r="M817" s="31"/>
      <c r="N817" s="31"/>
    </row>
    <row r="818" spans="2:14" ht="12.75">
      <c r="B818" s="31"/>
      <c r="C818" s="31"/>
      <c r="D818" s="31"/>
      <c r="E818" s="31"/>
      <c r="F818" s="31"/>
      <c r="G818" s="31"/>
      <c r="L818" s="31"/>
      <c r="M818" s="31"/>
      <c r="N818" s="31"/>
    </row>
    <row r="819" spans="2:14" ht="12.75">
      <c r="B819" s="31"/>
      <c r="C819" s="31"/>
      <c r="D819" s="31"/>
      <c r="E819" s="31"/>
      <c r="F819" s="31"/>
      <c r="G819" s="31"/>
      <c r="L819" s="31"/>
      <c r="M819" s="31"/>
      <c r="N819" s="31"/>
    </row>
    <row r="820" spans="2:14" ht="12.75">
      <c r="B820" s="31"/>
      <c r="C820" s="31"/>
      <c r="D820" s="31"/>
      <c r="E820" s="31"/>
      <c r="F820" s="31"/>
      <c r="G820" s="31"/>
      <c r="L820" s="31"/>
      <c r="M820" s="31"/>
      <c r="N820" s="31"/>
    </row>
    <row r="821" spans="2:14" ht="12.75">
      <c r="B821" s="31"/>
      <c r="C821" s="31"/>
      <c r="D821" s="31"/>
      <c r="E821" s="31"/>
      <c r="F821" s="31"/>
      <c r="G821" s="31"/>
      <c r="L821" s="31"/>
      <c r="M821" s="31"/>
      <c r="N821" s="31"/>
    </row>
    <row r="822" spans="2:14" ht="12.75">
      <c r="B822" s="31"/>
      <c r="C822" s="31"/>
      <c r="D822" s="31"/>
      <c r="E822" s="31"/>
      <c r="F822" s="31"/>
      <c r="G822" s="31"/>
      <c r="L822" s="31"/>
      <c r="M822" s="31"/>
      <c r="N822" s="31"/>
    </row>
    <row r="823" spans="2:14" ht="12.75">
      <c r="B823" s="31"/>
      <c r="C823" s="31"/>
      <c r="D823" s="31"/>
      <c r="E823" s="31"/>
      <c r="F823" s="31"/>
      <c r="G823" s="31"/>
      <c r="L823" s="31"/>
      <c r="M823" s="31"/>
      <c r="N823" s="31"/>
    </row>
    <row r="824" spans="2:14" ht="12.75">
      <c r="B824" s="31"/>
      <c r="C824" s="31"/>
      <c r="D824" s="31"/>
      <c r="E824" s="31"/>
      <c r="F824" s="31"/>
      <c r="G824" s="31"/>
      <c r="L824" s="31"/>
      <c r="M824" s="31"/>
      <c r="N824" s="31"/>
    </row>
    <row r="825" spans="2:14" ht="12.75">
      <c r="B825" s="31"/>
      <c r="C825" s="31"/>
      <c r="D825" s="31"/>
      <c r="E825" s="31"/>
      <c r="F825" s="31"/>
      <c r="G825" s="31"/>
      <c r="L825" s="31"/>
      <c r="M825" s="31"/>
      <c r="N825" s="31"/>
    </row>
    <row r="826" spans="2:14" ht="12.75">
      <c r="B826" s="31"/>
      <c r="C826" s="31"/>
      <c r="D826" s="31"/>
      <c r="E826" s="31"/>
      <c r="F826" s="31"/>
      <c r="G826" s="31"/>
      <c r="L826" s="31"/>
      <c r="M826" s="31"/>
      <c r="N826" s="31"/>
    </row>
    <row r="827" spans="2:14" ht="12.75">
      <c r="B827" s="31"/>
      <c r="C827" s="31"/>
      <c r="D827" s="31"/>
      <c r="E827" s="31"/>
      <c r="F827" s="31"/>
      <c r="G827" s="31"/>
      <c r="L827" s="31"/>
      <c r="M827" s="31"/>
      <c r="N827" s="31"/>
    </row>
    <row r="828" spans="2:14" ht="12.75">
      <c r="B828" s="31"/>
      <c r="C828" s="31"/>
      <c r="D828" s="31"/>
      <c r="E828" s="31"/>
      <c r="F828" s="31"/>
      <c r="G828" s="31"/>
      <c r="L828" s="31"/>
      <c r="M828" s="31"/>
      <c r="N828" s="31"/>
    </row>
    <row r="829" spans="2:14" ht="12.75">
      <c r="B829" s="31"/>
      <c r="C829" s="31"/>
      <c r="D829" s="31"/>
      <c r="E829" s="31"/>
      <c r="F829" s="31"/>
      <c r="G829" s="31"/>
      <c r="L829" s="31"/>
      <c r="M829" s="31"/>
      <c r="N829" s="31"/>
    </row>
    <row r="830" spans="2:14" ht="12.75">
      <c r="B830" s="31"/>
      <c r="C830" s="31"/>
      <c r="D830" s="31"/>
      <c r="E830" s="31"/>
      <c r="F830" s="31"/>
      <c r="G830" s="31"/>
      <c r="L830" s="31"/>
      <c r="M830" s="31"/>
      <c r="N830" s="31"/>
    </row>
    <row r="831" spans="2:14" ht="12.75">
      <c r="B831" s="31"/>
      <c r="C831" s="31"/>
      <c r="D831" s="31"/>
      <c r="E831" s="31"/>
      <c r="F831" s="31"/>
      <c r="G831" s="31"/>
      <c r="L831" s="31"/>
      <c r="M831" s="31"/>
      <c r="N831" s="31"/>
    </row>
    <row r="832" spans="2:14" ht="12.75">
      <c r="B832" s="31"/>
      <c r="C832" s="31"/>
      <c r="D832" s="31"/>
      <c r="E832" s="31"/>
      <c r="F832" s="31"/>
      <c r="G832" s="31"/>
      <c r="L832" s="31"/>
      <c r="M832" s="31"/>
      <c r="N832" s="31"/>
    </row>
    <row r="833" spans="2:14" ht="12.75">
      <c r="B833" s="31"/>
      <c r="C833" s="31"/>
      <c r="D833" s="31"/>
      <c r="E833" s="31"/>
      <c r="F833" s="31"/>
      <c r="G833" s="31"/>
      <c r="L833" s="31"/>
      <c r="M833" s="31"/>
      <c r="N833" s="31"/>
    </row>
    <row r="834" spans="2:14" ht="12.75">
      <c r="B834" s="31"/>
      <c r="C834" s="31"/>
      <c r="D834" s="31"/>
      <c r="E834" s="31"/>
      <c r="F834" s="31"/>
      <c r="G834" s="31"/>
      <c r="L834" s="31"/>
      <c r="M834" s="31"/>
      <c r="N834" s="31"/>
    </row>
    <row r="835" spans="2:14" ht="12.75">
      <c r="B835" s="31"/>
      <c r="C835" s="31"/>
      <c r="D835" s="31"/>
      <c r="E835" s="31"/>
      <c r="F835" s="31"/>
      <c r="G835" s="31"/>
      <c r="L835" s="31"/>
      <c r="M835" s="31"/>
      <c r="N835" s="31"/>
    </row>
    <row r="836" spans="2:14" ht="12.75">
      <c r="B836" s="31"/>
      <c r="C836" s="31"/>
      <c r="D836" s="31"/>
      <c r="E836" s="31"/>
      <c r="F836" s="31"/>
      <c r="G836" s="31"/>
      <c r="L836" s="31"/>
      <c r="M836" s="31"/>
      <c r="N836" s="31"/>
    </row>
    <row r="837" spans="2:14" ht="12.75">
      <c r="B837" s="31"/>
      <c r="C837" s="31"/>
      <c r="D837" s="31"/>
      <c r="E837" s="31"/>
      <c r="F837" s="31"/>
      <c r="G837" s="31"/>
      <c r="L837" s="31"/>
      <c r="M837" s="31"/>
      <c r="N837" s="31"/>
    </row>
    <row r="838" spans="2:14" ht="12.75">
      <c r="B838" s="31"/>
      <c r="C838" s="31"/>
      <c r="D838" s="31"/>
      <c r="E838" s="31"/>
      <c r="F838" s="31"/>
      <c r="G838" s="31"/>
      <c r="L838" s="31"/>
      <c r="M838" s="31"/>
      <c r="N838" s="31"/>
    </row>
    <row r="839" spans="2:14" ht="12.75">
      <c r="B839" s="31"/>
      <c r="C839" s="31"/>
      <c r="D839" s="31"/>
      <c r="E839" s="31"/>
      <c r="F839" s="31"/>
      <c r="G839" s="31"/>
      <c r="L839" s="31"/>
      <c r="M839" s="31"/>
      <c r="N839" s="31"/>
    </row>
    <row r="840" spans="2:14" ht="12.75">
      <c r="B840" s="31"/>
      <c r="C840" s="31"/>
      <c r="D840" s="31"/>
      <c r="E840" s="31"/>
      <c r="F840" s="31"/>
      <c r="G840" s="31"/>
      <c r="L840" s="31"/>
      <c r="M840" s="31"/>
      <c r="N840" s="31"/>
    </row>
    <row r="841" spans="2:14" ht="12.75">
      <c r="B841" s="31"/>
      <c r="C841" s="31"/>
      <c r="D841" s="31"/>
      <c r="E841" s="31"/>
      <c r="F841" s="31"/>
      <c r="G841" s="31"/>
      <c r="L841" s="31"/>
      <c r="M841" s="31"/>
      <c r="N841" s="31"/>
    </row>
    <row r="842" spans="2:14" ht="12.75">
      <c r="B842" s="31"/>
      <c r="C842" s="31"/>
      <c r="D842" s="31"/>
      <c r="E842" s="31"/>
      <c r="F842" s="31"/>
      <c r="G842" s="31"/>
      <c r="L842" s="31"/>
      <c r="M842" s="31"/>
      <c r="N842" s="31"/>
    </row>
    <row r="843" spans="2:14" ht="12.75">
      <c r="B843" s="31"/>
      <c r="C843" s="31"/>
      <c r="D843" s="31"/>
      <c r="E843" s="31"/>
      <c r="F843" s="31"/>
      <c r="G843" s="31"/>
      <c r="L843" s="31"/>
      <c r="M843" s="31"/>
      <c r="N843" s="31"/>
    </row>
    <row r="844" spans="2:14" ht="12.75">
      <c r="B844" s="31"/>
      <c r="C844" s="31"/>
      <c r="D844" s="31"/>
      <c r="E844" s="31"/>
      <c r="F844" s="31"/>
      <c r="G844" s="31"/>
      <c r="L844" s="31"/>
      <c r="M844" s="31"/>
      <c r="N844" s="31"/>
    </row>
    <row r="845" spans="2:14" ht="12.75">
      <c r="B845" s="31"/>
      <c r="C845" s="31"/>
      <c r="D845" s="31"/>
      <c r="E845" s="31"/>
      <c r="F845" s="31"/>
      <c r="G845" s="31"/>
      <c r="L845" s="31"/>
      <c r="M845" s="31"/>
      <c r="N845" s="31"/>
    </row>
    <row r="846" spans="2:14" ht="12.75">
      <c r="B846" s="31"/>
      <c r="C846" s="31"/>
      <c r="D846" s="31"/>
      <c r="E846" s="31"/>
      <c r="F846" s="31"/>
      <c r="G846" s="31"/>
      <c r="L846" s="31"/>
      <c r="M846" s="31"/>
      <c r="N846" s="31"/>
    </row>
    <row r="847" spans="2:14" ht="12.75">
      <c r="B847" s="31"/>
      <c r="C847" s="31"/>
      <c r="D847" s="31"/>
      <c r="E847" s="31"/>
      <c r="F847" s="31"/>
      <c r="G847" s="31"/>
      <c r="L847" s="31"/>
      <c r="M847" s="31"/>
      <c r="N847" s="31"/>
    </row>
    <row r="848" spans="2:14" ht="12.75">
      <c r="B848" s="31"/>
      <c r="C848" s="31"/>
      <c r="D848" s="31"/>
      <c r="E848" s="31"/>
      <c r="F848" s="31"/>
      <c r="G848" s="31"/>
      <c r="L848" s="31"/>
      <c r="M848" s="31"/>
      <c r="N848" s="31"/>
    </row>
    <row r="849" spans="2:14" ht="12.75">
      <c r="B849" s="31"/>
      <c r="C849" s="31"/>
      <c r="D849" s="31"/>
      <c r="E849" s="31"/>
      <c r="F849" s="31"/>
      <c r="G849" s="31"/>
      <c r="L849" s="31"/>
      <c r="M849" s="31"/>
      <c r="N849" s="31"/>
    </row>
    <row r="850" spans="2:14" ht="12.75">
      <c r="B850" s="31"/>
      <c r="C850" s="31"/>
      <c r="D850" s="31"/>
      <c r="E850" s="31"/>
      <c r="F850" s="31"/>
      <c r="G850" s="31"/>
      <c r="L850" s="31"/>
      <c r="M850" s="31"/>
      <c r="N850" s="31"/>
    </row>
    <row r="851" spans="2:14" ht="12.75">
      <c r="B851" s="31"/>
      <c r="C851" s="31"/>
      <c r="D851" s="31"/>
      <c r="E851" s="31"/>
      <c r="F851" s="31"/>
      <c r="G851" s="31"/>
      <c r="L851" s="31"/>
      <c r="M851" s="31"/>
      <c r="N851" s="31"/>
    </row>
    <row r="852" spans="2:14" ht="12.75">
      <c r="B852" s="31"/>
      <c r="C852" s="31"/>
      <c r="D852" s="31"/>
      <c r="E852" s="31"/>
      <c r="F852" s="31"/>
      <c r="G852" s="31"/>
      <c r="L852" s="31"/>
      <c r="M852" s="31"/>
      <c r="N852" s="31"/>
    </row>
    <row r="853" spans="2:14" ht="12.75">
      <c r="B853" s="31"/>
      <c r="C853" s="31"/>
      <c r="D853" s="31"/>
      <c r="E853" s="31"/>
      <c r="F853" s="31"/>
      <c r="G853" s="31"/>
      <c r="L853" s="31"/>
      <c r="M853" s="31"/>
      <c r="N853" s="31"/>
    </row>
    <row r="854" spans="2:14" ht="12.75">
      <c r="B854" s="31"/>
      <c r="C854" s="31"/>
      <c r="D854" s="31"/>
      <c r="E854" s="31"/>
      <c r="F854" s="31"/>
      <c r="G854" s="31"/>
      <c r="L854" s="31"/>
      <c r="M854" s="31"/>
      <c r="N854" s="31"/>
    </row>
    <row r="855" spans="2:14" ht="12.75">
      <c r="B855" s="31"/>
      <c r="C855" s="31"/>
      <c r="D855" s="31"/>
      <c r="E855" s="31"/>
      <c r="F855" s="31"/>
      <c r="G855" s="31"/>
      <c r="L855" s="31"/>
      <c r="M855" s="31"/>
      <c r="N855" s="31"/>
    </row>
    <row r="856" spans="2:14" ht="12.75">
      <c r="B856" s="31"/>
      <c r="C856" s="31"/>
      <c r="D856" s="31"/>
      <c r="E856" s="31"/>
      <c r="F856" s="31"/>
      <c r="G856" s="31"/>
      <c r="L856" s="31"/>
      <c r="M856" s="31"/>
      <c r="N856" s="31"/>
    </row>
    <row r="857" spans="2:14" ht="12.75">
      <c r="B857" s="31"/>
      <c r="C857" s="31"/>
      <c r="D857" s="31"/>
      <c r="E857" s="31"/>
      <c r="F857" s="31"/>
      <c r="G857" s="31"/>
      <c r="L857" s="31"/>
      <c r="M857" s="31"/>
      <c r="N857" s="31"/>
    </row>
    <row r="858" spans="2:14" ht="12.75">
      <c r="B858" s="31"/>
      <c r="C858" s="31"/>
      <c r="D858" s="31"/>
      <c r="E858" s="31"/>
      <c r="F858" s="31"/>
      <c r="G858" s="31"/>
      <c r="L858" s="31"/>
      <c r="M858" s="31"/>
      <c r="N858" s="31"/>
    </row>
    <row r="859" spans="2:14" ht="12.75">
      <c r="B859" s="31"/>
      <c r="C859" s="31"/>
      <c r="D859" s="31"/>
      <c r="E859" s="31"/>
      <c r="F859" s="31"/>
      <c r="G859" s="31"/>
      <c r="L859" s="31"/>
      <c r="M859" s="31"/>
      <c r="N859" s="31"/>
    </row>
    <row r="860" spans="2:14" ht="12.75">
      <c r="B860" s="31"/>
      <c r="C860" s="31"/>
      <c r="D860" s="31"/>
      <c r="E860" s="31"/>
      <c r="F860" s="31"/>
      <c r="G860" s="31"/>
      <c r="L860" s="31"/>
      <c r="M860" s="31"/>
      <c r="N860" s="31"/>
    </row>
    <row r="861" spans="2:14" ht="12.75">
      <c r="B861" s="31"/>
      <c r="C861" s="31"/>
      <c r="D861" s="31"/>
      <c r="E861" s="31"/>
      <c r="F861" s="31"/>
      <c r="G861" s="31"/>
      <c r="L861" s="31"/>
      <c r="M861" s="31"/>
      <c r="N861" s="31"/>
    </row>
    <row r="862" spans="2:14" ht="12.75">
      <c r="B862" s="31"/>
      <c r="C862" s="31"/>
      <c r="D862" s="31"/>
      <c r="E862" s="31"/>
      <c r="F862" s="31"/>
      <c r="G862" s="31"/>
      <c r="L862" s="31"/>
      <c r="M862" s="31"/>
      <c r="N862" s="31"/>
    </row>
    <row r="863" spans="2:14" ht="12.75">
      <c r="B863" s="31"/>
      <c r="C863" s="31"/>
      <c r="D863" s="31"/>
      <c r="E863" s="31"/>
      <c r="F863" s="31"/>
      <c r="G863" s="31"/>
      <c r="L863" s="31"/>
      <c r="M863" s="31"/>
      <c r="N863" s="31"/>
    </row>
    <row r="864" spans="2:14" ht="12.75">
      <c r="B864" s="31"/>
      <c r="C864" s="31"/>
      <c r="D864" s="31"/>
      <c r="E864" s="31"/>
      <c r="F864" s="31"/>
      <c r="G864" s="31"/>
      <c r="L864" s="31"/>
      <c r="M864" s="31"/>
      <c r="N864" s="31"/>
    </row>
    <row r="865" spans="2:14" ht="12.75">
      <c r="B865" s="31"/>
      <c r="C865" s="31"/>
      <c r="D865" s="31"/>
      <c r="E865" s="31"/>
      <c r="F865" s="31"/>
      <c r="G865" s="31"/>
      <c r="L865" s="31"/>
      <c r="M865" s="31"/>
      <c r="N865" s="31"/>
    </row>
    <row r="866" spans="2:14" ht="12.75">
      <c r="B866" s="31"/>
      <c r="C866" s="31"/>
      <c r="D866" s="31"/>
      <c r="E866" s="31"/>
      <c r="F866" s="31"/>
      <c r="G866" s="31"/>
      <c r="L866" s="31"/>
      <c r="M866" s="31"/>
      <c r="N866" s="31"/>
    </row>
    <row r="867" spans="2:14" ht="12.75">
      <c r="B867" s="31"/>
      <c r="C867" s="31"/>
      <c r="D867" s="31"/>
      <c r="E867" s="31"/>
      <c r="F867" s="31"/>
      <c r="G867" s="31"/>
      <c r="L867" s="31"/>
      <c r="M867" s="31"/>
      <c r="N867" s="31"/>
    </row>
    <row r="868" spans="2:14" ht="12.75">
      <c r="B868" s="31"/>
      <c r="C868" s="31"/>
      <c r="D868" s="31"/>
      <c r="E868" s="31"/>
      <c r="F868" s="31"/>
      <c r="G868" s="31"/>
      <c r="L868" s="31"/>
      <c r="M868" s="31"/>
      <c r="N868" s="31"/>
    </row>
    <row r="869" spans="2:14" ht="12.75">
      <c r="B869" s="31"/>
      <c r="C869" s="31"/>
      <c r="D869" s="31"/>
      <c r="E869" s="31"/>
      <c r="F869" s="31"/>
      <c r="G869" s="31"/>
      <c r="L869" s="31"/>
      <c r="M869" s="31"/>
      <c r="N869" s="31"/>
    </row>
    <row r="870" spans="2:14" ht="12.75">
      <c r="B870" s="31"/>
      <c r="C870" s="31"/>
      <c r="D870" s="31"/>
      <c r="E870" s="31"/>
      <c r="F870" s="31"/>
      <c r="G870" s="31"/>
      <c r="L870" s="31"/>
      <c r="M870" s="31"/>
      <c r="N870" s="31"/>
    </row>
    <row r="871" spans="2:14" ht="12.75">
      <c r="B871" s="31"/>
      <c r="C871" s="31"/>
      <c r="D871" s="31"/>
      <c r="E871" s="31"/>
      <c r="F871" s="31"/>
      <c r="G871" s="31"/>
      <c r="L871" s="31"/>
      <c r="M871" s="31"/>
      <c r="N871" s="31"/>
    </row>
    <row r="872" spans="2:14" ht="12.75">
      <c r="B872" s="31"/>
      <c r="C872" s="31"/>
      <c r="D872" s="31"/>
      <c r="E872" s="31"/>
      <c r="F872" s="31"/>
      <c r="G872" s="31"/>
      <c r="L872" s="31"/>
      <c r="M872" s="31"/>
      <c r="N872" s="31"/>
    </row>
    <row r="873" spans="2:14" ht="12.75">
      <c r="B873" s="31"/>
      <c r="C873" s="31"/>
      <c r="D873" s="31"/>
      <c r="E873" s="31"/>
      <c r="F873" s="31"/>
      <c r="G873" s="31"/>
      <c r="L873" s="31"/>
      <c r="M873" s="31"/>
      <c r="N873" s="31"/>
    </row>
    <row r="874" spans="2:14" ht="12.75">
      <c r="B874" s="31"/>
      <c r="C874" s="31"/>
      <c r="D874" s="31"/>
      <c r="E874" s="31"/>
      <c r="F874" s="31"/>
      <c r="G874" s="31"/>
      <c r="L874" s="31"/>
      <c r="M874" s="31"/>
      <c r="N874" s="31"/>
    </row>
    <row r="875" spans="2:14" ht="12.75">
      <c r="B875" s="31"/>
      <c r="C875" s="31"/>
      <c r="D875" s="31"/>
      <c r="E875" s="31"/>
      <c r="F875" s="31"/>
      <c r="G875" s="31"/>
      <c r="L875" s="31"/>
      <c r="M875" s="31"/>
      <c r="N875" s="31"/>
    </row>
    <row r="876" spans="2:14" ht="12.75">
      <c r="B876" s="31"/>
      <c r="C876" s="31"/>
      <c r="D876" s="31"/>
      <c r="E876" s="31"/>
      <c r="F876" s="31"/>
      <c r="G876" s="31"/>
      <c r="L876" s="31"/>
      <c r="M876" s="31"/>
      <c r="N876" s="31"/>
    </row>
    <row r="877" spans="2:14" ht="12.75">
      <c r="B877" s="31"/>
      <c r="C877" s="31"/>
      <c r="D877" s="31"/>
      <c r="E877" s="31"/>
      <c r="F877" s="31"/>
      <c r="G877" s="31"/>
      <c r="L877" s="31"/>
      <c r="M877" s="31"/>
      <c r="N877" s="31"/>
    </row>
    <row r="878" spans="2:14" ht="12.75">
      <c r="B878" s="31"/>
      <c r="C878" s="31"/>
      <c r="D878" s="31"/>
      <c r="E878" s="31"/>
      <c r="F878" s="31"/>
      <c r="G878" s="31"/>
      <c r="L878" s="31"/>
      <c r="M878" s="31"/>
      <c r="N878" s="31"/>
    </row>
    <row r="879" spans="2:14" ht="12.75">
      <c r="B879" s="31"/>
      <c r="C879" s="31"/>
      <c r="D879" s="31"/>
      <c r="E879" s="31"/>
      <c r="F879" s="31"/>
      <c r="G879" s="31"/>
      <c r="L879" s="31"/>
      <c r="M879" s="31"/>
      <c r="N879" s="31"/>
    </row>
    <row r="880" spans="2:14" ht="12.75">
      <c r="B880" s="31"/>
      <c r="C880" s="31"/>
      <c r="D880" s="31"/>
      <c r="E880" s="31"/>
      <c r="F880" s="31"/>
      <c r="G880" s="31"/>
      <c r="L880" s="31"/>
      <c r="M880" s="31"/>
      <c r="N880" s="31"/>
    </row>
    <row r="881" spans="2:14" ht="12.75">
      <c r="B881" s="31"/>
      <c r="C881" s="31"/>
      <c r="D881" s="31"/>
      <c r="E881" s="31"/>
      <c r="F881" s="31"/>
      <c r="G881" s="31"/>
      <c r="L881" s="31"/>
      <c r="M881" s="31"/>
      <c r="N881" s="31"/>
    </row>
    <row r="882" spans="2:14" ht="12.75">
      <c r="B882" s="31"/>
      <c r="C882" s="31"/>
      <c r="D882" s="31"/>
      <c r="E882" s="31"/>
      <c r="F882" s="31"/>
      <c r="G882" s="31"/>
      <c r="L882" s="31"/>
      <c r="M882" s="31"/>
      <c r="N882" s="31"/>
    </row>
    <row r="883" spans="2:14" ht="12.75">
      <c r="B883" s="31"/>
      <c r="C883" s="31"/>
      <c r="D883" s="31"/>
      <c r="E883" s="31"/>
      <c r="F883" s="31"/>
      <c r="G883" s="31"/>
      <c r="L883" s="31"/>
      <c r="M883" s="31"/>
      <c r="N883" s="31"/>
    </row>
    <row r="884" spans="2:14" ht="12.75">
      <c r="B884" s="31"/>
      <c r="C884" s="31"/>
      <c r="D884" s="31"/>
      <c r="E884" s="31"/>
      <c r="F884" s="31"/>
      <c r="G884" s="31"/>
      <c r="L884" s="31"/>
      <c r="M884" s="31"/>
      <c r="N884" s="31"/>
    </row>
    <row r="885" spans="2:14" ht="12.75">
      <c r="B885" s="31"/>
      <c r="C885" s="31"/>
      <c r="D885" s="31"/>
      <c r="E885" s="31"/>
      <c r="F885" s="31"/>
      <c r="G885" s="31"/>
      <c r="L885" s="31"/>
      <c r="M885" s="31"/>
      <c r="N885" s="31"/>
    </row>
    <row r="886" spans="2:14" ht="12.75">
      <c r="B886" s="31"/>
      <c r="C886" s="31"/>
      <c r="D886" s="31"/>
      <c r="E886" s="31"/>
      <c r="F886" s="31"/>
      <c r="G886" s="31"/>
      <c r="L886" s="31"/>
      <c r="M886" s="31"/>
      <c r="N886" s="31"/>
    </row>
    <row r="887" spans="2:14" ht="12.75">
      <c r="B887" s="31"/>
      <c r="C887" s="31"/>
      <c r="D887" s="31"/>
      <c r="E887" s="31"/>
      <c r="F887" s="31"/>
      <c r="G887" s="31"/>
      <c r="L887" s="31"/>
      <c r="M887" s="31"/>
      <c r="N887" s="31"/>
    </row>
    <row r="888" spans="2:14" ht="12.75">
      <c r="B888" s="31"/>
      <c r="C888" s="31"/>
      <c r="D888" s="31"/>
      <c r="E888" s="31"/>
      <c r="F888" s="31"/>
      <c r="G888" s="31"/>
      <c r="L888" s="31"/>
      <c r="M888" s="31"/>
      <c r="N888" s="31"/>
    </row>
    <row r="889" spans="2:14" ht="12.75">
      <c r="B889" s="31"/>
      <c r="C889" s="31"/>
      <c r="D889" s="31"/>
      <c r="E889" s="31"/>
      <c r="F889" s="31"/>
      <c r="G889" s="31"/>
      <c r="L889" s="31"/>
      <c r="M889" s="31"/>
      <c r="N889" s="31"/>
    </row>
    <row r="890" spans="2:14" ht="12.75">
      <c r="B890" s="31"/>
      <c r="C890" s="31"/>
      <c r="D890" s="31"/>
      <c r="E890" s="31"/>
      <c r="F890" s="31"/>
      <c r="G890" s="31"/>
      <c r="L890" s="31"/>
      <c r="M890" s="31"/>
      <c r="N890" s="31"/>
    </row>
    <row r="891" spans="2:14" ht="12.75">
      <c r="B891" s="31"/>
      <c r="C891" s="31"/>
      <c r="D891" s="31"/>
      <c r="E891" s="31"/>
      <c r="F891" s="31"/>
      <c r="G891" s="31"/>
      <c r="L891" s="31"/>
      <c r="M891" s="31"/>
      <c r="N891" s="31"/>
    </row>
    <row r="892" spans="2:14" ht="12.75">
      <c r="B892" s="31"/>
      <c r="C892" s="31"/>
      <c r="D892" s="31"/>
      <c r="E892" s="31"/>
      <c r="F892" s="31"/>
      <c r="G892" s="31"/>
      <c r="L892" s="31"/>
      <c r="M892" s="31"/>
      <c r="N892" s="31"/>
    </row>
    <row r="893" spans="2:14" ht="12.75">
      <c r="B893" s="31"/>
      <c r="C893" s="31"/>
      <c r="D893" s="31"/>
      <c r="E893" s="31"/>
      <c r="F893" s="31"/>
      <c r="G893" s="31"/>
      <c r="L893" s="31"/>
      <c r="M893" s="31"/>
      <c r="N893" s="31"/>
    </row>
    <row r="894" spans="2:14" ht="12.75">
      <c r="B894" s="31"/>
      <c r="C894" s="31"/>
      <c r="D894" s="31"/>
      <c r="E894" s="31"/>
      <c r="F894" s="31"/>
      <c r="G894" s="31"/>
      <c r="L894" s="31"/>
      <c r="M894" s="31"/>
      <c r="N894" s="31"/>
    </row>
    <row r="895" spans="2:14" ht="12.75">
      <c r="B895" s="31"/>
      <c r="C895" s="31"/>
      <c r="D895" s="31"/>
      <c r="E895" s="31"/>
      <c r="F895" s="31"/>
      <c r="G895" s="31"/>
      <c r="L895" s="31"/>
      <c r="M895" s="31"/>
      <c r="N895" s="31"/>
    </row>
    <row r="896" spans="2:14" ht="12.75">
      <c r="B896" s="31"/>
      <c r="C896" s="31"/>
      <c r="D896" s="31"/>
      <c r="E896" s="31"/>
      <c r="F896" s="31"/>
      <c r="G896" s="31"/>
      <c r="L896" s="31"/>
      <c r="M896" s="31"/>
      <c r="N896" s="31"/>
    </row>
    <row r="897" spans="2:14" ht="12.75">
      <c r="B897" s="31"/>
      <c r="C897" s="31"/>
      <c r="D897" s="31"/>
      <c r="E897" s="31"/>
      <c r="F897" s="31"/>
      <c r="G897" s="31"/>
      <c r="L897" s="31"/>
      <c r="M897" s="31"/>
      <c r="N897" s="31"/>
    </row>
    <row r="898" spans="2:14" ht="12.75">
      <c r="B898" s="31"/>
      <c r="C898" s="31"/>
      <c r="D898" s="31"/>
      <c r="E898" s="31"/>
      <c r="F898" s="31"/>
      <c r="G898" s="31"/>
      <c r="L898" s="31"/>
      <c r="M898" s="31"/>
      <c r="N898" s="31"/>
    </row>
    <row r="899" spans="2:14" ht="12.75">
      <c r="B899" s="31"/>
      <c r="C899" s="31"/>
      <c r="D899" s="31"/>
      <c r="E899" s="31"/>
      <c r="F899" s="31"/>
      <c r="G899" s="31"/>
      <c r="L899" s="31"/>
      <c r="M899" s="31"/>
      <c r="N899" s="31"/>
    </row>
    <row r="900" spans="2:14" ht="12.75">
      <c r="B900" s="31"/>
      <c r="C900" s="31"/>
      <c r="D900" s="31"/>
      <c r="E900" s="31"/>
      <c r="F900" s="31"/>
      <c r="G900" s="31"/>
      <c r="L900" s="31"/>
      <c r="M900" s="31"/>
      <c r="N900" s="31"/>
    </row>
    <row r="901" spans="2:14" ht="12.75">
      <c r="B901" s="31"/>
      <c r="C901" s="31"/>
      <c r="D901" s="31"/>
      <c r="E901" s="31"/>
      <c r="F901" s="31"/>
      <c r="G901" s="31"/>
      <c r="L901" s="31"/>
      <c r="M901" s="31"/>
      <c r="N901" s="31"/>
    </row>
    <row r="902" spans="2:14" ht="12.75">
      <c r="B902" s="31"/>
      <c r="C902" s="31"/>
      <c r="D902" s="31"/>
      <c r="E902" s="31"/>
      <c r="F902" s="31"/>
      <c r="G902" s="31"/>
      <c r="L902" s="31"/>
      <c r="M902" s="31"/>
      <c r="N902" s="31"/>
    </row>
    <row r="903" spans="2:14" ht="12.75">
      <c r="B903" s="31"/>
      <c r="C903" s="31"/>
      <c r="D903" s="31"/>
      <c r="E903" s="31"/>
      <c r="F903" s="31"/>
      <c r="G903" s="31"/>
      <c r="L903" s="31"/>
      <c r="M903" s="31"/>
      <c r="N903" s="31"/>
    </row>
    <row r="904" spans="2:14" ht="12.75">
      <c r="B904" s="31"/>
      <c r="C904" s="31"/>
      <c r="D904" s="31"/>
      <c r="E904" s="31"/>
      <c r="F904" s="31"/>
      <c r="G904" s="31"/>
      <c r="L904" s="31"/>
      <c r="M904" s="31"/>
      <c r="N904" s="31"/>
    </row>
    <row r="905" spans="2:14" ht="12.75">
      <c r="B905" s="31"/>
      <c r="C905" s="31"/>
      <c r="D905" s="31"/>
      <c r="E905" s="31"/>
      <c r="F905" s="31"/>
      <c r="G905" s="31"/>
      <c r="L905" s="31"/>
      <c r="M905" s="31"/>
      <c r="N905" s="31"/>
    </row>
    <row r="906" spans="2:14" ht="12.75">
      <c r="B906" s="31"/>
      <c r="C906" s="31"/>
      <c r="D906" s="31"/>
      <c r="E906" s="31"/>
      <c r="F906" s="31"/>
      <c r="G906" s="31"/>
      <c r="L906" s="31"/>
      <c r="M906" s="31"/>
      <c r="N906" s="31"/>
    </row>
    <row r="907" spans="2:14" ht="12.75">
      <c r="B907" s="31"/>
      <c r="C907" s="31"/>
      <c r="D907" s="31"/>
      <c r="E907" s="31"/>
      <c r="F907" s="31"/>
      <c r="G907" s="31"/>
      <c r="L907" s="31"/>
      <c r="M907" s="31"/>
      <c r="N907" s="31"/>
    </row>
    <row r="908" spans="2:14" ht="12.75">
      <c r="B908" s="31"/>
      <c r="C908" s="31"/>
      <c r="D908" s="31"/>
      <c r="E908" s="31"/>
      <c r="F908" s="31"/>
      <c r="G908" s="31"/>
      <c r="L908" s="31"/>
      <c r="M908" s="31"/>
      <c r="N908" s="31"/>
    </row>
    <row r="909" spans="2:14" ht="12.75">
      <c r="B909" s="31"/>
      <c r="C909" s="31"/>
      <c r="D909" s="31"/>
      <c r="E909" s="31"/>
      <c r="F909" s="31"/>
      <c r="G909" s="31"/>
      <c r="L909" s="31"/>
      <c r="M909" s="31"/>
      <c r="N909" s="31"/>
    </row>
    <row r="910" spans="2:14" ht="12.75">
      <c r="B910" s="31"/>
      <c r="C910" s="31"/>
      <c r="D910" s="31"/>
      <c r="E910" s="31"/>
      <c r="F910" s="31"/>
      <c r="G910" s="31"/>
      <c r="L910" s="31"/>
      <c r="M910" s="31"/>
      <c r="N910" s="31"/>
    </row>
    <row r="911" spans="2:14" ht="12.75">
      <c r="B911" s="31"/>
      <c r="C911" s="31"/>
      <c r="D911" s="31"/>
      <c r="E911" s="31"/>
      <c r="F911" s="31"/>
      <c r="G911" s="31"/>
      <c r="L911" s="31"/>
      <c r="M911" s="31"/>
      <c r="N911" s="31"/>
    </row>
    <row r="912" spans="2:14" ht="12.75">
      <c r="B912" s="31"/>
      <c r="C912" s="31"/>
      <c r="D912" s="31"/>
      <c r="E912" s="31"/>
      <c r="F912" s="31"/>
      <c r="G912" s="31"/>
      <c r="L912" s="31"/>
      <c r="M912" s="31"/>
      <c r="N912" s="31"/>
    </row>
    <row r="913" spans="2:14" ht="12.75">
      <c r="B913" s="31"/>
      <c r="C913" s="31"/>
      <c r="D913" s="31"/>
      <c r="E913" s="31"/>
      <c r="F913" s="31"/>
      <c r="G913" s="31"/>
      <c r="L913" s="31"/>
      <c r="M913" s="31"/>
      <c r="N913" s="31"/>
    </row>
    <row r="914" spans="2:14" ht="12.75">
      <c r="B914" s="31"/>
      <c r="C914" s="31"/>
      <c r="D914" s="31"/>
      <c r="E914" s="31"/>
      <c r="F914" s="31"/>
      <c r="G914" s="31"/>
      <c r="L914" s="31"/>
      <c r="M914" s="31"/>
      <c r="N914" s="31"/>
    </row>
    <row r="915" spans="2:14" ht="12.75">
      <c r="B915" s="31"/>
      <c r="C915" s="31"/>
      <c r="D915" s="31"/>
      <c r="E915" s="31"/>
      <c r="F915" s="31"/>
      <c r="G915" s="31"/>
      <c r="L915" s="31"/>
      <c r="M915" s="31"/>
      <c r="N915" s="31"/>
    </row>
    <row r="916" spans="2:14" ht="12.75">
      <c r="B916" s="31"/>
      <c r="C916" s="31"/>
      <c r="D916" s="31"/>
      <c r="E916" s="31"/>
      <c r="F916" s="31"/>
      <c r="G916" s="31"/>
      <c r="L916" s="31"/>
      <c r="M916" s="31"/>
      <c r="N916" s="31"/>
    </row>
    <row r="917" spans="2:14" ht="12.75">
      <c r="B917" s="31"/>
      <c r="C917" s="31"/>
      <c r="D917" s="31"/>
      <c r="E917" s="31"/>
      <c r="F917" s="31"/>
      <c r="G917" s="31"/>
      <c r="L917" s="31"/>
      <c r="M917" s="31"/>
      <c r="N917" s="31"/>
    </row>
    <row r="918" spans="2:14" ht="12.75">
      <c r="B918" s="31"/>
      <c r="C918" s="31"/>
      <c r="D918" s="31"/>
      <c r="E918" s="31"/>
      <c r="F918" s="31"/>
      <c r="G918" s="31"/>
      <c r="L918" s="31"/>
      <c r="M918" s="31"/>
      <c r="N918" s="31"/>
    </row>
    <row r="919" spans="2:14" ht="12.75">
      <c r="B919" s="31"/>
      <c r="C919" s="31"/>
      <c r="D919" s="31"/>
      <c r="E919" s="31"/>
      <c r="F919" s="31"/>
      <c r="G919" s="31"/>
      <c r="L919" s="31"/>
      <c r="M919" s="31"/>
      <c r="N919" s="31"/>
    </row>
    <row r="920" spans="2:14" ht="12.75">
      <c r="B920" s="31"/>
      <c r="C920" s="31"/>
      <c r="D920" s="31"/>
      <c r="E920" s="31"/>
      <c r="F920" s="31"/>
      <c r="G920" s="31"/>
      <c r="L920" s="31"/>
      <c r="M920" s="31"/>
      <c r="N920" s="31"/>
    </row>
    <row r="921" spans="2:14" ht="12.75">
      <c r="B921" s="31"/>
      <c r="C921" s="31"/>
      <c r="D921" s="31"/>
      <c r="E921" s="31"/>
      <c r="F921" s="31"/>
      <c r="G921" s="31"/>
      <c r="L921" s="31"/>
      <c r="M921" s="31"/>
      <c r="N921" s="31"/>
    </row>
    <row r="922" spans="2:14" ht="12.75">
      <c r="B922" s="31"/>
      <c r="C922" s="31"/>
      <c r="D922" s="31"/>
      <c r="E922" s="31"/>
      <c r="F922" s="31"/>
      <c r="G922" s="31"/>
      <c r="L922" s="31"/>
      <c r="M922" s="31"/>
      <c r="N922" s="31"/>
    </row>
    <row r="923" spans="2:14" ht="12.75">
      <c r="B923" s="31"/>
      <c r="C923" s="31"/>
      <c r="D923" s="31"/>
      <c r="E923" s="31"/>
      <c r="F923" s="31"/>
      <c r="G923" s="31"/>
      <c r="L923" s="31"/>
      <c r="M923" s="31"/>
      <c r="N923" s="31"/>
    </row>
    <row r="924" spans="2:14" ht="12.75">
      <c r="B924" s="31"/>
      <c r="C924" s="31"/>
      <c r="D924" s="31"/>
      <c r="E924" s="31"/>
      <c r="F924" s="31"/>
      <c r="G924" s="31"/>
      <c r="L924" s="31"/>
      <c r="M924" s="31"/>
      <c r="N924" s="31"/>
    </row>
    <row r="925" spans="2:14" ht="12.75">
      <c r="B925" s="31"/>
      <c r="C925" s="31"/>
      <c r="D925" s="31"/>
      <c r="E925" s="31"/>
      <c r="F925" s="31"/>
      <c r="G925" s="31"/>
      <c r="L925" s="31"/>
      <c r="M925" s="31"/>
      <c r="N925" s="31"/>
    </row>
    <row r="926" spans="2:14" ht="12.75">
      <c r="B926" s="31"/>
      <c r="C926" s="31"/>
      <c r="D926" s="31"/>
      <c r="E926" s="31"/>
      <c r="F926" s="31"/>
      <c r="G926" s="31"/>
      <c r="L926" s="31"/>
      <c r="M926" s="31"/>
      <c r="N926" s="31"/>
    </row>
    <row r="927" spans="2:14" ht="12.75">
      <c r="B927" s="31"/>
      <c r="C927" s="31"/>
      <c r="D927" s="31"/>
      <c r="E927" s="31"/>
      <c r="F927" s="31"/>
      <c r="G927" s="31"/>
      <c r="L927" s="31"/>
      <c r="M927" s="31"/>
      <c r="N927" s="31"/>
    </row>
    <row r="928" spans="2:14" ht="12.75">
      <c r="B928" s="31"/>
      <c r="C928" s="31"/>
      <c r="D928" s="31"/>
      <c r="E928" s="31"/>
      <c r="F928" s="31"/>
      <c r="G928" s="31"/>
      <c r="L928" s="31"/>
      <c r="M928" s="31"/>
      <c r="N928" s="31"/>
    </row>
    <row r="929" spans="2:14" ht="12.75">
      <c r="B929" s="31"/>
      <c r="C929" s="31"/>
      <c r="D929" s="31"/>
      <c r="E929" s="31"/>
      <c r="F929" s="31"/>
      <c r="G929" s="31"/>
      <c r="L929" s="31"/>
      <c r="M929" s="31"/>
      <c r="N929" s="31"/>
    </row>
    <row r="930" spans="2:14" ht="12.75">
      <c r="B930" s="31"/>
      <c r="C930" s="31"/>
      <c r="D930" s="31"/>
      <c r="E930" s="31"/>
      <c r="F930" s="31"/>
      <c r="G930" s="31"/>
      <c r="L930" s="31"/>
      <c r="M930" s="31"/>
      <c r="N930" s="31"/>
    </row>
    <row r="931" spans="2:14" ht="12.75">
      <c r="B931" s="31"/>
      <c r="C931" s="31"/>
      <c r="D931" s="31"/>
      <c r="E931" s="31"/>
      <c r="F931" s="31"/>
      <c r="G931" s="31"/>
      <c r="L931" s="31"/>
      <c r="M931" s="31"/>
      <c r="N931" s="31"/>
    </row>
    <row r="932" spans="2:14" ht="12.75">
      <c r="B932" s="31"/>
      <c r="C932" s="31"/>
      <c r="D932" s="31"/>
      <c r="E932" s="31"/>
      <c r="F932" s="31"/>
      <c r="G932" s="31"/>
      <c r="L932" s="31"/>
      <c r="M932" s="31"/>
      <c r="N932" s="31"/>
    </row>
    <row r="933" spans="2:14" ht="12.75">
      <c r="B933" s="31"/>
      <c r="C933" s="31"/>
      <c r="D933" s="31"/>
      <c r="E933" s="31"/>
      <c r="F933" s="31"/>
      <c r="G933" s="31"/>
      <c r="L933" s="31"/>
      <c r="M933" s="31"/>
      <c r="N933" s="31"/>
    </row>
    <row r="934" spans="2:14" ht="12.75">
      <c r="B934" s="31"/>
      <c r="C934" s="31"/>
      <c r="D934" s="31"/>
      <c r="E934" s="31"/>
      <c r="F934" s="31"/>
      <c r="G934" s="31"/>
      <c r="L934" s="31"/>
      <c r="M934" s="31"/>
      <c r="N934" s="31"/>
    </row>
    <row r="935" spans="2:14" ht="12.75">
      <c r="B935" s="31"/>
      <c r="C935" s="31"/>
      <c r="D935" s="31"/>
      <c r="E935" s="31"/>
      <c r="F935" s="31"/>
      <c r="G935" s="31"/>
      <c r="L935" s="31"/>
      <c r="M935" s="31"/>
      <c r="N935" s="31"/>
    </row>
    <row r="936" spans="2:14" ht="12.75">
      <c r="B936" s="31"/>
      <c r="C936" s="31"/>
      <c r="D936" s="31"/>
      <c r="E936" s="31"/>
      <c r="F936" s="31"/>
      <c r="G936" s="31"/>
      <c r="L936" s="31"/>
      <c r="M936" s="31"/>
      <c r="N936" s="31"/>
    </row>
    <row r="937" spans="2:14" ht="12.75">
      <c r="B937" s="31"/>
      <c r="C937" s="31"/>
      <c r="D937" s="31"/>
      <c r="E937" s="31"/>
      <c r="F937" s="31"/>
      <c r="G937" s="31"/>
      <c r="L937" s="31"/>
      <c r="M937" s="31"/>
      <c r="N937" s="31"/>
    </row>
    <row r="938" spans="2:14" ht="12.75">
      <c r="B938" s="31"/>
      <c r="C938" s="31"/>
      <c r="D938" s="31"/>
      <c r="E938" s="31"/>
      <c r="F938" s="31"/>
      <c r="G938" s="31"/>
      <c r="L938" s="31"/>
      <c r="M938" s="31"/>
      <c r="N938" s="31"/>
    </row>
    <row r="939" spans="2:14" ht="12.75">
      <c r="B939" s="31"/>
      <c r="C939" s="31"/>
      <c r="D939" s="31"/>
      <c r="E939" s="31"/>
      <c r="F939" s="31"/>
      <c r="G939" s="31"/>
      <c r="L939" s="31"/>
      <c r="M939" s="31"/>
      <c r="N939" s="31"/>
    </row>
    <row r="940" spans="2:14" ht="12.75">
      <c r="B940" s="31"/>
      <c r="C940" s="31"/>
      <c r="D940" s="31"/>
      <c r="E940" s="31"/>
      <c r="F940" s="31"/>
      <c r="G940" s="31"/>
      <c r="L940" s="31"/>
      <c r="M940" s="31"/>
      <c r="N940" s="31"/>
    </row>
    <row r="941" spans="2:14" ht="12.75">
      <c r="B941" s="31"/>
      <c r="C941" s="31"/>
      <c r="D941" s="31"/>
      <c r="E941" s="31"/>
      <c r="F941" s="31"/>
      <c r="G941" s="31"/>
      <c r="L941" s="31"/>
      <c r="M941" s="31"/>
      <c r="N941" s="31"/>
    </row>
    <row r="942" spans="2:14" ht="12.75">
      <c r="B942" s="31"/>
      <c r="C942" s="31"/>
      <c r="D942" s="31"/>
      <c r="E942" s="31"/>
      <c r="F942" s="31"/>
      <c r="G942" s="31"/>
      <c r="L942" s="31"/>
      <c r="M942" s="31"/>
      <c r="N942" s="31"/>
    </row>
    <row r="943" spans="2:14" ht="12.75">
      <c r="B943" s="31"/>
      <c r="C943" s="31"/>
      <c r="D943" s="31"/>
      <c r="E943" s="31"/>
      <c r="F943" s="31"/>
      <c r="G943" s="31"/>
      <c r="L943" s="31"/>
      <c r="M943" s="31"/>
      <c r="N943" s="31"/>
    </row>
    <row r="944" spans="2:14" ht="12.75">
      <c r="B944" s="31"/>
      <c r="C944" s="31"/>
      <c r="D944" s="31"/>
      <c r="E944" s="31"/>
      <c r="F944" s="31"/>
      <c r="G944" s="31"/>
      <c r="L944" s="31"/>
      <c r="M944" s="31"/>
      <c r="N944" s="31"/>
    </row>
    <row r="945" spans="2:14" ht="12.75">
      <c r="B945" s="31"/>
      <c r="C945" s="31"/>
      <c r="D945" s="31"/>
      <c r="E945" s="31"/>
      <c r="F945" s="31"/>
      <c r="G945" s="31"/>
      <c r="L945" s="31"/>
      <c r="M945" s="31"/>
      <c r="N945" s="31"/>
    </row>
    <row r="946" spans="2:14" ht="12.75">
      <c r="B946" s="31"/>
      <c r="C946" s="31"/>
      <c r="D946" s="31"/>
      <c r="E946" s="31"/>
      <c r="F946" s="31"/>
      <c r="G946" s="31"/>
      <c r="L946" s="31"/>
      <c r="M946" s="31"/>
      <c r="N946" s="31"/>
    </row>
    <row r="947" spans="2:14" ht="12.75">
      <c r="B947" s="31"/>
      <c r="C947" s="31"/>
      <c r="D947" s="31"/>
      <c r="E947" s="31"/>
      <c r="F947" s="31"/>
      <c r="G947" s="31"/>
      <c r="L947" s="31"/>
      <c r="M947" s="31"/>
      <c r="N947" s="31"/>
    </row>
    <row r="948" spans="2:14" ht="12.75">
      <c r="B948" s="31"/>
      <c r="C948" s="31"/>
      <c r="D948" s="31"/>
      <c r="E948" s="31"/>
      <c r="F948" s="31"/>
      <c r="G948" s="31"/>
      <c r="L948" s="31"/>
      <c r="M948" s="31"/>
      <c r="N948" s="31"/>
    </row>
    <row r="949" spans="2:14" ht="12.75">
      <c r="B949" s="31"/>
      <c r="C949" s="31"/>
      <c r="D949" s="31"/>
      <c r="E949" s="31"/>
      <c r="F949" s="31"/>
      <c r="G949" s="31"/>
      <c r="L949" s="31"/>
      <c r="M949" s="31"/>
      <c r="N949" s="31"/>
    </row>
    <row r="950" spans="2:14" ht="12.75">
      <c r="B950" s="31"/>
      <c r="C950" s="31"/>
      <c r="D950" s="31"/>
      <c r="E950" s="31"/>
      <c r="F950" s="31"/>
      <c r="G950" s="31"/>
      <c r="L950" s="31"/>
      <c r="M950" s="31"/>
      <c r="N950" s="31"/>
    </row>
    <row r="951" spans="2:14" ht="12.75">
      <c r="B951" s="31"/>
      <c r="C951" s="31"/>
      <c r="D951" s="31"/>
      <c r="E951" s="31"/>
      <c r="F951" s="31"/>
      <c r="G951" s="31"/>
      <c r="L951" s="31"/>
      <c r="M951" s="31"/>
      <c r="N951" s="31"/>
    </row>
    <row r="952" spans="2:14" ht="12.75">
      <c r="B952" s="31"/>
      <c r="C952" s="31"/>
      <c r="D952" s="31"/>
      <c r="E952" s="31"/>
      <c r="F952" s="31"/>
      <c r="G952" s="31"/>
      <c r="L952" s="31"/>
      <c r="M952" s="31"/>
      <c r="N952" s="31"/>
    </row>
    <row r="953" spans="2:14" ht="12.75">
      <c r="B953" s="31"/>
      <c r="C953" s="31"/>
      <c r="D953" s="31"/>
      <c r="E953" s="31"/>
      <c r="F953" s="31"/>
      <c r="G953" s="31"/>
      <c r="L953" s="31"/>
      <c r="M953" s="31"/>
      <c r="N953" s="31"/>
    </row>
    <row r="954" spans="2:14" ht="12.75">
      <c r="B954" s="31"/>
      <c r="C954" s="31"/>
      <c r="D954" s="31"/>
      <c r="E954" s="31"/>
      <c r="F954" s="31"/>
      <c r="G954" s="31"/>
      <c r="L954" s="31"/>
      <c r="M954" s="31"/>
      <c r="N954" s="31"/>
    </row>
    <row r="955" spans="2:14" ht="12.75">
      <c r="B955" s="31"/>
      <c r="C955" s="31"/>
      <c r="D955" s="31"/>
      <c r="E955" s="31"/>
      <c r="F955" s="31"/>
      <c r="G955" s="31"/>
      <c r="L955" s="31"/>
      <c r="M955" s="31"/>
      <c r="N955" s="31"/>
    </row>
    <row r="956" spans="2:14" ht="12.75">
      <c r="B956" s="31"/>
      <c r="C956" s="31"/>
      <c r="D956" s="31"/>
      <c r="E956" s="31"/>
      <c r="F956" s="31"/>
      <c r="G956" s="31"/>
      <c r="L956" s="31"/>
      <c r="M956" s="31"/>
      <c r="N956" s="31"/>
    </row>
    <row r="957" spans="2:14" ht="12.75">
      <c r="B957" s="31"/>
      <c r="C957" s="31"/>
      <c r="D957" s="31"/>
      <c r="E957" s="31"/>
      <c r="F957" s="31"/>
      <c r="G957" s="31"/>
      <c r="L957" s="31"/>
      <c r="M957" s="31"/>
      <c r="N957" s="31"/>
    </row>
    <row r="958" spans="2:14" ht="12.75">
      <c r="B958" s="31"/>
      <c r="C958" s="31"/>
      <c r="D958" s="31"/>
      <c r="E958" s="31"/>
      <c r="F958" s="31"/>
      <c r="G958" s="31"/>
      <c r="L958" s="31"/>
      <c r="M958" s="31"/>
      <c r="N958" s="31"/>
    </row>
    <row r="959" spans="2:14" ht="12.75">
      <c r="B959" s="31"/>
      <c r="C959" s="31"/>
      <c r="D959" s="31"/>
      <c r="E959" s="31"/>
      <c r="F959" s="31"/>
      <c r="G959" s="31"/>
      <c r="L959" s="31"/>
      <c r="M959" s="31"/>
      <c r="N959" s="31"/>
    </row>
    <row r="960" spans="2:14" ht="12.75">
      <c r="B960" s="31"/>
      <c r="C960" s="31"/>
      <c r="D960" s="31"/>
      <c r="E960" s="31"/>
      <c r="F960" s="31"/>
      <c r="G960" s="31"/>
      <c r="L960" s="31"/>
      <c r="M960" s="31"/>
      <c r="N960" s="31"/>
    </row>
    <row r="961" spans="2:14" ht="12.75">
      <c r="B961" s="31"/>
      <c r="C961" s="31"/>
      <c r="D961" s="31"/>
      <c r="E961" s="31"/>
      <c r="F961" s="31"/>
      <c r="G961" s="31"/>
      <c r="L961" s="31"/>
      <c r="M961" s="31"/>
      <c r="N961" s="31"/>
    </row>
    <row r="962" spans="2:14" ht="12.75">
      <c r="B962" s="31"/>
      <c r="C962" s="31"/>
      <c r="D962" s="31"/>
      <c r="E962" s="31"/>
      <c r="F962" s="31"/>
      <c r="G962" s="31"/>
      <c r="L962" s="31"/>
      <c r="M962" s="31"/>
      <c r="N962" s="31"/>
    </row>
    <row r="963" spans="2:14" ht="12.75">
      <c r="B963" s="31"/>
      <c r="C963" s="31"/>
      <c r="D963" s="31"/>
      <c r="E963" s="31"/>
      <c r="F963" s="31"/>
      <c r="G963" s="31"/>
      <c r="L963" s="31"/>
      <c r="M963" s="31"/>
      <c r="N963" s="31"/>
    </row>
    <row r="964" spans="2:14" ht="12.75">
      <c r="B964" s="31"/>
      <c r="C964" s="31"/>
      <c r="D964" s="31"/>
      <c r="E964" s="31"/>
      <c r="F964" s="31"/>
      <c r="G964" s="31"/>
      <c r="L964" s="31"/>
      <c r="M964" s="31"/>
      <c r="N964" s="31"/>
    </row>
    <row r="965" spans="2:14" ht="12.75">
      <c r="B965" s="31"/>
      <c r="C965" s="31"/>
      <c r="D965" s="31"/>
      <c r="E965" s="31"/>
      <c r="F965" s="31"/>
      <c r="G965" s="31"/>
      <c r="L965" s="31"/>
      <c r="M965" s="31"/>
      <c r="N965" s="31"/>
    </row>
    <row r="966" spans="2:14" ht="12.75">
      <c r="B966" s="31"/>
      <c r="C966" s="31"/>
      <c r="D966" s="31"/>
      <c r="E966" s="31"/>
      <c r="F966" s="31"/>
      <c r="G966" s="31"/>
      <c r="L966" s="31"/>
      <c r="M966" s="31"/>
      <c r="N966" s="31"/>
    </row>
    <row r="967" spans="2:14" ht="12.75">
      <c r="B967" s="31"/>
      <c r="C967" s="31"/>
      <c r="D967" s="31"/>
      <c r="E967" s="31"/>
      <c r="F967" s="31"/>
      <c r="G967" s="31"/>
      <c r="L967" s="31"/>
      <c r="M967" s="31"/>
      <c r="N967" s="31"/>
    </row>
    <row r="968" spans="2:14" ht="12.75">
      <c r="B968" s="31"/>
      <c r="C968" s="31"/>
      <c r="D968" s="31"/>
      <c r="E968" s="31"/>
      <c r="F968" s="31"/>
      <c r="G968" s="31"/>
      <c r="L968" s="31"/>
      <c r="M968" s="31"/>
      <c r="N968" s="31"/>
    </row>
    <row r="969" spans="2:14" ht="12.75">
      <c r="B969" s="31"/>
      <c r="C969" s="31"/>
      <c r="D969" s="31"/>
      <c r="E969" s="31"/>
      <c r="F969" s="31"/>
      <c r="G969" s="31"/>
      <c r="L969" s="31"/>
      <c r="M969" s="31"/>
      <c r="N969" s="31"/>
    </row>
    <row r="970" spans="2:14" ht="12.75">
      <c r="B970" s="31"/>
      <c r="C970" s="31"/>
      <c r="D970" s="31"/>
      <c r="E970" s="31"/>
      <c r="F970" s="31"/>
      <c r="G970" s="31"/>
      <c r="L970" s="31"/>
      <c r="M970" s="31"/>
      <c r="N970" s="31"/>
    </row>
    <row r="971" spans="2:14" ht="12.75">
      <c r="B971" s="31"/>
      <c r="C971" s="31"/>
      <c r="D971" s="31"/>
      <c r="E971" s="31"/>
      <c r="F971" s="31"/>
      <c r="G971" s="31"/>
      <c r="L971" s="31"/>
      <c r="M971" s="31"/>
      <c r="N971" s="31"/>
    </row>
    <row r="972" spans="2:14" ht="12.75">
      <c r="B972" s="31"/>
      <c r="C972" s="31"/>
      <c r="D972" s="31"/>
      <c r="E972" s="31"/>
      <c r="F972" s="31"/>
      <c r="G972" s="31"/>
      <c r="L972" s="31"/>
      <c r="M972" s="31"/>
      <c r="N972" s="31"/>
    </row>
    <row r="973" spans="2:14" ht="12.75">
      <c r="B973" s="31"/>
      <c r="C973" s="31"/>
      <c r="D973" s="31"/>
      <c r="E973" s="31"/>
      <c r="F973" s="31"/>
      <c r="G973" s="31"/>
      <c r="L973" s="31"/>
      <c r="M973" s="31"/>
      <c r="N973" s="31"/>
    </row>
    <row r="974" spans="2:14" ht="12.75">
      <c r="B974" s="31"/>
      <c r="C974" s="31"/>
      <c r="D974" s="31"/>
      <c r="E974" s="31"/>
      <c r="F974" s="31"/>
      <c r="G974" s="31"/>
      <c r="L974" s="31"/>
      <c r="M974" s="31"/>
      <c r="N974" s="31"/>
    </row>
    <row r="975" spans="2:14" ht="12.75">
      <c r="B975" s="31"/>
      <c r="C975" s="31"/>
      <c r="D975" s="31"/>
      <c r="E975" s="31"/>
      <c r="F975" s="31"/>
      <c r="G975" s="31"/>
      <c r="L975" s="31"/>
      <c r="M975" s="31"/>
      <c r="N975" s="31"/>
    </row>
    <row r="976" spans="2:14" ht="12.75">
      <c r="B976" s="31"/>
      <c r="C976" s="31"/>
      <c r="D976" s="31"/>
      <c r="E976" s="31"/>
      <c r="F976" s="31"/>
      <c r="G976" s="31"/>
      <c r="L976" s="31"/>
      <c r="M976" s="31"/>
      <c r="N976" s="31"/>
    </row>
    <row r="977" spans="2:14" ht="12.75">
      <c r="B977" s="31"/>
      <c r="C977" s="31"/>
      <c r="D977" s="31"/>
      <c r="E977" s="31"/>
      <c r="F977" s="31"/>
      <c r="G977" s="31"/>
      <c r="L977" s="31"/>
      <c r="M977" s="31"/>
      <c r="N977" s="31"/>
    </row>
    <row r="978" spans="2:14" ht="12.75">
      <c r="B978" s="31"/>
      <c r="C978" s="31"/>
      <c r="D978" s="31"/>
      <c r="E978" s="31"/>
      <c r="F978" s="31"/>
      <c r="G978" s="31"/>
      <c r="L978" s="31"/>
      <c r="M978" s="31"/>
      <c r="N978" s="31"/>
    </row>
    <row r="979" spans="2:14" ht="12.75">
      <c r="B979" s="31"/>
      <c r="C979" s="31"/>
      <c r="D979" s="31"/>
      <c r="E979" s="31"/>
      <c r="F979" s="31"/>
      <c r="G979" s="31"/>
      <c r="L979" s="31"/>
      <c r="M979" s="31"/>
      <c r="N979" s="31"/>
    </row>
    <row r="980" spans="2:14" ht="12.75">
      <c r="B980" s="31"/>
      <c r="C980" s="31"/>
      <c r="D980" s="31"/>
      <c r="E980" s="31"/>
      <c r="F980" s="31"/>
      <c r="G980" s="31"/>
      <c r="L980" s="31"/>
      <c r="M980" s="31"/>
      <c r="N980" s="31"/>
    </row>
    <row r="981" spans="2:14" ht="12.75">
      <c r="B981" s="31"/>
      <c r="C981" s="31"/>
      <c r="D981" s="31"/>
      <c r="E981" s="31"/>
      <c r="F981" s="31"/>
      <c r="G981" s="31"/>
      <c r="L981" s="31"/>
      <c r="M981" s="31"/>
      <c r="N981" s="31"/>
    </row>
    <row r="982" spans="2:14" ht="12.75">
      <c r="B982" s="31"/>
      <c r="C982" s="31"/>
      <c r="D982" s="31"/>
      <c r="E982" s="31"/>
      <c r="F982" s="31"/>
      <c r="G982" s="31"/>
      <c r="L982" s="31"/>
      <c r="M982" s="31"/>
      <c r="N982" s="31"/>
    </row>
    <row r="983" spans="2:14" ht="12.75">
      <c r="B983" s="31"/>
      <c r="C983" s="31"/>
      <c r="D983" s="31"/>
      <c r="E983" s="31"/>
      <c r="F983" s="31"/>
      <c r="G983" s="31"/>
      <c r="L983" s="31"/>
      <c r="M983" s="31"/>
      <c r="N983" s="31"/>
    </row>
    <row r="984" spans="2:14" ht="12.75">
      <c r="B984" s="31"/>
      <c r="C984" s="31"/>
      <c r="D984" s="31"/>
      <c r="E984" s="31"/>
      <c r="F984" s="31"/>
      <c r="G984" s="31"/>
      <c r="L984" s="31"/>
      <c r="M984" s="31"/>
      <c r="N984" s="31"/>
    </row>
    <row r="985" spans="2:14" ht="12.75">
      <c r="B985" s="31"/>
      <c r="C985" s="31"/>
      <c r="D985" s="31"/>
      <c r="E985" s="31"/>
      <c r="F985" s="31"/>
      <c r="G985" s="31"/>
      <c r="L985" s="31"/>
      <c r="M985" s="31"/>
      <c r="N985" s="31"/>
    </row>
    <row r="986" spans="2:14" ht="12.75">
      <c r="B986" s="31"/>
      <c r="C986" s="31"/>
      <c r="D986" s="31"/>
      <c r="E986" s="31"/>
      <c r="F986" s="31"/>
      <c r="G986" s="31"/>
      <c r="I986" s="55"/>
      <c r="J986" s="31"/>
      <c r="K986" s="31"/>
      <c r="L986" s="31"/>
      <c r="M986" s="31"/>
      <c r="N986" s="31"/>
    </row>
    <row r="987" spans="2:14" ht="12.75">
      <c r="B987" s="31"/>
      <c r="C987" s="31"/>
      <c r="D987" s="31"/>
      <c r="E987" s="31"/>
      <c r="F987" s="31"/>
      <c r="G987" s="31"/>
      <c r="I987" s="55"/>
      <c r="J987" s="31"/>
      <c r="K987" s="31"/>
      <c r="L987" s="31"/>
      <c r="M987" s="31"/>
      <c r="N987" s="31"/>
    </row>
    <row r="988" spans="2:14" ht="12.75">
      <c r="B988" s="31"/>
      <c r="C988" s="31"/>
      <c r="D988" s="31"/>
      <c r="E988" s="31"/>
      <c r="F988" s="31"/>
      <c r="G988" s="31"/>
      <c r="I988" s="55"/>
      <c r="J988" s="31"/>
      <c r="K988" s="31"/>
      <c r="L988" s="31"/>
      <c r="M988" s="31"/>
      <c r="N988" s="31"/>
    </row>
    <row r="989" spans="2:14" ht="12.75">
      <c r="B989" s="31"/>
      <c r="C989" s="31"/>
      <c r="D989" s="31"/>
      <c r="E989" s="31"/>
      <c r="F989" s="31"/>
      <c r="G989" s="31"/>
      <c r="I989" s="55"/>
      <c r="J989" s="31"/>
      <c r="K989" s="31"/>
      <c r="L989" s="31"/>
      <c r="M989" s="31"/>
      <c r="N989" s="31"/>
    </row>
    <row r="990" spans="2:14" ht="12.75">
      <c r="B990" s="31"/>
      <c r="C990" s="31"/>
      <c r="D990" s="31"/>
      <c r="E990" s="31"/>
      <c r="F990" s="31"/>
      <c r="G990" s="31"/>
      <c r="I990" s="55"/>
      <c r="J990" s="31"/>
      <c r="K990" s="31"/>
      <c r="L990" s="31"/>
      <c r="M990" s="31"/>
      <c r="N990" s="31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103"/>
  <sheetViews>
    <sheetView workbookViewId="0"/>
  </sheetViews>
  <sheetFormatPr defaultColWidth="14.42578125" defaultRowHeight="15.75" customHeight="1"/>
  <sheetData>
    <row r="1" spans="1:11" ht="15.75" customHeight="1">
      <c r="A1" s="7" t="s">
        <v>506</v>
      </c>
      <c r="B1" s="23" t="s">
        <v>507</v>
      </c>
      <c r="C1" s="24">
        <v>42864</v>
      </c>
      <c r="D1" s="24">
        <v>43022</v>
      </c>
      <c r="E1" s="25">
        <v>15</v>
      </c>
      <c r="F1" s="28" t="s">
        <v>637</v>
      </c>
    </row>
    <row r="2" spans="1:11" ht="15.75" customHeight="1">
      <c r="A2" s="32">
        <v>9330192</v>
      </c>
      <c r="B2" s="13">
        <v>216</v>
      </c>
      <c r="C2" s="13">
        <v>251</v>
      </c>
      <c r="D2" s="13">
        <v>250</v>
      </c>
      <c r="E2" s="13">
        <v>285</v>
      </c>
      <c r="F2" s="29">
        <v>4096</v>
      </c>
      <c r="H2" s="13">
        <v>5.2766247331569399E-2</v>
      </c>
      <c r="I2" s="13">
        <v>6.1393041152786709E-2</v>
      </c>
      <c r="J2" s="13">
        <v>6.1009367441504425E-2</v>
      </c>
      <c r="K2">
        <v>6.9489852864372731E-2</v>
      </c>
    </row>
    <row r="3" spans="1:11" ht="15.75" customHeight="1">
      <c r="A3" s="32">
        <v>9330186.0099999998</v>
      </c>
      <c r="B3" s="13">
        <v>382</v>
      </c>
      <c r="C3" s="13">
        <v>369</v>
      </c>
      <c r="D3" s="13">
        <v>385</v>
      </c>
      <c r="E3" s="13">
        <v>405</v>
      </c>
      <c r="F3" s="29">
        <v>6015</v>
      </c>
      <c r="H3" s="13">
        <v>6.3427301888008436E-2</v>
      </c>
      <c r="I3" s="13">
        <v>6.1325578474809614E-2</v>
      </c>
      <c r="J3" s="13">
        <v>6.3977185133478678E-2</v>
      </c>
      <c r="K3">
        <v>6.7346993482185313E-2</v>
      </c>
    </row>
    <row r="4" spans="1:11" ht="15.75" customHeight="1">
      <c r="A4" s="32">
        <v>186.02</v>
      </c>
      <c r="B4" s="13">
        <v>301</v>
      </c>
      <c r="C4" s="13">
        <v>309</v>
      </c>
      <c r="D4" s="13">
        <v>325</v>
      </c>
      <c r="E4" s="13">
        <v>334</v>
      </c>
      <c r="F4" s="29">
        <v>4977</v>
      </c>
      <c r="H4" s="13">
        <v>6.05713915717465E-2</v>
      </c>
      <c r="I4" s="13">
        <v>6.2030309591413882E-2</v>
      </c>
      <c r="J4" s="13">
        <v>6.534041077869257E-2</v>
      </c>
      <c r="K4">
        <v>6.705053265838605E-2</v>
      </c>
    </row>
    <row r="5" spans="1:11" ht="15.75" customHeight="1">
      <c r="A5" s="32">
        <v>186.05</v>
      </c>
      <c r="B5" s="13">
        <v>385</v>
      </c>
      <c r="C5" s="13">
        <v>439</v>
      </c>
      <c r="D5" s="13">
        <v>434</v>
      </c>
      <c r="E5" s="13">
        <v>425</v>
      </c>
      <c r="F5" s="29">
        <v>5806</v>
      </c>
      <c r="H5" s="13">
        <v>6.6243410120918722E-2</v>
      </c>
      <c r="I5" s="13">
        <v>7.5534112284319679E-2</v>
      </c>
      <c r="J5" s="13">
        <v>7.4683270048530814E-2</v>
      </c>
      <c r="K5">
        <v>7.320041582566339E-2</v>
      </c>
    </row>
    <row r="6" spans="1:11" ht="15.75" customHeight="1">
      <c r="A6" s="32">
        <v>186.06</v>
      </c>
      <c r="B6" s="13">
        <v>277</v>
      </c>
      <c r="C6" s="13">
        <v>262</v>
      </c>
      <c r="D6" s="13">
        <v>250</v>
      </c>
      <c r="E6" s="13">
        <v>220</v>
      </c>
      <c r="F6" s="29">
        <v>3496</v>
      </c>
      <c r="H6" s="13">
        <v>7.9231510328722443E-2</v>
      </c>
      <c r="I6" s="13">
        <v>7.4818260311470694E-2</v>
      </c>
      <c r="J6" s="13">
        <v>7.1589806664214051E-2</v>
      </c>
      <c r="K6">
        <v>6.2886289424603878E-2</v>
      </c>
    </row>
    <row r="7" spans="1:11" ht="15.75" customHeight="1">
      <c r="A7" s="32">
        <v>185.09</v>
      </c>
      <c r="B7" s="13">
        <v>293</v>
      </c>
      <c r="C7" s="13">
        <v>253</v>
      </c>
      <c r="D7" s="13">
        <v>244</v>
      </c>
      <c r="E7" s="13">
        <v>214</v>
      </c>
      <c r="F7" s="29">
        <v>3890</v>
      </c>
      <c r="H7" s="13">
        <v>7.5415148322747511E-2</v>
      </c>
      <c r="I7" s="13">
        <v>6.5021811078026029E-2</v>
      </c>
      <c r="J7" s="13">
        <v>6.2805159795874477E-2</v>
      </c>
      <c r="K7">
        <v>5.4988243199467983E-2</v>
      </c>
    </row>
    <row r="8" spans="1:11" ht="15.75" customHeight="1">
      <c r="A8" s="32">
        <v>185.11</v>
      </c>
      <c r="B8" s="13">
        <v>542</v>
      </c>
      <c r="C8" s="13">
        <v>541</v>
      </c>
      <c r="D8" s="13">
        <v>482</v>
      </c>
      <c r="E8" s="13">
        <v>410</v>
      </c>
      <c r="F8" s="29">
        <v>6585</v>
      </c>
      <c r="H8" s="13">
        <v>8.2347042508968737E-2</v>
      </c>
      <c r="I8" s="13">
        <v>8.215576594661203E-2</v>
      </c>
      <c r="J8" s="13">
        <v>7.3228873103017303E-2</v>
      </c>
      <c r="K8">
        <v>6.2296973342806344E-2</v>
      </c>
    </row>
    <row r="9" spans="1:11" ht="15.75" customHeight="1">
      <c r="A9" s="32">
        <v>185.1</v>
      </c>
      <c r="B9" s="13">
        <v>402</v>
      </c>
      <c r="C9" s="13">
        <v>399</v>
      </c>
      <c r="D9" s="13">
        <v>344</v>
      </c>
      <c r="E9" s="13">
        <v>323</v>
      </c>
      <c r="F9" s="29">
        <v>4717</v>
      </c>
      <c r="H9" s="13">
        <v>8.5120226897720308E-2</v>
      </c>
      <c r="I9" s="13">
        <v>8.4672241334140752E-2</v>
      </c>
      <c r="J9" s="13">
        <v>7.2879552513365781E-2</v>
      </c>
      <c r="K9">
        <v>6.8469601815079412E-2</v>
      </c>
    </row>
    <row r="10" spans="1:11" ht="15.75" customHeight="1">
      <c r="A10" s="32">
        <v>185.21</v>
      </c>
      <c r="B10" s="13">
        <v>251</v>
      </c>
      <c r="C10" s="13">
        <v>259</v>
      </c>
      <c r="D10" s="13">
        <v>250</v>
      </c>
      <c r="E10" s="13">
        <v>224</v>
      </c>
      <c r="F10" s="29">
        <f t="shared" ref="F10:F11" si="0">6891/2</f>
        <v>3445.5</v>
      </c>
      <c r="H10" s="13">
        <v>7.2864503639820097E-2</v>
      </c>
      <c r="I10" s="13">
        <v>7.5216186766819682E-2</v>
      </c>
      <c r="J10" s="13">
        <v>7.2452995316919372E-2</v>
      </c>
      <c r="K10">
        <v>6.5008172207539294E-2</v>
      </c>
    </row>
    <row r="11" spans="1:11" ht="15.75" customHeight="1">
      <c r="A11" s="32">
        <v>185.22</v>
      </c>
      <c r="B11" s="13">
        <v>295</v>
      </c>
      <c r="C11" s="13">
        <v>268</v>
      </c>
      <c r="D11" s="13">
        <v>236</v>
      </c>
      <c r="E11" s="13">
        <v>239</v>
      </c>
      <c r="F11" s="29">
        <f t="shared" si="0"/>
        <v>3445.5</v>
      </c>
      <c r="H11" s="13">
        <v>8.5633782509176762E-2</v>
      </c>
      <c r="I11" s="13">
        <v>7.7657682148514401E-2</v>
      </c>
      <c r="J11" s="13">
        <v>6.8362265424273927E-2</v>
      </c>
      <c r="K11">
        <v>6.9284697982813975E-2</v>
      </c>
    </row>
    <row r="12" spans="1:11" ht="15.75" customHeight="1">
      <c r="A12" s="32">
        <v>185.17</v>
      </c>
      <c r="B12" s="13">
        <v>117</v>
      </c>
      <c r="C12" s="13">
        <v>117</v>
      </c>
      <c r="D12" s="13">
        <v>132</v>
      </c>
      <c r="E12" s="13">
        <v>157</v>
      </c>
      <c r="F12" s="29">
        <v>2351</v>
      </c>
      <c r="H12" s="13">
        <v>4.9609842638934962E-2</v>
      </c>
      <c r="I12" s="13">
        <v>4.9693018515046178E-2</v>
      </c>
      <c r="J12" s="13">
        <v>5.6042591176946661E-2</v>
      </c>
      <c r="K12">
        <v>6.6892742651061432E-2</v>
      </c>
    </row>
    <row r="13" spans="1:11" ht="15.75" customHeight="1">
      <c r="A13" s="32">
        <v>185.18</v>
      </c>
      <c r="B13" s="13">
        <v>274</v>
      </c>
      <c r="C13" s="13">
        <v>288</v>
      </c>
      <c r="D13" s="13">
        <v>309</v>
      </c>
      <c r="E13" s="13">
        <v>344</v>
      </c>
      <c r="F13" s="29">
        <v>4701</v>
      </c>
      <c r="H13" s="13">
        <v>5.8231361772321397E-2</v>
      </c>
      <c r="I13" s="13">
        <v>6.1315180704429609E-2</v>
      </c>
      <c r="J13" s="13">
        <v>6.5809093375837485E-2</v>
      </c>
      <c r="K13">
        <v>7.3211070677014295E-2</v>
      </c>
    </row>
    <row r="14" spans="1:11" ht="15.75" customHeight="1">
      <c r="A14" s="32">
        <v>185.19</v>
      </c>
      <c r="B14" s="13">
        <v>250</v>
      </c>
      <c r="C14" s="13">
        <v>212</v>
      </c>
      <c r="D14" s="13">
        <v>215</v>
      </c>
      <c r="E14" s="13">
        <v>202</v>
      </c>
      <c r="F14" s="30">
        <f t="shared" ref="F14:F15" si="1">6051/2</f>
        <v>3025.5</v>
      </c>
      <c r="H14" s="13">
        <v>8.2701066844830057E-2</v>
      </c>
      <c r="I14" s="13">
        <v>6.9951249126724818E-2</v>
      </c>
      <c r="J14" s="13">
        <v>7.1169258272852365E-2</v>
      </c>
      <c r="K14">
        <v>6.6779239083678832E-2</v>
      </c>
    </row>
    <row r="15" spans="1:11" ht="15.75" customHeight="1">
      <c r="A15" s="32">
        <v>185.2</v>
      </c>
      <c r="B15" s="13">
        <v>258</v>
      </c>
      <c r="C15" s="13">
        <v>235</v>
      </c>
      <c r="D15" s="13">
        <v>227</v>
      </c>
      <c r="E15" s="13">
        <v>214</v>
      </c>
      <c r="F15" s="30">
        <f t="shared" si="1"/>
        <v>3025.5</v>
      </c>
      <c r="H15" s="13">
        <v>8.5421631008531618E-2</v>
      </c>
      <c r="I15" s="13">
        <v>7.7747486970751234E-2</v>
      </c>
      <c r="J15" s="13">
        <v>7.4922846024041007E-2</v>
      </c>
      <c r="K15">
        <v>7.0649910519067993E-2</v>
      </c>
    </row>
    <row r="16" spans="1:11" ht="15.75" customHeight="1">
      <c r="A16" s="32">
        <v>185.08</v>
      </c>
      <c r="B16" s="13">
        <v>50</v>
      </c>
      <c r="C16" s="13">
        <v>61</v>
      </c>
      <c r="D16" s="13">
        <v>75</v>
      </c>
      <c r="E16" s="13">
        <v>103</v>
      </c>
      <c r="F16" s="29">
        <v>1209</v>
      </c>
      <c r="H16" s="13">
        <v>4.1688785527102978E-2</v>
      </c>
      <c r="I16" s="13">
        <v>5.0696954759557454E-2</v>
      </c>
      <c r="J16" s="13">
        <v>6.1730053001002719E-2</v>
      </c>
      <c r="K16">
        <v>8.5262940586634306E-2</v>
      </c>
    </row>
    <row r="17" spans="1:11" ht="15.75" customHeight="1">
      <c r="A17" s="32">
        <v>185.07</v>
      </c>
      <c r="B17" s="13">
        <v>375</v>
      </c>
      <c r="C17" s="13">
        <v>409</v>
      </c>
      <c r="D17" s="13">
        <v>428</v>
      </c>
      <c r="E17" s="13">
        <v>434</v>
      </c>
      <c r="F17" s="29">
        <v>5548</v>
      </c>
      <c r="H17" s="13">
        <v>6.766986730654484E-2</v>
      </c>
      <c r="I17" s="13">
        <v>7.3640258868892416E-2</v>
      </c>
      <c r="J17" s="13">
        <v>7.7105609958412258E-2</v>
      </c>
      <c r="K17">
        <v>7.8154025808619743E-2</v>
      </c>
    </row>
    <row r="18" spans="1:11" ht="15.75" customHeight="1">
      <c r="A18" s="32">
        <v>185.12</v>
      </c>
      <c r="B18" s="13">
        <v>411</v>
      </c>
      <c r="C18" s="13">
        <v>453</v>
      </c>
      <c r="D18" s="13">
        <v>480</v>
      </c>
      <c r="E18" s="13">
        <v>434</v>
      </c>
      <c r="F18" s="29">
        <v>6133</v>
      </c>
      <c r="H18" s="13">
        <v>6.7034849601726926E-2</v>
      </c>
      <c r="I18" s="13">
        <v>7.3860576130826167E-2</v>
      </c>
      <c r="J18" s="13">
        <v>7.8345135666942858E-2</v>
      </c>
      <c r="K18">
        <v>7.072437018093472E-2</v>
      </c>
    </row>
    <row r="19" spans="1:11" ht="15.75" customHeight="1">
      <c r="A19" s="32">
        <v>185.16</v>
      </c>
      <c r="B19" s="13">
        <v>343</v>
      </c>
      <c r="C19" s="13">
        <v>350</v>
      </c>
      <c r="D19" s="13">
        <v>350</v>
      </c>
      <c r="E19" s="13">
        <v>321</v>
      </c>
      <c r="F19" s="29">
        <v>4425</v>
      </c>
      <c r="H19" s="13">
        <v>7.7553347705189485E-2</v>
      </c>
      <c r="I19" s="13">
        <v>7.9091059220405935E-2</v>
      </c>
      <c r="J19" s="13">
        <v>7.9067119651991716E-2</v>
      </c>
      <c r="K19">
        <v>7.2469536899192916E-2</v>
      </c>
    </row>
    <row r="20" spans="1:11" ht="15.75" customHeight="1">
      <c r="A20" s="32">
        <v>185.15</v>
      </c>
      <c r="B20" s="13">
        <v>419</v>
      </c>
      <c r="C20" s="13">
        <v>365</v>
      </c>
      <c r="D20" s="13">
        <v>319</v>
      </c>
      <c r="E20" s="13">
        <v>286</v>
      </c>
      <c r="F20" s="29">
        <v>5086</v>
      </c>
      <c r="H20" s="13">
        <v>8.2473047872880026E-2</v>
      </c>
      <c r="I20" s="13">
        <v>7.1681130283216363E-2</v>
      </c>
      <c r="J20" s="13">
        <v>6.2747503066409666E-2</v>
      </c>
      <c r="K20">
        <v>5.624302564717383E-2</v>
      </c>
    </row>
    <row r="21" spans="1:11" ht="15.75" customHeight="1">
      <c r="A21" s="33">
        <v>186.07</v>
      </c>
      <c r="B21" s="13">
        <v>342</v>
      </c>
      <c r="C21" s="13">
        <v>346</v>
      </c>
      <c r="D21" s="13">
        <v>336</v>
      </c>
      <c r="E21" s="13">
        <v>306</v>
      </c>
      <c r="F21" s="29">
        <v>4547</v>
      </c>
      <c r="H21" s="13">
        <v>7.5124028113233238E-2</v>
      </c>
      <c r="I21" s="13">
        <v>7.6050911830426352E-2</v>
      </c>
      <c r="J21" s="13">
        <v>7.3918462272490576E-2</v>
      </c>
      <c r="K21">
        <v>6.7383829231547246E-2</v>
      </c>
    </row>
    <row r="22" spans="1:11" ht="15.75" customHeight="1">
      <c r="A22" s="33">
        <v>186.08</v>
      </c>
      <c r="B22" s="13">
        <v>369</v>
      </c>
      <c r="C22" s="13">
        <v>398</v>
      </c>
      <c r="D22" s="13">
        <v>405</v>
      </c>
      <c r="E22" s="13">
        <v>392</v>
      </c>
      <c r="F22" s="29">
        <v>5259</v>
      </c>
      <c r="H22" s="13">
        <v>7.0150310562045515E-2</v>
      </c>
      <c r="I22" s="13">
        <v>7.5656087674873418E-2</v>
      </c>
      <c r="J22" s="13">
        <v>7.7001665740919434E-2</v>
      </c>
      <c r="K22">
        <v>7.4511224940751214E-2</v>
      </c>
    </row>
    <row r="23" spans="1:11" ht="15.75" customHeight="1">
      <c r="A23" s="33">
        <v>191.03</v>
      </c>
      <c r="B23" s="13">
        <v>312</v>
      </c>
      <c r="C23" s="13">
        <v>302</v>
      </c>
      <c r="D23" s="13">
        <v>295</v>
      </c>
      <c r="E23" s="13">
        <v>326</v>
      </c>
      <c r="F23" s="29">
        <v>4484</v>
      </c>
      <c r="H23" s="13">
        <v>6.953632488810263E-2</v>
      </c>
      <c r="I23" s="13">
        <v>6.7256453154803206E-2</v>
      </c>
      <c r="J23" s="13">
        <v>6.5771934021439271E-2</v>
      </c>
      <c r="K23">
        <v>7.2639897108735446E-2</v>
      </c>
    </row>
    <row r="24" spans="1:11" ht="15.75" customHeight="1">
      <c r="A24" s="33">
        <v>191.04</v>
      </c>
      <c r="B24" s="13">
        <v>248</v>
      </c>
      <c r="C24" s="13">
        <v>220</v>
      </c>
      <c r="D24" s="13">
        <v>229</v>
      </c>
      <c r="E24" s="13">
        <v>234</v>
      </c>
      <c r="F24" s="29">
        <v>4603</v>
      </c>
      <c r="H24" s="13">
        <v>5.3895745983783487E-2</v>
      </c>
      <c r="I24" s="13">
        <v>4.7886979454361038E-2</v>
      </c>
      <c r="J24" s="13">
        <v>4.970783186169965E-2</v>
      </c>
      <c r="K24">
        <v>5.0861146687535747E-2</v>
      </c>
    </row>
    <row r="25" spans="1:11" ht="15.75" customHeight="1">
      <c r="A25" s="33">
        <v>191.05</v>
      </c>
      <c r="B25" s="13">
        <v>206</v>
      </c>
      <c r="C25" s="13">
        <v>203</v>
      </c>
      <c r="D25" s="13">
        <v>241</v>
      </c>
      <c r="E25" s="13">
        <v>256</v>
      </c>
      <c r="F25" s="29">
        <v>3739</v>
      </c>
      <c r="H25" s="13">
        <v>5.5164270826918306E-2</v>
      </c>
      <c r="I25" s="13">
        <v>5.4158926284322173E-2</v>
      </c>
      <c r="J25" s="13">
        <v>6.4483754281915412E-2</v>
      </c>
      <c r="K25">
        <v>6.8393058425777795E-2</v>
      </c>
    </row>
    <row r="26" spans="1:11" ht="15.75" customHeight="1">
      <c r="A26" s="33">
        <v>191.06</v>
      </c>
      <c r="B26" s="13">
        <v>99</v>
      </c>
      <c r="C26" s="13">
        <v>75</v>
      </c>
      <c r="D26" s="13">
        <v>85</v>
      </c>
      <c r="E26" s="13">
        <v>96</v>
      </c>
      <c r="F26" s="29">
        <v>1869</v>
      </c>
      <c r="H26" s="13">
        <v>5.3034840064541636E-2</v>
      </c>
      <c r="I26" s="13">
        <v>3.9940637729819539E-2</v>
      </c>
      <c r="J26" s="13">
        <v>4.549155622203517E-2</v>
      </c>
      <c r="K26">
        <v>5.1274131395512422E-2</v>
      </c>
    </row>
    <row r="27" spans="1:11" ht="15.75" customHeight="1">
      <c r="A27" s="33">
        <v>191.07</v>
      </c>
      <c r="B27" s="13">
        <v>105</v>
      </c>
      <c r="C27" s="13">
        <v>73</v>
      </c>
      <c r="D27" s="13">
        <v>85</v>
      </c>
      <c r="E27" s="13">
        <v>99</v>
      </c>
      <c r="F27" s="29">
        <v>1869</v>
      </c>
      <c r="H27" s="13">
        <v>5.6022783745556026E-2</v>
      </c>
      <c r="I27" s="13">
        <v>3.8934253300029503E-2</v>
      </c>
      <c r="J27" s="13">
        <v>4.5645389191064513E-2</v>
      </c>
      <c r="K27">
        <v>5.2717524976071586E-2</v>
      </c>
    </row>
    <row r="28" spans="1:11" ht="15.75" customHeight="1">
      <c r="A28" s="33">
        <v>190.03</v>
      </c>
      <c r="B28" s="13">
        <v>286</v>
      </c>
      <c r="C28" s="13">
        <v>286</v>
      </c>
      <c r="D28" s="13">
        <v>319</v>
      </c>
      <c r="E28" s="13">
        <v>349</v>
      </c>
      <c r="F28" s="29">
        <v>4694</v>
      </c>
      <c r="H28" s="13">
        <v>6.0915105663632646E-2</v>
      </c>
      <c r="I28" s="13">
        <v>6.0914321056002363E-2</v>
      </c>
      <c r="J28" s="13">
        <v>6.8056865850298118E-2</v>
      </c>
      <c r="K28">
        <v>7.4391526321284485E-2</v>
      </c>
    </row>
    <row r="29" spans="1:11" ht="15.75" customHeight="1">
      <c r="A29" s="33">
        <v>190.04</v>
      </c>
      <c r="B29" s="13">
        <v>289</v>
      </c>
      <c r="C29" s="13">
        <v>359</v>
      </c>
      <c r="D29" s="13">
        <v>407</v>
      </c>
      <c r="E29" s="13">
        <v>428</v>
      </c>
      <c r="F29" s="29">
        <v>5894</v>
      </c>
      <c r="H29" s="13">
        <v>4.8995897827123935E-2</v>
      </c>
      <c r="I29" s="13">
        <v>6.0960462588660183E-2</v>
      </c>
      <c r="J29" s="13">
        <v>6.8975893825202847E-2</v>
      </c>
      <c r="K29">
        <v>7.2550165629407026E-2</v>
      </c>
    </row>
    <row r="30" spans="1:11" ht="15.75" customHeight="1">
      <c r="A30" s="33">
        <v>190.05</v>
      </c>
      <c r="B30" s="13">
        <v>115</v>
      </c>
      <c r="C30" s="13">
        <v>118</v>
      </c>
      <c r="D30" s="13">
        <v>123</v>
      </c>
      <c r="E30" s="13">
        <v>130</v>
      </c>
      <c r="F30" s="29">
        <v>1682</v>
      </c>
      <c r="H30" s="13">
        <v>6.821962279743643E-2</v>
      </c>
      <c r="I30" s="13">
        <v>6.988373101523998E-2</v>
      </c>
      <c r="J30" s="13">
        <v>7.2973965873089186E-2</v>
      </c>
      <c r="K30">
        <v>7.7014364215468173E-2</v>
      </c>
    </row>
    <row r="31" spans="1:11" ht="15.75" customHeight="1">
      <c r="A31" s="33">
        <v>190.01</v>
      </c>
      <c r="B31" s="13">
        <v>314</v>
      </c>
      <c r="C31" s="13">
        <v>273</v>
      </c>
      <c r="D31" s="13">
        <v>277</v>
      </c>
      <c r="E31" s="13">
        <v>299</v>
      </c>
      <c r="F31" s="29">
        <v>5505</v>
      </c>
      <c r="H31" s="13">
        <v>5.6984327393364662E-2</v>
      </c>
      <c r="I31" s="13">
        <v>4.961966556431515E-2</v>
      </c>
      <c r="J31" s="13">
        <v>5.0261428311601519E-2</v>
      </c>
      <c r="K31">
        <v>5.433670987650964E-2</v>
      </c>
    </row>
    <row r="32" spans="1:11" ht="15.75" customHeight="1">
      <c r="A32" s="33">
        <v>189.06</v>
      </c>
      <c r="B32" s="13">
        <v>177</v>
      </c>
      <c r="C32" s="13">
        <v>189</v>
      </c>
      <c r="D32" s="13">
        <v>197</v>
      </c>
      <c r="E32" s="13">
        <v>222</v>
      </c>
      <c r="F32" s="29">
        <v>2913</v>
      </c>
      <c r="H32" s="13">
        <v>6.0625877484667107E-2</v>
      </c>
      <c r="I32" s="13">
        <v>6.4899381758171393E-2</v>
      </c>
      <c r="J32" s="13">
        <v>6.7555235350624396E-2</v>
      </c>
      <c r="K32">
        <v>7.6377496982684312E-2</v>
      </c>
    </row>
    <row r="33" spans="1:11" ht="15.75" customHeight="1">
      <c r="A33" s="33">
        <v>187.04</v>
      </c>
      <c r="B33" s="13">
        <v>104</v>
      </c>
      <c r="C33" s="13">
        <v>116</v>
      </c>
      <c r="D33" s="13">
        <v>118</v>
      </c>
      <c r="E33" s="13">
        <v>99</v>
      </c>
      <c r="F33" s="29">
        <v>1687</v>
      </c>
      <c r="H33" s="13">
        <v>6.1668858519717484E-2</v>
      </c>
      <c r="I33" s="13">
        <v>6.8644304948288909E-2</v>
      </c>
      <c r="J33" s="13">
        <v>7.0192123255276212E-2</v>
      </c>
      <c r="K33">
        <v>5.8878679948288909E-2</v>
      </c>
    </row>
    <row r="34" spans="1:11" ht="15.75" customHeight="1">
      <c r="A34" s="33">
        <v>187.05</v>
      </c>
      <c r="B34" s="13">
        <v>487</v>
      </c>
      <c r="C34" s="13">
        <v>431</v>
      </c>
      <c r="D34" s="13">
        <v>421</v>
      </c>
      <c r="E34" s="13">
        <v>385</v>
      </c>
      <c r="F34" s="29">
        <v>5893</v>
      </c>
      <c r="H34" s="13">
        <v>8.2712887559025311E-2</v>
      </c>
      <c r="I34" s="13">
        <v>7.3123791985001949E-2</v>
      </c>
      <c r="J34" s="13">
        <v>7.1471221774759564E-2</v>
      </c>
      <c r="K34">
        <v>6.5412746488735601E-2</v>
      </c>
    </row>
    <row r="35" spans="1:11" ht="15.75" customHeight="1">
      <c r="A35" s="33">
        <v>184.02</v>
      </c>
      <c r="B35" s="13">
        <v>436</v>
      </c>
      <c r="C35" s="13">
        <v>438</v>
      </c>
      <c r="D35" s="13">
        <v>409</v>
      </c>
      <c r="E35" s="13">
        <v>427</v>
      </c>
      <c r="F35" s="29">
        <v>6832</v>
      </c>
      <c r="H35" s="13">
        <v>6.3768413552748704E-2</v>
      </c>
      <c r="I35" s="13">
        <v>6.4101347365506739E-2</v>
      </c>
      <c r="J35" s="13">
        <v>5.987681057072454E-2</v>
      </c>
      <c r="K35">
        <v>6.2540281072788723E-2</v>
      </c>
    </row>
    <row r="36" spans="1:11" ht="12.75">
      <c r="A36" s="33">
        <v>184.15</v>
      </c>
      <c r="B36" s="13">
        <v>133</v>
      </c>
      <c r="C36" s="13">
        <v>141</v>
      </c>
      <c r="D36" s="13">
        <v>185</v>
      </c>
      <c r="E36" s="13">
        <v>228</v>
      </c>
      <c r="F36" s="29">
        <f>7844/3</f>
        <v>2614.6666666666665</v>
      </c>
      <c r="H36" s="13">
        <v>5.0804174747355282E-2</v>
      </c>
      <c r="I36" s="13">
        <v>5.3975153945731748E-2</v>
      </c>
      <c r="J36" s="13">
        <v>7.0905739027650766E-2</v>
      </c>
      <c r="K36">
        <v>8.718970876829632E-2</v>
      </c>
    </row>
    <row r="37" spans="1:11" ht="12.75">
      <c r="A37" s="33">
        <v>184.16</v>
      </c>
      <c r="B37" s="13">
        <v>301</v>
      </c>
      <c r="C37" s="13">
        <v>334</v>
      </c>
      <c r="D37" s="13">
        <v>392</v>
      </c>
      <c r="E37" s="13">
        <v>417</v>
      </c>
      <c r="F37" s="31">
        <f>7844-F36</f>
        <v>5229.3333333333339</v>
      </c>
      <c r="H37" s="13">
        <v>5.7536180472013608E-2</v>
      </c>
      <c r="I37" s="13">
        <v>6.3898282690646957E-2</v>
      </c>
      <c r="J37" s="13">
        <v>7.4879128586714458E-2</v>
      </c>
      <c r="K37">
        <v>7.9775132768462043E-2</v>
      </c>
    </row>
    <row r="38" spans="1:11" ht="12.75">
      <c r="A38" s="33">
        <v>184.07</v>
      </c>
      <c r="B38" s="13">
        <v>295</v>
      </c>
      <c r="C38" s="13">
        <v>313</v>
      </c>
      <c r="D38" s="13">
        <v>332</v>
      </c>
      <c r="E38" s="13">
        <v>308</v>
      </c>
      <c r="F38" s="29">
        <v>4954</v>
      </c>
      <c r="H38" s="13">
        <v>5.9610976783346703E-2</v>
      </c>
      <c r="I38" s="13">
        <v>6.3098212711488563E-2</v>
      </c>
      <c r="J38" s="13">
        <v>6.7021862846908031E-2</v>
      </c>
      <c r="K38">
        <v>6.2083246277032433E-2</v>
      </c>
    </row>
    <row r="39" spans="1:11" ht="12.75">
      <c r="A39" s="33">
        <v>184.08</v>
      </c>
      <c r="B39" s="13">
        <v>242</v>
      </c>
      <c r="C39" s="13">
        <v>271</v>
      </c>
      <c r="D39" s="13">
        <v>311</v>
      </c>
      <c r="E39" s="13">
        <v>282</v>
      </c>
      <c r="F39" s="29">
        <v>3508</v>
      </c>
      <c r="H39" s="13">
        <v>6.8955473210792359E-2</v>
      </c>
      <c r="I39" s="13">
        <v>7.7178009802123276E-2</v>
      </c>
      <c r="J39" s="13">
        <v>8.8582680781262343E-2</v>
      </c>
      <c r="K39">
        <v>8.0517328744279096E-2</v>
      </c>
    </row>
    <row r="40" spans="1:11" ht="12.75">
      <c r="A40" s="33">
        <v>184.06</v>
      </c>
      <c r="B40" s="13">
        <v>118</v>
      </c>
      <c r="C40" s="13">
        <v>110</v>
      </c>
      <c r="D40" s="13">
        <v>100</v>
      </c>
      <c r="E40" s="13">
        <v>85</v>
      </c>
      <c r="F40" s="29">
        <v>1371</v>
      </c>
      <c r="H40" s="13">
        <v>8.6084213670581444E-2</v>
      </c>
      <c r="I40" s="13">
        <v>8.037352090164146E-2</v>
      </c>
      <c r="J40" s="13">
        <v>7.2844240366225943E-2</v>
      </c>
      <c r="K40">
        <v>6.206548006566668E-2</v>
      </c>
    </row>
    <row r="41" spans="1:11" ht="12.75">
      <c r="A41" s="33">
        <v>184.12</v>
      </c>
      <c r="B41" s="13">
        <v>105</v>
      </c>
      <c r="C41" s="13">
        <v>67</v>
      </c>
      <c r="D41" s="13">
        <v>74</v>
      </c>
      <c r="E41" s="13">
        <v>74</v>
      </c>
      <c r="F41" s="29">
        <f>2523/2</f>
        <v>1261.5</v>
      </c>
      <c r="H41" s="13">
        <v>8.2901293552362226E-2</v>
      </c>
      <c r="I41" s="13">
        <v>5.2931919782631183E-2</v>
      </c>
      <c r="J41" s="13">
        <v>5.83523100012176E-2</v>
      </c>
      <c r="K41">
        <v>5.8737614489741206E-2</v>
      </c>
    </row>
    <row r="42" spans="1:11" ht="12.75">
      <c r="A42" s="33">
        <v>184.13</v>
      </c>
      <c r="B42" s="13">
        <v>179</v>
      </c>
      <c r="C42" s="13">
        <v>147</v>
      </c>
      <c r="D42" s="13">
        <v>140</v>
      </c>
      <c r="E42" s="13">
        <v>147</v>
      </c>
      <c r="F42" s="29">
        <f>5045/2</f>
        <v>2522.5</v>
      </c>
      <c r="H42" s="13">
        <v>7.1079420259556547E-2</v>
      </c>
      <c r="I42" s="13">
        <v>5.8377846058709659E-2</v>
      </c>
      <c r="J42" s="13">
        <v>5.5597149068926724E-2</v>
      </c>
      <c r="K42">
        <v>5.8367771622670483E-2</v>
      </c>
    </row>
    <row r="43" spans="1:11" ht="12.75">
      <c r="A43" s="33">
        <v>184.14</v>
      </c>
      <c r="B43" s="13">
        <v>121</v>
      </c>
      <c r="C43" s="13">
        <v>104</v>
      </c>
      <c r="D43" s="13">
        <v>70</v>
      </c>
      <c r="E43" s="13">
        <v>65</v>
      </c>
      <c r="F43" s="29">
        <f>5045-F41-F42</f>
        <v>1261</v>
      </c>
      <c r="H43" s="13">
        <v>9.5943814823261753E-2</v>
      </c>
      <c r="I43" s="13">
        <v>8.213428086352495E-2</v>
      </c>
      <c r="J43" s="13">
        <v>5.5841884822722232E-2</v>
      </c>
      <c r="K43">
        <v>5.1189232138728738E-2</v>
      </c>
    </row>
    <row r="44" spans="1:11" ht="12.75">
      <c r="A44" s="33">
        <v>182.03</v>
      </c>
      <c r="B44" s="13">
        <v>148</v>
      </c>
      <c r="C44" s="13">
        <v>165</v>
      </c>
      <c r="D44" s="13">
        <v>247</v>
      </c>
      <c r="E44" s="13">
        <v>344</v>
      </c>
      <c r="F44" s="29">
        <v>3432</v>
      </c>
      <c r="H44" s="13">
        <v>4.3046996773245735E-2</v>
      </c>
      <c r="I44" s="13">
        <v>4.8132856896281398E-2</v>
      </c>
      <c r="J44" s="13">
        <v>7.2017294559579004E-2</v>
      </c>
      <c r="K44">
        <v>0.10028872577244247</v>
      </c>
    </row>
    <row r="45" spans="1:11" ht="12.75">
      <c r="A45" s="33">
        <v>184.11</v>
      </c>
      <c r="B45" s="13">
        <v>236</v>
      </c>
      <c r="C45" s="13">
        <v>236</v>
      </c>
      <c r="D45" s="13">
        <v>249</v>
      </c>
      <c r="E45" s="13">
        <v>225</v>
      </c>
      <c r="F45" s="29">
        <v>3281</v>
      </c>
      <c r="H45" s="13">
        <v>7.1958716689223851E-2</v>
      </c>
      <c r="I45" s="13">
        <v>7.1786160379107816E-2</v>
      </c>
      <c r="J45" s="13">
        <v>7.5884201783686683E-2</v>
      </c>
      <c r="K45">
        <v>6.8552192228003003E-2</v>
      </c>
    </row>
    <row r="46" spans="1:11" ht="12.75">
      <c r="A46" s="33">
        <v>184.1</v>
      </c>
      <c r="B46" s="13">
        <v>200</v>
      </c>
      <c r="C46" s="13">
        <v>215</v>
      </c>
      <c r="D46" s="13">
        <v>249</v>
      </c>
      <c r="E46" s="13">
        <v>275</v>
      </c>
      <c r="F46" s="29">
        <v>3150</v>
      </c>
      <c r="H46" s="13">
        <v>6.3584591267361684E-2</v>
      </c>
      <c r="I46" s="13">
        <v>6.8390684893463866E-2</v>
      </c>
      <c r="J46" s="13">
        <v>7.9196351392446601E-2</v>
      </c>
      <c r="K46">
        <v>8.7208943522182794E-2</v>
      </c>
    </row>
    <row r="47" spans="1:11" ht="12.75">
      <c r="A47" s="33">
        <v>184.09</v>
      </c>
      <c r="B47" s="13">
        <v>271</v>
      </c>
      <c r="C47" s="13">
        <v>327</v>
      </c>
      <c r="D47" s="13">
        <v>333</v>
      </c>
      <c r="E47" s="13">
        <v>366</v>
      </c>
      <c r="F47" s="29">
        <v>4471</v>
      </c>
      <c r="H47" s="13">
        <v>6.0635932577853296E-2</v>
      </c>
      <c r="I47" s="13">
        <v>7.3064374950266575E-2</v>
      </c>
      <c r="J47" s="13">
        <v>7.4570654234479672E-2</v>
      </c>
      <c r="K47">
        <v>8.1820969017829148E-2</v>
      </c>
    </row>
    <row r="48" spans="1:11" ht="12.75">
      <c r="A48" s="33">
        <v>187.03</v>
      </c>
      <c r="B48" s="13">
        <v>433</v>
      </c>
      <c r="C48" s="13">
        <v>433</v>
      </c>
      <c r="D48" s="13">
        <v>437</v>
      </c>
      <c r="E48" s="13">
        <v>468</v>
      </c>
      <c r="F48" s="29">
        <v>6468</v>
      </c>
      <c r="H48" s="13">
        <v>6.6973693343228502E-2</v>
      </c>
      <c r="I48" s="13">
        <v>6.6946125011756327E-2</v>
      </c>
      <c r="J48" s="13">
        <v>6.7594109145539844E-2</v>
      </c>
      <c r="K48">
        <v>7.2365227308850338E-2</v>
      </c>
    </row>
    <row r="49" spans="1:11" ht="12.75">
      <c r="A49" s="36">
        <v>189.05</v>
      </c>
      <c r="B49" s="13">
        <v>330</v>
      </c>
      <c r="C49" s="13">
        <v>322</v>
      </c>
      <c r="D49" s="13">
        <v>337</v>
      </c>
      <c r="E49" s="13">
        <v>375</v>
      </c>
      <c r="F49" s="29">
        <v>6982</v>
      </c>
      <c r="H49" s="13">
        <v>4.7251405237601934E-2</v>
      </c>
      <c r="I49" s="13">
        <v>4.6143590203240187E-2</v>
      </c>
      <c r="J49" s="13">
        <v>4.8258815377375891E-2</v>
      </c>
      <c r="K49">
        <v>5.3770139153427293E-2</v>
      </c>
    </row>
    <row r="50" spans="1:11" ht="12.75">
      <c r="A50" s="36">
        <v>189.08</v>
      </c>
      <c r="B50" s="13">
        <v>463</v>
      </c>
      <c r="C50" s="13">
        <v>440</v>
      </c>
      <c r="D50" s="13">
        <v>416</v>
      </c>
      <c r="E50" s="13">
        <v>425</v>
      </c>
      <c r="F50" s="29">
        <v>6119</v>
      </c>
      <c r="H50" s="13">
        <v>7.5633373753262637E-2</v>
      </c>
      <c r="I50" s="13">
        <v>7.1896918118760075E-2</v>
      </c>
      <c r="J50" s="13">
        <v>6.7952004673696415E-2</v>
      </c>
      <c r="K50">
        <v>6.9504955114454536E-2</v>
      </c>
    </row>
    <row r="51" spans="1:11" ht="12.75">
      <c r="A51" s="36">
        <v>189.03</v>
      </c>
      <c r="B51" s="13">
        <v>185</v>
      </c>
      <c r="C51" s="13">
        <v>221</v>
      </c>
      <c r="D51" s="13">
        <v>254</v>
      </c>
      <c r="E51" s="13">
        <v>244</v>
      </c>
      <c r="F51" s="29">
        <v>3248</v>
      </c>
      <c r="H51" s="13">
        <v>5.7072348907291841E-2</v>
      </c>
      <c r="I51" s="13">
        <v>6.7957905227439913E-2</v>
      </c>
      <c r="J51" s="13">
        <v>7.8048548987969535E-2</v>
      </c>
      <c r="K51">
        <v>7.512872837719195E-2</v>
      </c>
    </row>
    <row r="52" spans="1:11" ht="12.75">
      <c r="A52" s="36">
        <v>188.01</v>
      </c>
      <c r="B52" s="13">
        <v>103</v>
      </c>
      <c r="C52" s="13">
        <v>141</v>
      </c>
      <c r="D52" s="13">
        <v>167</v>
      </c>
      <c r="E52" s="13">
        <v>194</v>
      </c>
      <c r="F52" s="29">
        <v>2059</v>
      </c>
      <c r="H52" s="13">
        <v>4.9921833335444046E-2</v>
      </c>
      <c r="I52" s="13">
        <v>6.8680191164751325E-2</v>
      </c>
      <c r="J52" s="13">
        <v>8.1085308841580828E-2</v>
      </c>
      <c r="K52">
        <v>9.4049178628535027E-2</v>
      </c>
    </row>
    <row r="53" spans="1:11" ht="12.75">
      <c r="A53" s="36">
        <v>188.02</v>
      </c>
      <c r="B53" s="13">
        <v>114</v>
      </c>
      <c r="C53" s="13">
        <v>139</v>
      </c>
      <c r="D53" s="13">
        <v>184</v>
      </c>
      <c r="E53" s="13">
        <v>201</v>
      </c>
      <c r="F53" s="29">
        <v>2089</v>
      </c>
      <c r="H53" s="13">
        <v>5.4490088511463822E-2</v>
      </c>
      <c r="I53" s="13">
        <v>6.6424402675862901E-2</v>
      </c>
      <c r="J53" s="13">
        <v>8.7920158392616896E-2</v>
      </c>
      <c r="K53">
        <v>9.6151800308251198E-2</v>
      </c>
    </row>
    <row r="54" spans="1:11" ht="12.75">
      <c r="A54" s="36">
        <v>189.07</v>
      </c>
      <c r="B54" s="13">
        <v>138</v>
      </c>
      <c r="C54" s="13">
        <v>162</v>
      </c>
      <c r="D54" s="13">
        <v>145</v>
      </c>
      <c r="E54" s="13">
        <v>150</v>
      </c>
      <c r="F54" s="29">
        <v>2353</v>
      </c>
      <c r="H54" s="13">
        <v>5.8753751832762685E-2</v>
      </c>
      <c r="I54" s="13">
        <v>6.894690775872922E-2</v>
      </c>
      <c r="J54" s="13">
        <v>6.1628549264254928E-2</v>
      </c>
      <c r="K54">
        <v>6.3685964997786476E-2</v>
      </c>
    </row>
    <row r="55" spans="1:11" ht="12.75">
      <c r="A55" s="36">
        <v>189.1</v>
      </c>
      <c r="B55" s="13">
        <v>282</v>
      </c>
      <c r="C55" s="13">
        <v>315</v>
      </c>
      <c r="D55" s="13">
        <v>397</v>
      </c>
      <c r="E55" s="13">
        <v>430</v>
      </c>
      <c r="F55" s="29">
        <v>4833</v>
      </c>
      <c r="H55" s="13">
        <v>5.8389398209795842E-2</v>
      </c>
      <c r="I55" s="13">
        <v>6.5163154741632492E-2</v>
      </c>
      <c r="J55" s="13">
        <v>8.2182938158056412E-2</v>
      </c>
      <c r="K55">
        <v>8.9042086776725371E-2</v>
      </c>
    </row>
    <row r="56" spans="1:11" ht="12.75">
      <c r="A56" s="36">
        <v>189.09</v>
      </c>
      <c r="B56" s="13">
        <v>188</v>
      </c>
      <c r="C56" s="13">
        <v>223</v>
      </c>
      <c r="D56" s="13">
        <v>311</v>
      </c>
      <c r="E56" s="13">
        <v>333</v>
      </c>
      <c r="F56" s="29">
        <v>4048</v>
      </c>
      <c r="H56" s="13">
        <v>4.6468916306193597E-2</v>
      </c>
      <c r="I56" s="13">
        <v>5.5162918792575358E-2</v>
      </c>
      <c r="J56" s="13">
        <v>7.67582130993886E-2</v>
      </c>
      <c r="K56">
        <v>8.2291540027216864E-2</v>
      </c>
    </row>
    <row r="57" spans="1:11" ht="12.75">
      <c r="A57" s="36">
        <v>188.08</v>
      </c>
      <c r="B57" s="13">
        <v>80</v>
      </c>
      <c r="C57" s="13">
        <v>128</v>
      </c>
      <c r="D57" s="13">
        <v>201</v>
      </c>
      <c r="E57" s="13">
        <v>226</v>
      </c>
      <c r="F57" s="29">
        <v>2077</v>
      </c>
      <c r="H57" s="13">
        <v>3.8386768536103816E-2</v>
      </c>
      <c r="I57" s="13">
        <v>6.1396041044556794E-2</v>
      </c>
      <c r="J57" s="13">
        <v>9.6796296778085156E-2</v>
      </c>
      <c r="K57">
        <v>0.10882685375491785</v>
      </c>
    </row>
    <row r="58" spans="1:11" ht="12.75">
      <c r="A58" s="36">
        <v>188.07</v>
      </c>
      <c r="B58" s="13">
        <v>181</v>
      </c>
      <c r="C58" s="13">
        <v>258</v>
      </c>
      <c r="D58" s="13">
        <v>385</v>
      </c>
      <c r="E58" s="13">
        <v>468</v>
      </c>
      <c r="F58" s="29">
        <v>4154</v>
      </c>
      <c r="H58" s="13">
        <v>4.360430260594645E-2</v>
      </c>
      <c r="I58" s="13">
        <v>6.2022918607399197E-2</v>
      </c>
      <c r="J58" s="13">
        <v>9.2735895062873247E-2</v>
      </c>
      <c r="K58">
        <v>0.11256594090475218</v>
      </c>
    </row>
    <row r="59" spans="1:11" ht="12.75">
      <c r="A59" s="36">
        <v>188.04</v>
      </c>
      <c r="B59" s="13">
        <v>134</v>
      </c>
      <c r="C59" s="13">
        <v>169</v>
      </c>
      <c r="D59" s="13">
        <v>227</v>
      </c>
      <c r="E59" s="13">
        <v>255</v>
      </c>
      <c r="F59" s="29">
        <v>2748</v>
      </c>
      <c r="H59" s="13">
        <v>4.8830397688961018E-2</v>
      </c>
      <c r="I59" s="13">
        <v>6.1558821190698873E-2</v>
      </c>
      <c r="J59" s="13">
        <v>8.274039608407284E-2</v>
      </c>
      <c r="K59">
        <v>9.2807537789873829E-2</v>
      </c>
    </row>
    <row r="60" spans="1:11" ht="12.75">
      <c r="A60" s="36">
        <v>187.12</v>
      </c>
      <c r="B60" s="13">
        <v>196</v>
      </c>
      <c r="C60" s="13">
        <v>230</v>
      </c>
      <c r="D60" s="13">
        <v>265</v>
      </c>
      <c r="E60" s="13">
        <v>271</v>
      </c>
      <c r="F60" s="29">
        <v>3614</v>
      </c>
      <c r="H60" s="13">
        <v>5.4148851599596072E-2</v>
      </c>
      <c r="I60" s="13">
        <v>6.3603549405925705E-2</v>
      </c>
      <c r="J60" s="13">
        <v>7.3328964613368283E-2</v>
      </c>
      <c r="K60">
        <v>7.508540489439873E-2</v>
      </c>
    </row>
    <row r="61" spans="1:11" ht="12.75">
      <c r="A61" s="36">
        <v>187.06</v>
      </c>
      <c r="B61" s="13">
        <v>186</v>
      </c>
      <c r="C61" s="13">
        <v>222</v>
      </c>
      <c r="D61" s="13">
        <v>262</v>
      </c>
      <c r="E61" s="13">
        <v>286</v>
      </c>
      <c r="F61" s="29">
        <v>3615</v>
      </c>
      <c r="H61" s="13">
        <v>5.1540065648768452E-2</v>
      </c>
      <c r="I61" s="13">
        <v>6.1432421858607027E-2</v>
      </c>
      <c r="J61" s="13">
        <v>7.2421850871355609E-2</v>
      </c>
      <c r="K61">
        <v>7.906195711305547E-2</v>
      </c>
    </row>
    <row r="62" spans="1:11" ht="12.75">
      <c r="A62" s="36">
        <v>187.13</v>
      </c>
      <c r="B62" s="13">
        <v>301</v>
      </c>
      <c r="C62" s="13">
        <v>317</v>
      </c>
      <c r="D62" s="13">
        <v>382</v>
      </c>
      <c r="E62" s="13">
        <v>430</v>
      </c>
      <c r="F62" s="29">
        <v>5263</v>
      </c>
      <c r="H62" s="13">
        <v>5.7208153711565943E-2</v>
      </c>
      <c r="I62" s="13">
        <v>6.0168596130872144E-2</v>
      </c>
      <c r="J62" s="13">
        <v>7.2596508559281528E-2</v>
      </c>
      <c r="K62">
        <v>8.1660644911437874E-2</v>
      </c>
    </row>
    <row r="63" spans="1:11" ht="12.75">
      <c r="A63" s="36">
        <v>187.11</v>
      </c>
      <c r="B63" s="13">
        <v>149</v>
      </c>
      <c r="C63" s="13">
        <v>141</v>
      </c>
      <c r="D63" s="13">
        <v>146</v>
      </c>
      <c r="E63" s="13">
        <v>133</v>
      </c>
      <c r="F63" s="29">
        <v>2084</v>
      </c>
      <c r="H63" s="13">
        <v>7.1468820424536575E-2</v>
      </c>
      <c r="I63" s="13">
        <v>6.7656713700729204E-2</v>
      </c>
      <c r="J63" s="13">
        <v>7.0047703854547477E-2</v>
      </c>
      <c r="K63">
        <v>6.4025104171385794E-2</v>
      </c>
    </row>
    <row r="64" spans="1:11" ht="12.75">
      <c r="A64" s="36">
        <v>187.07</v>
      </c>
      <c r="B64" s="13">
        <v>75</v>
      </c>
      <c r="C64" s="13">
        <v>101</v>
      </c>
      <c r="D64" s="13">
        <v>135</v>
      </c>
      <c r="E64" s="13">
        <v>150</v>
      </c>
      <c r="F64" s="29">
        <v>1588</v>
      </c>
      <c r="H64" s="13">
        <v>4.7114795420995462E-2</v>
      </c>
      <c r="I64" s="13">
        <v>6.3716240054220163E-2</v>
      </c>
      <c r="J64" s="13">
        <v>8.4849571530698456E-2</v>
      </c>
      <c r="K64">
        <v>9.4444289706524062E-2</v>
      </c>
    </row>
    <row r="65" spans="1:11" ht="12.75">
      <c r="A65" s="36">
        <v>187.15</v>
      </c>
      <c r="B65" s="13">
        <v>124</v>
      </c>
      <c r="C65" s="13">
        <v>151</v>
      </c>
      <c r="D65" s="13">
        <v>172</v>
      </c>
      <c r="E65" s="13">
        <v>187</v>
      </c>
      <c r="F65" s="37">
        <f t="shared" ref="F65:F67" si="2">7450/3</f>
        <v>2483.3333333333335</v>
      </c>
      <c r="H65" s="13">
        <v>4.9845237211539564E-2</v>
      </c>
      <c r="I65" s="13">
        <v>6.0737969036282341E-2</v>
      </c>
      <c r="J65" s="13">
        <v>6.9338962577537105E-2</v>
      </c>
      <c r="K65">
        <v>7.5361750549867823E-2</v>
      </c>
    </row>
    <row r="66" spans="1:11" ht="12.75">
      <c r="A66" s="36">
        <v>187.14</v>
      </c>
      <c r="B66" s="13">
        <v>140</v>
      </c>
      <c r="C66" s="13">
        <v>147</v>
      </c>
      <c r="D66" s="13">
        <v>163</v>
      </c>
      <c r="E66" s="13">
        <v>149</v>
      </c>
      <c r="F66" s="37">
        <f t="shared" si="2"/>
        <v>2483.3333333333335</v>
      </c>
      <c r="H66" s="13">
        <v>5.6216680084511556E-2</v>
      </c>
      <c r="I66" s="13">
        <v>5.9133277238258772E-2</v>
      </c>
      <c r="J66" s="13">
        <v>6.5633576766567336E-2</v>
      </c>
      <c r="K66">
        <v>6.0008079656621659E-2</v>
      </c>
    </row>
    <row r="67" spans="1:11" ht="12.75">
      <c r="A67" s="36">
        <v>187.16</v>
      </c>
      <c r="B67" s="13">
        <v>126</v>
      </c>
      <c r="C67" s="13">
        <v>161</v>
      </c>
      <c r="D67" s="13">
        <v>193</v>
      </c>
      <c r="E67" s="13">
        <v>207</v>
      </c>
      <c r="F67" s="37">
        <f t="shared" si="2"/>
        <v>2483.3333333333335</v>
      </c>
      <c r="H67" s="13">
        <v>5.0712902563647022E-2</v>
      </c>
      <c r="I67" s="13">
        <v>6.4872309617234974E-2</v>
      </c>
      <c r="J67" s="13">
        <v>7.7581162774952694E-2</v>
      </c>
      <c r="K67">
        <v>8.3505888425657537E-2</v>
      </c>
    </row>
    <row r="68" spans="1:11" ht="12.75">
      <c r="A68" s="36">
        <v>182.04</v>
      </c>
      <c r="B68" s="13">
        <v>46</v>
      </c>
      <c r="C68" s="13">
        <v>83</v>
      </c>
      <c r="D68" s="13">
        <v>126</v>
      </c>
      <c r="E68" s="13">
        <v>150</v>
      </c>
      <c r="F68" s="29">
        <v>1477</v>
      </c>
      <c r="H68" s="13">
        <v>3.0926877604673504E-2</v>
      </c>
      <c r="I68" s="13">
        <v>5.6076747699237248E-2</v>
      </c>
      <c r="J68" s="13">
        <v>8.5559373426383312E-2</v>
      </c>
      <c r="K68">
        <v>0.10136311890440752</v>
      </c>
    </row>
    <row r="69" spans="1:11" ht="12.75">
      <c r="A69" s="36">
        <v>182.05</v>
      </c>
      <c r="B69" s="13">
        <v>161</v>
      </c>
      <c r="C69" s="13">
        <v>167</v>
      </c>
      <c r="D69" s="13">
        <v>175</v>
      </c>
      <c r="E69" s="13">
        <v>192</v>
      </c>
      <c r="F69" s="29">
        <v>2794</v>
      </c>
      <c r="H69" s="13">
        <v>5.7786961191854717E-2</v>
      </c>
      <c r="I69" s="13">
        <v>5.9757256393235564E-2</v>
      </c>
      <c r="J69" s="13">
        <v>6.2639197632330085E-2</v>
      </c>
      <c r="K69">
        <v>6.872671364441893E-2</v>
      </c>
    </row>
    <row r="70" spans="1:11" ht="12.75">
      <c r="A70" s="36">
        <v>182.02</v>
      </c>
      <c r="B70" s="13">
        <v>32</v>
      </c>
      <c r="C70" s="13">
        <v>30</v>
      </c>
      <c r="D70" s="13">
        <v>22</v>
      </c>
      <c r="E70" s="13">
        <v>18</v>
      </c>
      <c r="F70" s="29">
        <v>307</v>
      </c>
      <c r="H70" s="13">
        <v>0.10427465764308359</v>
      </c>
      <c r="I70" s="13">
        <v>9.8850025165324637E-2</v>
      </c>
      <c r="J70" s="13">
        <v>7.3211465261235203E-2</v>
      </c>
      <c r="K70">
        <v>5.7305072568769475E-2</v>
      </c>
    </row>
    <row r="71" spans="1:11" ht="12.75">
      <c r="A71" s="36">
        <v>183.01</v>
      </c>
      <c r="B71" s="13">
        <v>399</v>
      </c>
      <c r="C71" s="13">
        <v>431</v>
      </c>
      <c r="D71" s="13">
        <v>505</v>
      </c>
      <c r="E71" s="13">
        <v>490</v>
      </c>
      <c r="F71" s="29">
        <v>5959</v>
      </c>
      <c r="H71" s="13">
        <v>6.6913098064522183E-2</v>
      </c>
      <c r="I71" s="13">
        <v>7.2348057454493617E-2</v>
      </c>
      <c r="J71" s="13">
        <v>8.4768434040753793E-2</v>
      </c>
      <c r="K71">
        <v>8.2173922630006502E-2</v>
      </c>
    </row>
    <row r="72" spans="1:11" ht="12.75">
      <c r="A72" s="36">
        <v>183.03</v>
      </c>
      <c r="B72" s="13">
        <v>334</v>
      </c>
      <c r="C72" s="13">
        <v>331</v>
      </c>
      <c r="D72" s="13">
        <v>349</v>
      </c>
      <c r="E72" s="13">
        <v>396</v>
      </c>
      <c r="F72" s="29">
        <v>5853</v>
      </c>
      <c r="H72" s="13">
        <v>5.7004085254265487E-2</v>
      </c>
      <c r="I72" s="13">
        <v>5.6508429449627667E-2</v>
      </c>
      <c r="J72" s="13">
        <v>5.9586014070551106E-2</v>
      </c>
      <c r="K72">
        <v>6.7655953693996462E-2</v>
      </c>
    </row>
    <row r="73" spans="1:11" ht="12.75">
      <c r="A73" s="36">
        <v>183.05</v>
      </c>
      <c r="B73" s="13">
        <v>476</v>
      </c>
      <c r="C73" s="13">
        <v>428</v>
      </c>
      <c r="D73" s="13">
        <v>388</v>
      </c>
      <c r="E73" s="13">
        <v>329</v>
      </c>
      <c r="F73" s="29">
        <v>5115</v>
      </c>
      <c r="H73" s="13">
        <v>9.3099623449090924E-2</v>
      </c>
      <c r="I73" s="13">
        <v>8.3596639859010613E-2</v>
      </c>
      <c r="J73" s="13">
        <v>7.5865751462459635E-2</v>
      </c>
      <c r="K73">
        <v>6.4407099072440382E-2</v>
      </c>
    </row>
    <row r="74" spans="1:11" ht="12.75">
      <c r="A74" s="36">
        <v>183.07</v>
      </c>
      <c r="B74" s="13">
        <v>302</v>
      </c>
      <c r="C74" s="13">
        <v>373</v>
      </c>
      <c r="D74" s="13">
        <v>460</v>
      </c>
      <c r="E74" s="13">
        <v>514</v>
      </c>
      <c r="F74" s="29">
        <v>6445</v>
      </c>
      <c r="H74" s="13">
        <v>4.6820444955318549E-2</v>
      </c>
      <c r="I74" s="13">
        <v>5.7918878471110283E-2</v>
      </c>
      <c r="J74" s="13">
        <v>7.1343815678132361E-2</v>
      </c>
      <c r="K74">
        <v>7.9762987878286604E-2</v>
      </c>
    </row>
    <row r="75" spans="1:11" ht="12.75">
      <c r="A75" s="36">
        <v>183.06</v>
      </c>
      <c r="B75" s="13">
        <v>143</v>
      </c>
      <c r="C75" s="13">
        <v>149</v>
      </c>
      <c r="D75" s="13">
        <v>152</v>
      </c>
      <c r="E75" s="13">
        <v>136</v>
      </c>
      <c r="F75" s="29">
        <v>2400</v>
      </c>
      <c r="H75" s="13">
        <v>5.9772820590273328E-2</v>
      </c>
      <c r="I75" s="13">
        <v>6.2233747447049279E-2</v>
      </c>
      <c r="J75" s="13">
        <v>6.3238420361978243E-2</v>
      </c>
      <c r="K75">
        <v>5.6589458960392171E-2</v>
      </c>
    </row>
    <row r="76" spans="1:11" ht="12.75">
      <c r="A76" s="36">
        <v>183.08</v>
      </c>
      <c r="B76" s="13">
        <v>0</v>
      </c>
      <c r="C76" s="13">
        <v>0</v>
      </c>
      <c r="D76" s="13">
        <v>0</v>
      </c>
      <c r="E76" s="13">
        <v>0</v>
      </c>
      <c r="F76" s="41">
        <v>0</v>
      </c>
      <c r="H76" s="26">
        <v>6.7720441340012177E-2</v>
      </c>
      <c r="I76" s="26">
        <v>4.2115290193460463E-2</v>
      </c>
      <c r="J76" s="26">
        <v>3.7268638561502067E-2</v>
      </c>
      <c r="K76">
        <v>3.4390170683532909E-2</v>
      </c>
    </row>
    <row r="77" spans="1:11" ht="12.75">
      <c r="A77" s="43">
        <v>183.09</v>
      </c>
      <c r="B77" s="13">
        <v>0</v>
      </c>
      <c r="C77" s="13">
        <v>0</v>
      </c>
      <c r="D77" s="13">
        <v>0</v>
      </c>
      <c r="E77" s="13">
        <v>0</v>
      </c>
      <c r="F77" s="41">
        <v>0</v>
      </c>
      <c r="H77" s="26">
        <v>0.1250776533438844</v>
      </c>
      <c r="I77" s="26">
        <v>8.3015580609723777E-2</v>
      </c>
      <c r="J77" s="26">
        <v>8.3009200032944472E-2</v>
      </c>
      <c r="K77">
        <v>7.9333435974395461E-2</v>
      </c>
    </row>
    <row r="78" spans="1:11" ht="12.75">
      <c r="A78" s="44">
        <v>182.06</v>
      </c>
      <c r="B78" s="13">
        <v>48</v>
      </c>
      <c r="C78" s="13">
        <v>70</v>
      </c>
      <c r="D78" s="13">
        <v>91</v>
      </c>
      <c r="E78" s="13">
        <v>98</v>
      </c>
      <c r="F78" s="29">
        <v>1203</v>
      </c>
      <c r="H78" s="13">
        <v>3.9694859316440123E-2</v>
      </c>
      <c r="I78" s="13">
        <v>5.853890473793142E-2</v>
      </c>
      <c r="J78" s="13">
        <v>7.5264306091626113E-2</v>
      </c>
      <c r="K78">
        <v>8.1564300497846395E-2</v>
      </c>
    </row>
    <row r="79" spans="1:11" ht="12.75">
      <c r="A79" s="44">
        <v>188.06</v>
      </c>
      <c r="B79" s="13">
        <v>54</v>
      </c>
      <c r="C79" s="13">
        <v>56</v>
      </c>
      <c r="D79" s="13">
        <v>80</v>
      </c>
      <c r="E79" s="13">
        <v>73</v>
      </c>
      <c r="F79" s="29">
        <v>942</v>
      </c>
      <c r="H79" s="13">
        <v>5.7211229086229082E-2</v>
      </c>
      <c r="I79" s="13">
        <v>5.9322715572715568E-2</v>
      </c>
      <c r="J79" s="13">
        <v>8.476110038610038E-2</v>
      </c>
      <c r="K79">
        <v>7.7689296439296437E-2</v>
      </c>
    </row>
    <row r="80" spans="1:11" ht="12.75">
      <c r="A80" s="44">
        <v>188.05</v>
      </c>
      <c r="B80" s="13">
        <v>88</v>
      </c>
      <c r="C80" s="13">
        <v>133</v>
      </c>
      <c r="D80" s="13">
        <v>195</v>
      </c>
      <c r="E80" s="13">
        <v>257</v>
      </c>
      <c r="F80" s="29">
        <v>2254</v>
      </c>
      <c r="H80" s="13">
        <v>3.9256472965069913E-2</v>
      </c>
      <c r="I80" s="13">
        <v>5.9184745725606953E-2</v>
      </c>
      <c r="J80" s="13">
        <v>8.6465959662614583E-2</v>
      </c>
      <c r="K80">
        <v>0.11419752121168528</v>
      </c>
    </row>
    <row r="81" spans="1:11" ht="12.75">
      <c r="A81" s="44">
        <v>182.01</v>
      </c>
      <c r="B81" s="13">
        <v>128</v>
      </c>
      <c r="C81" s="13">
        <v>170</v>
      </c>
      <c r="D81" s="13">
        <v>198</v>
      </c>
      <c r="E81" s="13">
        <v>212</v>
      </c>
      <c r="F81" s="29">
        <v>2846</v>
      </c>
      <c r="H81" s="13">
        <v>4.5138506232703941E-2</v>
      </c>
      <c r="I81" s="13">
        <v>5.9692260242940762E-2</v>
      </c>
      <c r="J81" s="13">
        <v>6.9665428391252171E-2</v>
      </c>
      <c r="K81">
        <v>7.445704913917664E-2</v>
      </c>
    </row>
    <row r="82" spans="1:11" ht="12.75">
      <c r="A82" s="44">
        <v>180.01</v>
      </c>
      <c r="B82" s="13">
        <v>121</v>
      </c>
      <c r="C82" s="13">
        <v>118</v>
      </c>
      <c r="D82" s="13">
        <v>101</v>
      </c>
      <c r="E82" s="13">
        <v>97</v>
      </c>
      <c r="F82" s="29">
        <v>1589</v>
      </c>
      <c r="H82" s="13">
        <v>7.5840149457240574E-2</v>
      </c>
      <c r="I82" s="13">
        <v>7.442022446638849E-2</v>
      </c>
      <c r="J82" s="13">
        <v>6.3530339184958998E-2</v>
      </c>
      <c r="K82">
        <v>6.0807867864601621E-2</v>
      </c>
    </row>
    <row r="83" spans="1:11" ht="12.75">
      <c r="A83" s="44">
        <v>180.04</v>
      </c>
      <c r="B83" s="13">
        <v>150</v>
      </c>
      <c r="C83" s="13">
        <v>159</v>
      </c>
      <c r="D83" s="13">
        <v>205</v>
      </c>
      <c r="E83" s="13">
        <v>224</v>
      </c>
      <c r="F83" s="31">
        <f>6610/2</f>
        <v>3305</v>
      </c>
      <c r="H83" s="26">
        <v>4.5535330528145096E-2</v>
      </c>
      <c r="I83" s="26">
        <v>4.8041464697376461E-2</v>
      </c>
      <c r="J83" s="26">
        <v>6.2013970519556677E-2</v>
      </c>
      <c r="K83">
        <v>6.7731750676977426E-2</v>
      </c>
    </row>
    <row r="84" spans="1:11" ht="12.75">
      <c r="A84" s="44">
        <v>180.03</v>
      </c>
      <c r="B84" s="13">
        <v>151</v>
      </c>
      <c r="C84" s="13">
        <v>159</v>
      </c>
      <c r="D84" s="13">
        <v>205</v>
      </c>
      <c r="E84" s="13">
        <v>224</v>
      </c>
      <c r="F84" s="31">
        <f>6610-F83</f>
        <v>3305</v>
      </c>
      <c r="H84" s="26">
        <v>4.5685272546972591E-2</v>
      </c>
      <c r="I84" s="26">
        <v>4.8045349053222081E-2</v>
      </c>
      <c r="J84" s="26">
        <v>6.1935437167977961E-2</v>
      </c>
      <c r="K84">
        <v>6.7653564142884925E-2</v>
      </c>
    </row>
    <row r="85" spans="1:11" ht="12.75">
      <c r="A85" s="44">
        <v>181.13</v>
      </c>
      <c r="B85" s="13">
        <v>92</v>
      </c>
      <c r="C85" s="13">
        <v>108</v>
      </c>
      <c r="D85" s="13">
        <v>135</v>
      </c>
      <c r="E85" s="13">
        <v>152</v>
      </c>
      <c r="F85" s="31">
        <f t="shared" ref="F85:F86" si="3">6993/3</f>
        <v>2331</v>
      </c>
      <c r="H85" s="13">
        <v>3.9367829941770863E-2</v>
      </c>
      <c r="I85" s="13">
        <v>4.6245761714481068E-2</v>
      </c>
      <c r="J85" s="13">
        <v>5.810186456541111E-2</v>
      </c>
      <c r="K85">
        <v>6.5281870506016262E-2</v>
      </c>
    </row>
    <row r="86" spans="1:11" ht="12.75">
      <c r="A86" s="44">
        <v>181.12</v>
      </c>
      <c r="B86" s="13">
        <v>93</v>
      </c>
      <c r="C86" s="13">
        <v>126</v>
      </c>
      <c r="D86" s="13">
        <v>160</v>
      </c>
      <c r="E86" s="13">
        <v>169</v>
      </c>
      <c r="F86" s="31">
        <f t="shared" si="3"/>
        <v>2331</v>
      </c>
      <c r="H86" s="13">
        <v>3.9905839239588237E-2</v>
      </c>
      <c r="I86" s="13">
        <v>5.4028362747967268E-2</v>
      </c>
      <c r="J86" s="13">
        <v>6.883425161282114E-2</v>
      </c>
      <c r="K86">
        <v>7.240281718815611E-2</v>
      </c>
    </row>
    <row r="87" spans="1:11" ht="12.75">
      <c r="A87" s="44">
        <v>181.14</v>
      </c>
      <c r="B87" s="13">
        <v>117</v>
      </c>
      <c r="C87" s="13">
        <v>117</v>
      </c>
      <c r="D87" s="13">
        <v>133</v>
      </c>
      <c r="E87" s="13">
        <v>145</v>
      </c>
      <c r="F87" s="31">
        <f>6993-F85-F86</f>
        <v>2331</v>
      </c>
      <c r="H87" s="13">
        <v>5.0401799307026859E-2</v>
      </c>
      <c r="I87" s="13">
        <v>5.0265200212698646E-2</v>
      </c>
      <c r="J87" s="13">
        <v>5.7182162613105034E-2</v>
      </c>
      <c r="K87">
        <v>6.2389260697985741E-2</v>
      </c>
    </row>
    <row r="88" spans="1:11" ht="12.75">
      <c r="A88" s="44">
        <v>181.1</v>
      </c>
      <c r="B88" s="13">
        <v>174</v>
      </c>
      <c r="C88" s="13">
        <v>246</v>
      </c>
      <c r="D88" s="13">
        <v>350</v>
      </c>
      <c r="E88" s="13">
        <v>463</v>
      </c>
      <c r="F88" s="31">
        <f>7368/6*5</f>
        <v>6140</v>
      </c>
      <c r="H88" s="13">
        <v>2.8314950189768793E-2</v>
      </c>
      <c r="I88" s="13">
        <v>4.0105485550785733E-2</v>
      </c>
      <c r="J88" s="13">
        <v>5.6970240549034434E-2</v>
      </c>
      <c r="K88">
        <v>7.5364365260507937E-2</v>
      </c>
    </row>
    <row r="89" spans="1:11" ht="12.75">
      <c r="A89" s="44">
        <v>181.11</v>
      </c>
      <c r="B89" s="13">
        <v>37</v>
      </c>
      <c r="C89" s="13">
        <v>42</v>
      </c>
      <c r="D89" s="13">
        <v>63</v>
      </c>
      <c r="E89" s="13">
        <v>84</v>
      </c>
      <c r="F89" s="31">
        <f>7368-F88</f>
        <v>1228</v>
      </c>
      <c r="H89" s="13">
        <v>3.029447155101047E-2</v>
      </c>
      <c r="I89" s="13">
        <v>3.3862106897763984E-2</v>
      </c>
      <c r="J89" s="13">
        <v>5.1458318913213744E-2</v>
      </c>
      <c r="K89">
        <v>6.8631214876010427E-2</v>
      </c>
    </row>
    <row r="90" spans="1:11" ht="12.75">
      <c r="A90" s="44">
        <v>181.09</v>
      </c>
      <c r="B90" s="13">
        <v>189</v>
      </c>
      <c r="C90" s="13">
        <v>332</v>
      </c>
      <c r="D90" s="13">
        <v>522</v>
      </c>
      <c r="E90" s="13">
        <v>561</v>
      </c>
      <c r="F90" s="31">
        <v>6253</v>
      </c>
      <c r="H90" s="13">
        <v>3.0292389544229192E-2</v>
      </c>
      <c r="I90" s="13">
        <v>5.315464860506159E-2</v>
      </c>
      <c r="J90" s="13">
        <v>8.3447038149290775E-2</v>
      </c>
      <c r="K90">
        <v>8.9693311041146279E-2</v>
      </c>
    </row>
    <row r="91" spans="1:11" ht="12.75">
      <c r="A91" s="44">
        <v>181.03</v>
      </c>
      <c r="B91" s="13">
        <v>217</v>
      </c>
      <c r="C91" s="13">
        <v>286</v>
      </c>
      <c r="D91" s="13">
        <v>415</v>
      </c>
      <c r="E91" s="13">
        <v>459</v>
      </c>
      <c r="F91" s="31">
        <v>5419</v>
      </c>
      <c r="H91" s="13">
        <v>4.0123428563066915E-2</v>
      </c>
      <c r="I91" s="13">
        <v>5.2830943541426006E-2</v>
      </c>
      <c r="J91" s="13">
        <v>7.6540242237783732E-2</v>
      </c>
      <c r="K91">
        <v>8.4759113265843483E-2</v>
      </c>
    </row>
    <row r="92" spans="1:11" ht="12.75">
      <c r="A92" s="44">
        <v>181.07</v>
      </c>
      <c r="B92" s="13">
        <v>137</v>
      </c>
      <c r="C92" s="13">
        <v>197</v>
      </c>
      <c r="D92" s="13">
        <v>263</v>
      </c>
      <c r="E92" s="13">
        <v>296</v>
      </c>
      <c r="F92" s="31">
        <v>3597</v>
      </c>
      <c r="H92" s="13">
        <v>3.79574880876992E-2</v>
      </c>
      <c r="I92" s="13">
        <v>5.4830381644265139E-2</v>
      </c>
      <c r="J92" s="13">
        <v>7.3107966121392809E-2</v>
      </c>
      <c r="K92">
        <v>8.224646188656691E-2</v>
      </c>
    </row>
    <row r="93" spans="1:11" ht="12.75">
      <c r="A93" s="44">
        <v>181.08</v>
      </c>
      <c r="B93" s="13">
        <v>111</v>
      </c>
      <c r="C93" s="13">
        <v>140</v>
      </c>
      <c r="D93" s="13">
        <v>153</v>
      </c>
      <c r="E93" s="13">
        <v>175</v>
      </c>
      <c r="F93" s="31">
        <v>2476</v>
      </c>
      <c r="H93" s="13">
        <v>4.4717378189263274E-2</v>
      </c>
      <c r="I93" s="13">
        <v>5.6618973196966745E-2</v>
      </c>
      <c r="J93" s="13">
        <v>6.1892806868366339E-2</v>
      </c>
      <c r="K93">
        <v>7.0702560277926887E-2</v>
      </c>
    </row>
    <row r="94" spans="1:11" ht="12.75">
      <c r="A94" s="44">
        <v>170.04</v>
      </c>
      <c r="B94" s="13">
        <v>161</v>
      </c>
      <c r="C94" s="13">
        <v>198</v>
      </c>
      <c r="D94" s="13">
        <v>235</v>
      </c>
      <c r="E94" s="13">
        <v>264</v>
      </c>
      <c r="F94" s="31">
        <v>5245</v>
      </c>
      <c r="H94" s="13">
        <v>3.0626230061903622E-2</v>
      </c>
      <c r="I94" s="13">
        <v>3.7693030655889651E-2</v>
      </c>
      <c r="J94" s="13">
        <v>4.4728983858198151E-2</v>
      </c>
      <c r="K94">
        <v>5.033718149225995E-2</v>
      </c>
    </row>
    <row r="95" spans="1:11" ht="12.75">
      <c r="A95" s="44">
        <v>170.03</v>
      </c>
      <c r="B95" s="13">
        <v>42</v>
      </c>
      <c r="C95" s="13">
        <v>31</v>
      </c>
      <c r="D95" s="13">
        <v>60</v>
      </c>
      <c r="E95" s="13">
        <v>69</v>
      </c>
      <c r="F95" s="31">
        <v>3240</v>
      </c>
      <c r="H95" s="13">
        <v>1.3013559436848701E-2</v>
      </c>
      <c r="I95" s="13">
        <v>9.6921936331237132E-3</v>
      </c>
      <c r="J95" s="13">
        <v>1.8584293934569979E-2</v>
      </c>
      <c r="K95">
        <v>2.1256477707653574E-2</v>
      </c>
    </row>
    <row r="96" spans="1:11" ht="12.75">
      <c r="A96" s="44">
        <v>170.05</v>
      </c>
      <c r="B96" s="13">
        <v>45</v>
      </c>
      <c r="C96" s="13">
        <v>33</v>
      </c>
      <c r="D96" s="13">
        <v>36</v>
      </c>
      <c r="E96" s="13">
        <v>47</v>
      </c>
      <c r="F96" s="31">
        <v>2269</v>
      </c>
      <c r="H96" s="13">
        <v>1.987603544242704E-2</v>
      </c>
      <c r="I96" s="13">
        <v>1.4613793308466978E-2</v>
      </c>
      <c r="J96" s="13">
        <v>1.5647705632701882E-2</v>
      </c>
      <c r="K96">
        <v>2.0909947766661947E-2</v>
      </c>
    </row>
    <row r="97" spans="1:13" ht="12.75">
      <c r="A97" s="44">
        <v>170.08</v>
      </c>
      <c r="B97" s="13">
        <v>136</v>
      </c>
      <c r="C97" s="13">
        <v>136</v>
      </c>
      <c r="D97" s="13">
        <v>160</v>
      </c>
      <c r="E97" s="13">
        <v>177</v>
      </c>
      <c r="F97" s="31">
        <f>7496/2</f>
        <v>3748</v>
      </c>
      <c r="H97" s="13">
        <v>3.6417890839502476E-2</v>
      </c>
      <c r="I97" s="13">
        <v>3.6338071866818117E-2</v>
      </c>
      <c r="J97" s="13">
        <v>4.2559511475466216E-2</v>
      </c>
      <c r="K97">
        <v>4.7352702455450091E-2</v>
      </c>
    </row>
    <row r="98" spans="1:13" ht="12.75">
      <c r="A98" s="44">
        <v>170.07</v>
      </c>
      <c r="B98" s="13">
        <v>174</v>
      </c>
      <c r="C98" s="13">
        <v>169</v>
      </c>
      <c r="D98" s="13">
        <v>192</v>
      </c>
      <c r="E98" s="13">
        <v>190</v>
      </c>
      <c r="F98" s="31">
        <f>7496-F97</f>
        <v>3748</v>
      </c>
      <c r="H98" s="13">
        <v>4.6352360414872985E-2</v>
      </c>
      <c r="I98" s="13">
        <v>4.518546849193892E-2</v>
      </c>
      <c r="J98" s="13">
        <v>5.1321895661919886E-2</v>
      </c>
      <c r="K98">
        <v>5.0644764160970801E-2</v>
      </c>
    </row>
    <row r="99" spans="1:13" ht="12.75">
      <c r="A99" s="44">
        <v>181.05</v>
      </c>
      <c r="B99" s="13">
        <v>282</v>
      </c>
      <c r="C99" s="13">
        <v>285</v>
      </c>
      <c r="D99" s="13">
        <v>330</v>
      </c>
      <c r="E99" s="13">
        <v>376</v>
      </c>
      <c r="F99" s="31">
        <v>7148</v>
      </c>
      <c r="H99" s="13">
        <v>3.9495247835870939E-2</v>
      </c>
      <c r="I99" s="13">
        <v>3.9830368046779946E-2</v>
      </c>
      <c r="J99" s="13">
        <v>4.6189854392016116E-2</v>
      </c>
      <c r="K99">
        <v>5.2550685161741079E-2</v>
      </c>
    </row>
    <row r="100" spans="1:13" ht="12.75">
      <c r="A100" s="44">
        <v>181.16</v>
      </c>
      <c r="B100" s="13">
        <v>89</v>
      </c>
      <c r="C100" s="13">
        <v>102</v>
      </c>
      <c r="D100" s="13">
        <v>125</v>
      </c>
      <c r="E100" s="13">
        <v>144</v>
      </c>
      <c r="F100" s="31">
        <f>5011/2</f>
        <v>2505.5</v>
      </c>
      <c r="H100" s="26">
        <v>3.5592362677206765E-2</v>
      </c>
      <c r="I100" s="26">
        <v>4.0863741045031834E-2</v>
      </c>
      <c r="J100" s="26">
        <v>5.0003187530381146E-2</v>
      </c>
      <c r="K100">
        <v>5.7422164492505319E-2</v>
      </c>
    </row>
    <row r="101" spans="1:13" ht="12.75">
      <c r="A101" s="44">
        <v>181.15</v>
      </c>
      <c r="B101" s="13">
        <v>89</v>
      </c>
      <c r="C101" s="13">
        <v>102</v>
      </c>
      <c r="D101" s="13">
        <v>125</v>
      </c>
      <c r="E101" s="13">
        <v>143</v>
      </c>
      <c r="F101" s="41">
        <f>5011-2506</f>
        <v>2505</v>
      </c>
      <c r="H101" s="26">
        <f>(0.0387755102+'2011'!H101)/2</f>
        <v>3.5397126439320581E-2</v>
      </c>
      <c r="I101" s="26">
        <v>4.0863741045031834E-2</v>
      </c>
      <c r="J101" s="26">
        <v>5.0003187530381146E-2</v>
      </c>
      <c r="K101">
        <v>5.7226928256659947E-2</v>
      </c>
    </row>
    <row r="102" spans="1:13" ht="12.75">
      <c r="A102" s="1">
        <v>185.05</v>
      </c>
      <c r="B102">
        <v>330</v>
      </c>
      <c r="C102">
        <v>369</v>
      </c>
      <c r="D102">
        <v>429</v>
      </c>
      <c r="E102">
        <v>425</v>
      </c>
      <c r="F102" s="1">
        <v>4883</v>
      </c>
      <c r="H102">
        <f>(0.06826568266+'2011'!H102)/2</f>
        <v>6.7611102199565204E-2</v>
      </c>
      <c r="I102">
        <f>(0.0857933579335793+'2011'!I102)/2</f>
        <v>7.5505374618963561E-2</v>
      </c>
      <c r="J102">
        <f>(0.0922509225092251+'2011'!J102)/2</f>
        <v>8.7864591689395172E-2</v>
      </c>
      <c r="K102">
        <f>(0.0821033210332103+'2011'!K102)/2</f>
        <v>8.7138617038344274E-2</v>
      </c>
    </row>
    <row r="103" spans="1:13" ht="12.75">
      <c r="H103">
        <f t="shared" ref="H103:K103" si="4">SUM(H2:H102)/101</f>
        <v>5.8341714887824268E-2</v>
      </c>
      <c r="I103">
        <f t="shared" si="4"/>
        <v>6.0977122761343032E-2</v>
      </c>
      <c r="J103">
        <f t="shared" si="4"/>
        <v>6.7469408148226676E-2</v>
      </c>
      <c r="K103">
        <f t="shared" si="4"/>
        <v>7.0623272907516674E-2</v>
      </c>
      <c r="L103">
        <f>I103+0.6*J103</f>
        <v>0.10145876765027903</v>
      </c>
      <c r="M103">
        <f>0.6*K103+0.4*J103</f>
        <v>6.9361727003800666E-2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R227"/>
  <sheetViews>
    <sheetView workbookViewId="0"/>
  </sheetViews>
  <sheetFormatPr defaultColWidth="14.42578125" defaultRowHeight="15.75" customHeight="1"/>
  <cols>
    <col min="1" max="1" width="32.85546875" customWidth="1"/>
    <col min="2" max="2" width="8.85546875" customWidth="1"/>
    <col min="3" max="3" width="9.140625" customWidth="1"/>
    <col min="4" max="4" width="8.5703125" customWidth="1"/>
    <col min="5" max="5" width="7.42578125" customWidth="1"/>
    <col min="6" max="6" width="8" customWidth="1"/>
    <col min="7" max="8" width="7.85546875" customWidth="1"/>
    <col min="9" max="10" width="7.42578125" customWidth="1"/>
    <col min="11" max="11" width="7" customWidth="1"/>
    <col min="12" max="12" width="7.7109375" customWidth="1"/>
    <col min="13" max="13" width="7.140625" customWidth="1"/>
    <col min="14" max="14" width="7.28515625" customWidth="1"/>
    <col min="15" max="15" width="7" customWidth="1"/>
    <col min="16" max="16" width="40.140625" customWidth="1"/>
    <col min="17" max="17" width="45" customWidth="1"/>
  </cols>
  <sheetData>
    <row r="1" spans="1:18" ht="15.75" customHeight="1">
      <c r="A1" s="1"/>
      <c r="F1" s="5" t="s">
        <v>615</v>
      </c>
      <c r="P1" s="5" t="s">
        <v>617</v>
      </c>
    </row>
    <row r="2" spans="1:18" ht="15.75" customHeight="1">
      <c r="A2" s="5" t="s">
        <v>616</v>
      </c>
      <c r="B2" s="1">
        <v>1000</v>
      </c>
      <c r="C2" s="1">
        <v>1100</v>
      </c>
      <c r="D2" s="1">
        <v>1200</v>
      </c>
      <c r="E2" s="1">
        <v>1300</v>
      </c>
      <c r="F2" s="1">
        <v>1400</v>
      </c>
      <c r="G2" s="1">
        <v>1500</v>
      </c>
      <c r="H2" s="1">
        <v>1600</v>
      </c>
      <c r="I2" s="1">
        <v>1700</v>
      </c>
      <c r="J2" s="1">
        <v>1800</v>
      </c>
      <c r="K2" s="1">
        <v>1900</v>
      </c>
      <c r="L2" s="1">
        <v>2000</v>
      </c>
      <c r="M2" s="1">
        <v>2100</v>
      </c>
      <c r="N2" s="1">
        <v>2200</v>
      </c>
      <c r="O2" s="1"/>
      <c r="Q2" s="34" t="s">
        <v>638</v>
      </c>
      <c r="R2" s="35">
        <v>150</v>
      </c>
    </row>
    <row r="3" spans="1:18" ht="15.75" customHeight="1">
      <c r="A3" s="6" t="s">
        <v>82</v>
      </c>
      <c r="B3" s="1">
        <f t="shared" ref="B3:B21" si="0">ROUND(5*$R$8*($R$5+$R$6)*$R$10^$R$11,1)</f>
        <v>61.3</v>
      </c>
      <c r="C3" s="4">
        <f t="shared" ref="C3:C21" si="1">ROUND(5.3*$R$8*($R$5+$R$6)*$R$10^$R$11,1)</f>
        <v>65</v>
      </c>
      <c r="D3" s="1">
        <f t="shared" ref="D3:D21" si="2">ROUND(5.6*$R$8*($R$5+$R$6)*$R$10^$R$11,1)</f>
        <v>68.599999999999994</v>
      </c>
      <c r="E3">
        <f t="shared" ref="E3:E21" si="3">ROUND(5.8*$R$8*($R$5+$R$6)*$R$10^$R$11,1)</f>
        <v>71.099999999999994</v>
      </c>
      <c r="F3">
        <f t="shared" ref="F3:F21" si="4">ROUND(6.1*$R$8*($R$5+$R$6)*$R$10^$R$11,1)</f>
        <v>74.8</v>
      </c>
      <c r="G3">
        <f t="shared" ref="G3:G21" si="5">ROUND(6.3*$R$8*($R$5+$R$6)*$R$10^$R$11,1)</f>
        <v>77.2</v>
      </c>
      <c r="H3" s="4">
        <f t="shared" ref="H3:H21" si="6">ROUND(6.6*$R$8*($R$5+$R$6)*$R$10^$R$11,1)</f>
        <v>80.900000000000006</v>
      </c>
      <c r="I3" s="4">
        <f t="shared" ref="I3:I21" si="7">ROUND(6.8*$R$8*($R$5+$R$6)*$R$10^$R$11,1)</f>
        <v>83.3</v>
      </c>
      <c r="J3">
        <f t="shared" ref="J3:J21" si="8">ROUND(7.1*$R$8*($R$5+$R$6)*$R$10^$R$11,1)</f>
        <v>87</v>
      </c>
      <c r="K3">
        <f t="shared" ref="K3:K21" si="9">ROUND(7.4*$R$8*($R$5+$R$6)*$R$10^$R$11,1)</f>
        <v>90.7</v>
      </c>
      <c r="L3">
        <f t="shared" ref="L3:L21" si="10">ROUND(7.7*$R$8*($R$5+$R$6)*$R$10^$R$11,1)</f>
        <v>94.4</v>
      </c>
      <c r="M3">
        <f t="shared" ref="M3:M21" si="11">ROUND(7.9*$R$8*($R$5+$R$6)*$R$10^$R$11,1)</f>
        <v>96.8</v>
      </c>
      <c r="N3">
        <f t="shared" ref="N3:N21" si="12">ROUND(8.2*$R$8*($R$5+$R$6)*$R$10^$R$11,1)</f>
        <v>100.5</v>
      </c>
      <c r="P3" s="1">
        <f>ROUND(((2321842.77+2995668+2056861.6)/3)*$R$10^5/1000000,1)</f>
        <v>2.6</v>
      </c>
      <c r="Q3" s="1"/>
    </row>
    <row r="4" spans="1:18" ht="15.75" customHeight="1">
      <c r="A4" s="6" t="s">
        <v>235</v>
      </c>
      <c r="B4" s="1">
        <f t="shared" si="0"/>
        <v>61.3</v>
      </c>
      <c r="C4" s="4">
        <f t="shared" si="1"/>
        <v>65</v>
      </c>
      <c r="D4" s="1">
        <f t="shared" si="2"/>
        <v>68.599999999999994</v>
      </c>
      <c r="E4">
        <f t="shared" si="3"/>
        <v>71.099999999999994</v>
      </c>
      <c r="F4">
        <f t="shared" si="4"/>
        <v>74.8</v>
      </c>
      <c r="G4">
        <f t="shared" si="5"/>
        <v>77.2</v>
      </c>
      <c r="H4" s="4">
        <f t="shared" si="6"/>
        <v>80.900000000000006</v>
      </c>
      <c r="I4" s="4">
        <f t="shared" si="7"/>
        <v>83.3</v>
      </c>
      <c r="J4">
        <f t="shared" si="8"/>
        <v>87</v>
      </c>
      <c r="K4">
        <f t="shared" si="9"/>
        <v>90.7</v>
      </c>
      <c r="L4">
        <f t="shared" si="10"/>
        <v>94.4</v>
      </c>
      <c r="M4">
        <f t="shared" si="11"/>
        <v>96.8</v>
      </c>
      <c r="N4">
        <f t="shared" si="12"/>
        <v>100.5</v>
      </c>
      <c r="P4" s="1">
        <f t="shared" ref="P4:P21" si="13">ROUND(((2321842.77+2995668+2056861.6)/3)*$R$10^4/1000000,1)</f>
        <v>2.6</v>
      </c>
      <c r="Q4" s="38" t="s">
        <v>622</v>
      </c>
      <c r="R4" s="39"/>
    </row>
    <row r="5" spans="1:18" ht="15.75" customHeight="1">
      <c r="A5" s="6" t="s">
        <v>54</v>
      </c>
      <c r="B5" s="1">
        <f t="shared" si="0"/>
        <v>61.3</v>
      </c>
      <c r="C5" s="4">
        <f t="shared" si="1"/>
        <v>65</v>
      </c>
      <c r="D5" s="1">
        <f t="shared" si="2"/>
        <v>68.599999999999994</v>
      </c>
      <c r="E5">
        <f t="shared" si="3"/>
        <v>71.099999999999994</v>
      </c>
      <c r="F5">
        <f t="shared" si="4"/>
        <v>74.8</v>
      </c>
      <c r="G5">
        <f t="shared" si="5"/>
        <v>77.2</v>
      </c>
      <c r="H5" s="4">
        <f t="shared" si="6"/>
        <v>80.900000000000006</v>
      </c>
      <c r="I5" s="4">
        <f t="shared" si="7"/>
        <v>83.3</v>
      </c>
      <c r="J5">
        <f t="shared" si="8"/>
        <v>87</v>
      </c>
      <c r="K5">
        <f t="shared" si="9"/>
        <v>90.7</v>
      </c>
      <c r="L5">
        <f t="shared" si="10"/>
        <v>94.4</v>
      </c>
      <c r="M5">
        <f t="shared" si="11"/>
        <v>96.8</v>
      </c>
      <c r="N5">
        <f t="shared" si="12"/>
        <v>100.5</v>
      </c>
      <c r="P5" s="1">
        <f t="shared" si="13"/>
        <v>2.6</v>
      </c>
      <c r="Q5" s="40" t="s">
        <v>623</v>
      </c>
      <c r="R5" s="39">
        <f>((6/6.2+15/15)/2)*2.47105</f>
        <v>2.4311943548387096</v>
      </c>
    </row>
    <row r="6" spans="1:18" ht="15.75" customHeight="1">
      <c r="A6" s="6" t="s">
        <v>81</v>
      </c>
      <c r="B6" s="1">
        <f t="shared" si="0"/>
        <v>61.3</v>
      </c>
      <c r="C6" s="4">
        <f t="shared" si="1"/>
        <v>65</v>
      </c>
      <c r="D6" s="1">
        <f t="shared" si="2"/>
        <v>68.599999999999994</v>
      </c>
      <c r="E6">
        <f t="shared" si="3"/>
        <v>71.099999999999994</v>
      </c>
      <c r="F6">
        <f t="shared" si="4"/>
        <v>74.8</v>
      </c>
      <c r="G6">
        <f t="shared" si="5"/>
        <v>77.2</v>
      </c>
      <c r="H6" s="4">
        <f t="shared" si="6"/>
        <v>80.900000000000006</v>
      </c>
      <c r="I6" s="4">
        <f t="shared" si="7"/>
        <v>83.3</v>
      </c>
      <c r="J6">
        <f t="shared" si="8"/>
        <v>87</v>
      </c>
      <c r="K6">
        <f t="shared" si="9"/>
        <v>90.7</v>
      </c>
      <c r="L6">
        <f t="shared" si="10"/>
        <v>94.4</v>
      </c>
      <c r="M6">
        <f t="shared" si="11"/>
        <v>96.8</v>
      </c>
      <c r="N6">
        <f t="shared" si="12"/>
        <v>100.5</v>
      </c>
      <c r="P6" s="1">
        <f t="shared" si="13"/>
        <v>2.6</v>
      </c>
      <c r="Q6" s="39" t="s">
        <v>639</v>
      </c>
      <c r="R6" s="39">
        <f>(41.5/15)*2.47105</f>
        <v>6.836571666666666</v>
      </c>
    </row>
    <row r="7" spans="1:18" ht="15.75" customHeight="1">
      <c r="A7" s="6" t="s">
        <v>234</v>
      </c>
      <c r="B7" s="1">
        <f t="shared" si="0"/>
        <v>61.3</v>
      </c>
      <c r="C7" s="4">
        <f t="shared" si="1"/>
        <v>65</v>
      </c>
      <c r="D7" s="1">
        <f t="shared" si="2"/>
        <v>68.599999999999994</v>
      </c>
      <c r="E7">
        <f t="shared" si="3"/>
        <v>71.099999999999994</v>
      </c>
      <c r="F7">
        <f t="shared" si="4"/>
        <v>74.8</v>
      </c>
      <c r="G7">
        <f t="shared" si="5"/>
        <v>77.2</v>
      </c>
      <c r="H7" s="4">
        <f t="shared" si="6"/>
        <v>80.900000000000006</v>
      </c>
      <c r="I7" s="4">
        <f t="shared" si="7"/>
        <v>83.3</v>
      </c>
      <c r="J7">
        <f t="shared" si="8"/>
        <v>87</v>
      </c>
      <c r="K7">
        <f t="shared" si="9"/>
        <v>90.7</v>
      </c>
      <c r="L7">
        <f t="shared" si="10"/>
        <v>94.4</v>
      </c>
      <c r="M7">
        <f t="shared" si="11"/>
        <v>96.8</v>
      </c>
      <c r="N7">
        <f t="shared" si="12"/>
        <v>100.5</v>
      </c>
      <c r="P7" s="1">
        <f t="shared" si="13"/>
        <v>2.6</v>
      </c>
      <c r="Q7" s="39" t="s">
        <v>640</v>
      </c>
      <c r="R7" s="39">
        <f>(14/6.2)*2.47105</f>
        <v>5.5797903225806449</v>
      </c>
    </row>
    <row r="8" spans="1:18" ht="15.75" customHeight="1">
      <c r="A8" s="6" t="s">
        <v>238</v>
      </c>
      <c r="B8" s="1">
        <f t="shared" si="0"/>
        <v>61.3</v>
      </c>
      <c r="C8" s="4">
        <f t="shared" si="1"/>
        <v>65</v>
      </c>
      <c r="D8" s="1">
        <f t="shared" si="2"/>
        <v>68.599999999999994</v>
      </c>
      <c r="E8">
        <f t="shared" si="3"/>
        <v>71.099999999999994</v>
      </c>
      <c r="F8">
        <f t="shared" si="4"/>
        <v>74.8</v>
      </c>
      <c r="G8">
        <f t="shared" si="5"/>
        <v>77.2</v>
      </c>
      <c r="H8" s="4">
        <f t="shared" si="6"/>
        <v>80.900000000000006</v>
      </c>
      <c r="I8" s="4">
        <f t="shared" si="7"/>
        <v>83.3</v>
      </c>
      <c r="J8">
        <f t="shared" si="8"/>
        <v>87</v>
      </c>
      <c r="K8">
        <f t="shared" si="9"/>
        <v>90.7</v>
      </c>
      <c r="L8">
        <f t="shared" si="10"/>
        <v>94.4</v>
      </c>
      <c r="M8">
        <f t="shared" si="11"/>
        <v>96.8</v>
      </c>
      <c r="N8">
        <f t="shared" si="12"/>
        <v>100.5</v>
      </c>
      <c r="P8" s="1">
        <f t="shared" si="13"/>
        <v>2.6</v>
      </c>
      <c r="Q8" s="39" t="s">
        <v>626</v>
      </c>
      <c r="R8" s="39">
        <v>1.21</v>
      </c>
    </row>
    <row r="9" spans="1:18" ht="15.75" customHeight="1">
      <c r="A9" s="6" t="s">
        <v>45</v>
      </c>
      <c r="B9" s="1">
        <f t="shared" si="0"/>
        <v>61.3</v>
      </c>
      <c r="C9" s="4">
        <f t="shared" si="1"/>
        <v>65</v>
      </c>
      <c r="D9" s="1">
        <f t="shared" si="2"/>
        <v>68.599999999999994</v>
      </c>
      <c r="E9">
        <f t="shared" si="3"/>
        <v>71.099999999999994</v>
      </c>
      <c r="F9">
        <f t="shared" si="4"/>
        <v>74.8</v>
      </c>
      <c r="G9">
        <f t="shared" si="5"/>
        <v>77.2</v>
      </c>
      <c r="H9" s="4">
        <f t="shared" si="6"/>
        <v>80.900000000000006</v>
      </c>
      <c r="I9" s="4">
        <f t="shared" si="7"/>
        <v>83.3</v>
      </c>
      <c r="J9">
        <f t="shared" si="8"/>
        <v>87</v>
      </c>
      <c r="K9">
        <f t="shared" si="9"/>
        <v>90.7</v>
      </c>
      <c r="L9">
        <f t="shared" si="10"/>
        <v>94.4</v>
      </c>
      <c r="M9">
        <f t="shared" si="11"/>
        <v>96.8</v>
      </c>
      <c r="N9">
        <f t="shared" si="12"/>
        <v>100.5</v>
      </c>
      <c r="P9" s="1">
        <f t="shared" si="13"/>
        <v>2.6</v>
      </c>
      <c r="Q9" s="39" t="s">
        <v>627</v>
      </c>
      <c r="R9" s="39">
        <v>1.06</v>
      </c>
    </row>
    <row r="10" spans="1:18" ht="15.75" customHeight="1">
      <c r="A10" s="6" t="s">
        <v>208</v>
      </c>
      <c r="B10" s="1">
        <f t="shared" si="0"/>
        <v>61.3</v>
      </c>
      <c r="C10" s="4">
        <f t="shared" si="1"/>
        <v>65</v>
      </c>
      <c r="D10" s="1">
        <f t="shared" si="2"/>
        <v>68.599999999999994</v>
      </c>
      <c r="E10">
        <f t="shared" si="3"/>
        <v>71.099999999999994</v>
      </c>
      <c r="F10">
        <f t="shared" si="4"/>
        <v>74.8</v>
      </c>
      <c r="G10">
        <f t="shared" si="5"/>
        <v>77.2</v>
      </c>
      <c r="H10" s="4">
        <f t="shared" si="6"/>
        <v>80.900000000000006</v>
      </c>
      <c r="I10" s="4">
        <f t="shared" si="7"/>
        <v>83.3</v>
      </c>
      <c r="J10">
        <f t="shared" si="8"/>
        <v>87</v>
      </c>
      <c r="K10">
        <f t="shared" si="9"/>
        <v>90.7</v>
      </c>
      <c r="L10">
        <f t="shared" si="10"/>
        <v>94.4</v>
      </c>
      <c r="M10">
        <f t="shared" si="11"/>
        <v>96.8</v>
      </c>
      <c r="N10">
        <f t="shared" si="12"/>
        <v>100.5</v>
      </c>
      <c r="P10" s="1">
        <f t="shared" si="13"/>
        <v>2.6</v>
      </c>
      <c r="Q10" s="39" t="s">
        <v>628</v>
      </c>
      <c r="R10" s="39">
        <f>(((2.3+0.83+1.24+1.47+1.61+1.5)/6)/100)+1</f>
        <v>1.0149166666666667</v>
      </c>
    </row>
    <row r="11" spans="1:18" ht="15.75" customHeight="1">
      <c r="A11" s="6" t="s">
        <v>216</v>
      </c>
      <c r="B11" s="1">
        <f t="shared" si="0"/>
        <v>61.3</v>
      </c>
      <c r="C11" s="4">
        <f t="shared" si="1"/>
        <v>65</v>
      </c>
      <c r="D11" s="1">
        <f t="shared" si="2"/>
        <v>68.599999999999994</v>
      </c>
      <c r="E11">
        <f t="shared" si="3"/>
        <v>71.099999999999994</v>
      </c>
      <c r="F11">
        <f t="shared" si="4"/>
        <v>74.8</v>
      </c>
      <c r="G11">
        <f t="shared" si="5"/>
        <v>77.2</v>
      </c>
      <c r="H11" s="4">
        <f t="shared" si="6"/>
        <v>80.900000000000006</v>
      </c>
      <c r="I11" s="4">
        <f t="shared" si="7"/>
        <v>83.3</v>
      </c>
      <c r="J11">
        <f t="shared" si="8"/>
        <v>87</v>
      </c>
      <c r="K11">
        <f t="shared" si="9"/>
        <v>90.7</v>
      </c>
      <c r="L11">
        <f t="shared" si="10"/>
        <v>94.4</v>
      </c>
      <c r="M11">
        <f t="shared" si="11"/>
        <v>96.8</v>
      </c>
      <c r="N11">
        <f t="shared" si="12"/>
        <v>100.5</v>
      </c>
      <c r="P11" s="1">
        <f t="shared" si="13"/>
        <v>2.6</v>
      </c>
      <c r="Q11" s="39" t="s">
        <v>629</v>
      </c>
      <c r="R11" s="39">
        <v>6</v>
      </c>
    </row>
    <row r="12" spans="1:18" ht="15.75" customHeight="1">
      <c r="A12" s="45" t="s">
        <v>225</v>
      </c>
      <c r="B12" s="1">
        <f t="shared" si="0"/>
        <v>61.3</v>
      </c>
      <c r="C12" s="4">
        <f t="shared" si="1"/>
        <v>65</v>
      </c>
      <c r="D12" s="1">
        <f t="shared" si="2"/>
        <v>68.599999999999994</v>
      </c>
      <c r="E12">
        <f t="shared" si="3"/>
        <v>71.099999999999994</v>
      </c>
      <c r="F12">
        <f t="shared" si="4"/>
        <v>74.8</v>
      </c>
      <c r="G12">
        <f t="shared" si="5"/>
        <v>77.2</v>
      </c>
      <c r="H12" s="4">
        <f t="shared" si="6"/>
        <v>80.900000000000006</v>
      </c>
      <c r="I12" s="4">
        <f t="shared" si="7"/>
        <v>83.3</v>
      </c>
      <c r="J12">
        <f t="shared" si="8"/>
        <v>87</v>
      </c>
      <c r="K12">
        <f t="shared" si="9"/>
        <v>90.7</v>
      </c>
      <c r="L12">
        <f t="shared" si="10"/>
        <v>94.4</v>
      </c>
      <c r="M12">
        <f t="shared" si="11"/>
        <v>96.8</v>
      </c>
      <c r="N12">
        <f t="shared" si="12"/>
        <v>100.5</v>
      </c>
      <c r="P12" s="1">
        <f t="shared" si="13"/>
        <v>2.6</v>
      </c>
    </row>
    <row r="13" spans="1:18" ht="15.75" customHeight="1">
      <c r="A13" s="6" t="s">
        <v>78</v>
      </c>
      <c r="B13" s="1">
        <f t="shared" si="0"/>
        <v>61.3</v>
      </c>
      <c r="C13" s="4">
        <f t="shared" si="1"/>
        <v>65</v>
      </c>
      <c r="D13" s="1">
        <f t="shared" si="2"/>
        <v>68.599999999999994</v>
      </c>
      <c r="E13">
        <f t="shared" si="3"/>
        <v>71.099999999999994</v>
      </c>
      <c r="F13">
        <f t="shared" si="4"/>
        <v>74.8</v>
      </c>
      <c r="G13">
        <f t="shared" si="5"/>
        <v>77.2</v>
      </c>
      <c r="H13" s="4">
        <f t="shared" si="6"/>
        <v>80.900000000000006</v>
      </c>
      <c r="I13" s="4">
        <f t="shared" si="7"/>
        <v>83.3</v>
      </c>
      <c r="J13">
        <f t="shared" si="8"/>
        <v>87</v>
      </c>
      <c r="K13">
        <f t="shared" si="9"/>
        <v>90.7</v>
      </c>
      <c r="L13">
        <f t="shared" si="10"/>
        <v>94.4</v>
      </c>
      <c r="M13">
        <f t="shared" si="11"/>
        <v>96.8</v>
      </c>
      <c r="N13">
        <f t="shared" si="12"/>
        <v>100.5</v>
      </c>
      <c r="P13" s="1">
        <f t="shared" si="13"/>
        <v>2.6</v>
      </c>
    </row>
    <row r="14" spans="1:18" ht="15.75" customHeight="1">
      <c r="A14" s="6" t="s">
        <v>148</v>
      </c>
      <c r="B14" s="1">
        <f t="shared" si="0"/>
        <v>61.3</v>
      </c>
      <c r="C14" s="4">
        <f t="shared" si="1"/>
        <v>65</v>
      </c>
      <c r="D14" s="1">
        <f t="shared" si="2"/>
        <v>68.599999999999994</v>
      </c>
      <c r="E14">
        <f t="shared" si="3"/>
        <v>71.099999999999994</v>
      </c>
      <c r="F14">
        <f t="shared" si="4"/>
        <v>74.8</v>
      </c>
      <c r="G14">
        <f t="shared" si="5"/>
        <v>77.2</v>
      </c>
      <c r="H14" s="4">
        <f t="shared" si="6"/>
        <v>80.900000000000006</v>
      </c>
      <c r="I14" s="4">
        <f t="shared" si="7"/>
        <v>83.3</v>
      </c>
      <c r="J14">
        <f t="shared" si="8"/>
        <v>87</v>
      </c>
      <c r="K14">
        <f t="shared" si="9"/>
        <v>90.7</v>
      </c>
      <c r="L14">
        <f t="shared" si="10"/>
        <v>94.4</v>
      </c>
      <c r="M14">
        <f t="shared" si="11"/>
        <v>96.8</v>
      </c>
      <c r="N14">
        <f t="shared" si="12"/>
        <v>100.5</v>
      </c>
      <c r="P14" s="1">
        <f t="shared" si="13"/>
        <v>2.6</v>
      </c>
    </row>
    <row r="15" spans="1:18" ht="15.75" customHeight="1">
      <c r="A15" s="6" t="s">
        <v>212</v>
      </c>
      <c r="B15" s="1">
        <f t="shared" si="0"/>
        <v>61.3</v>
      </c>
      <c r="C15" s="4">
        <f t="shared" si="1"/>
        <v>65</v>
      </c>
      <c r="D15" s="1">
        <f t="shared" si="2"/>
        <v>68.599999999999994</v>
      </c>
      <c r="E15">
        <f t="shared" si="3"/>
        <v>71.099999999999994</v>
      </c>
      <c r="F15">
        <f t="shared" si="4"/>
        <v>74.8</v>
      </c>
      <c r="G15">
        <f t="shared" si="5"/>
        <v>77.2</v>
      </c>
      <c r="H15" s="4">
        <f t="shared" si="6"/>
        <v>80.900000000000006</v>
      </c>
      <c r="I15" s="4">
        <f t="shared" si="7"/>
        <v>83.3</v>
      </c>
      <c r="J15">
        <f t="shared" si="8"/>
        <v>87</v>
      </c>
      <c r="K15">
        <f t="shared" si="9"/>
        <v>90.7</v>
      </c>
      <c r="L15">
        <f t="shared" si="10"/>
        <v>94.4</v>
      </c>
      <c r="M15">
        <f t="shared" si="11"/>
        <v>96.8</v>
      </c>
      <c r="N15">
        <f t="shared" si="12"/>
        <v>100.5</v>
      </c>
      <c r="P15" s="1">
        <f t="shared" si="13"/>
        <v>2.6</v>
      </c>
      <c r="Q15" s="46"/>
    </row>
    <row r="16" spans="1:18" ht="15.75" customHeight="1">
      <c r="A16" s="6" t="s">
        <v>59</v>
      </c>
      <c r="B16" s="1">
        <f t="shared" si="0"/>
        <v>61.3</v>
      </c>
      <c r="C16" s="4">
        <f t="shared" si="1"/>
        <v>65</v>
      </c>
      <c r="D16" s="1">
        <f t="shared" si="2"/>
        <v>68.599999999999994</v>
      </c>
      <c r="E16">
        <f t="shared" si="3"/>
        <v>71.099999999999994</v>
      </c>
      <c r="F16">
        <f t="shared" si="4"/>
        <v>74.8</v>
      </c>
      <c r="G16">
        <f t="shared" si="5"/>
        <v>77.2</v>
      </c>
      <c r="H16" s="4">
        <f t="shared" si="6"/>
        <v>80.900000000000006</v>
      </c>
      <c r="I16" s="4">
        <f t="shared" si="7"/>
        <v>83.3</v>
      </c>
      <c r="J16">
        <f t="shared" si="8"/>
        <v>87</v>
      </c>
      <c r="K16">
        <f t="shared" si="9"/>
        <v>90.7</v>
      </c>
      <c r="L16">
        <f t="shared" si="10"/>
        <v>94.4</v>
      </c>
      <c r="M16">
        <f t="shared" si="11"/>
        <v>96.8</v>
      </c>
      <c r="N16">
        <f t="shared" si="12"/>
        <v>100.5</v>
      </c>
      <c r="P16" s="1">
        <f t="shared" si="13"/>
        <v>2.6</v>
      </c>
    </row>
    <row r="17" spans="1:16" ht="15.75" customHeight="1">
      <c r="A17" s="6" t="s">
        <v>205</v>
      </c>
      <c r="B17" s="1">
        <f t="shared" si="0"/>
        <v>61.3</v>
      </c>
      <c r="C17" s="4">
        <f t="shared" si="1"/>
        <v>65</v>
      </c>
      <c r="D17" s="1">
        <f t="shared" si="2"/>
        <v>68.599999999999994</v>
      </c>
      <c r="E17">
        <f t="shared" si="3"/>
        <v>71.099999999999994</v>
      </c>
      <c r="F17">
        <f t="shared" si="4"/>
        <v>74.8</v>
      </c>
      <c r="G17">
        <f t="shared" si="5"/>
        <v>77.2</v>
      </c>
      <c r="H17" s="4">
        <f t="shared" si="6"/>
        <v>80.900000000000006</v>
      </c>
      <c r="I17" s="4">
        <f t="shared" si="7"/>
        <v>83.3</v>
      </c>
      <c r="J17">
        <f t="shared" si="8"/>
        <v>87</v>
      </c>
      <c r="K17">
        <f t="shared" si="9"/>
        <v>90.7</v>
      </c>
      <c r="L17">
        <f t="shared" si="10"/>
        <v>94.4</v>
      </c>
      <c r="M17">
        <f t="shared" si="11"/>
        <v>96.8</v>
      </c>
      <c r="N17">
        <f t="shared" si="12"/>
        <v>100.5</v>
      </c>
      <c r="P17" s="1">
        <f t="shared" si="13"/>
        <v>2.6</v>
      </c>
    </row>
    <row r="18" spans="1:16" ht="15.75" customHeight="1">
      <c r="A18" s="6" t="s">
        <v>220</v>
      </c>
      <c r="B18" s="1">
        <f t="shared" si="0"/>
        <v>61.3</v>
      </c>
      <c r="C18" s="4">
        <f t="shared" si="1"/>
        <v>65</v>
      </c>
      <c r="D18" s="1">
        <f t="shared" si="2"/>
        <v>68.599999999999994</v>
      </c>
      <c r="E18">
        <f t="shared" si="3"/>
        <v>71.099999999999994</v>
      </c>
      <c r="F18">
        <f t="shared" si="4"/>
        <v>74.8</v>
      </c>
      <c r="G18">
        <f t="shared" si="5"/>
        <v>77.2</v>
      </c>
      <c r="H18" s="4">
        <f t="shared" si="6"/>
        <v>80.900000000000006</v>
      </c>
      <c r="I18" s="4">
        <f t="shared" si="7"/>
        <v>83.3</v>
      </c>
      <c r="J18">
        <f t="shared" si="8"/>
        <v>87</v>
      </c>
      <c r="K18">
        <f t="shared" si="9"/>
        <v>90.7</v>
      </c>
      <c r="L18">
        <f t="shared" si="10"/>
        <v>94.4</v>
      </c>
      <c r="M18">
        <f t="shared" si="11"/>
        <v>96.8</v>
      </c>
      <c r="N18">
        <f t="shared" si="12"/>
        <v>100.5</v>
      </c>
      <c r="P18" s="1">
        <f t="shared" si="13"/>
        <v>2.6</v>
      </c>
    </row>
    <row r="19" spans="1:16" ht="15.75" customHeight="1">
      <c r="A19" s="6" t="s">
        <v>232</v>
      </c>
      <c r="B19" s="1">
        <f t="shared" si="0"/>
        <v>61.3</v>
      </c>
      <c r="C19" s="4">
        <f t="shared" si="1"/>
        <v>65</v>
      </c>
      <c r="D19" s="1">
        <f t="shared" si="2"/>
        <v>68.599999999999994</v>
      </c>
      <c r="E19">
        <f t="shared" si="3"/>
        <v>71.099999999999994</v>
      </c>
      <c r="F19">
        <f t="shared" si="4"/>
        <v>74.8</v>
      </c>
      <c r="G19">
        <f t="shared" si="5"/>
        <v>77.2</v>
      </c>
      <c r="H19" s="4">
        <f t="shared" si="6"/>
        <v>80.900000000000006</v>
      </c>
      <c r="I19" s="4">
        <f t="shared" si="7"/>
        <v>83.3</v>
      </c>
      <c r="J19">
        <f t="shared" si="8"/>
        <v>87</v>
      </c>
      <c r="K19">
        <f t="shared" si="9"/>
        <v>90.7</v>
      </c>
      <c r="L19">
        <f t="shared" si="10"/>
        <v>94.4</v>
      </c>
      <c r="M19">
        <f t="shared" si="11"/>
        <v>96.8</v>
      </c>
      <c r="N19">
        <f t="shared" si="12"/>
        <v>100.5</v>
      </c>
      <c r="P19" s="1">
        <f t="shared" si="13"/>
        <v>2.6</v>
      </c>
    </row>
    <row r="20" spans="1:16" ht="15.75" customHeight="1">
      <c r="A20" s="6" t="s">
        <v>228</v>
      </c>
      <c r="B20" s="1">
        <f t="shared" si="0"/>
        <v>61.3</v>
      </c>
      <c r="C20" s="4">
        <f t="shared" si="1"/>
        <v>65</v>
      </c>
      <c r="D20" s="1">
        <f t="shared" si="2"/>
        <v>68.599999999999994</v>
      </c>
      <c r="E20">
        <f t="shared" si="3"/>
        <v>71.099999999999994</v>
      </c>
      <c r="F20">
        <f t="shared" si="4"/>
        <v>74.8</v>
      </c>
      <c r="G20">
        <f t="shared" si="5"/>
        <v>77.2</v>
      </c>
      <c r="H20" s="4">
        <f t="shared" si="6"/>
        <v>80.900000000000006</v>
      </c>
      <c r="I20" s="4">
        <f t="shared" si="7"/>
        <v>83.3</v>
      </c>
      <c r="J20">
        <f t="shared" si="8"/>
        <v>87</v>
      </c>
      <c r="K20">
        <f t="shared" si="9"/>
        <v>90.7</v>
      </c>
      <c r="L20">
        <f t="shared" si="10"/>
        <v>94.4</v>
      </c>
      <c r="M20">
        <f t="shared" si="11"/>
        <v>96.8</v>
      </c>
      <c r="N20">
        <f t="shared" si="12"/>
        <v>100.5</v>
      </c>
      <c r="P20" s="1">
        <f t="shared" si="13"/>
        <v>2.6</v>
      </c>
    </row>
    <row r="21" spans="1:16" ht="15.75" customHeight="1">
      <c r="A21" s="6" t="s">
        <v>222</v>
      </c>
      <c r="B21" s="1">
        <f t="shared" si="0"/>
        <v>61.3</v>
      </c>
      <c r="C21" s="4">
        <f t="shared" si="1"/>
        <v>65</v>
      </c>
      <c r="D21" s="1">
        <f t="shared" si="2"/>
        <v>68.599999999999994</v>
      </c>
      <c r="E21">
        <f t="shared" si="3"/>
        <v>71.099999999999994</v>
      </c>
      <c r="F21">
        <f t="shared" si="4"/>
        <v>74.8</v>
      </c>
      <c r="G21">
        <f t="shared" si="5"/>
        <v>77.2</v>
      </c>
      <c r="H21" s="4">
        <f t="shared" si="6"/>
        <v>80.900000000000006</v>
      </c>
      <c r="I21" s="4">
        <f t="shared" si="7"/>
        <v>83.3</v>
      </c>
      <c r="J21">
        <f t="shared" si="8"/>
        <v>87</v>
      </c>
      <c r="K21">
        <f t="shared" si="9"/>
        <v>90.7</v>
      </c>
      <c r="L21">
        <f t="shared" si="10"/>
        <v>94.4</v>
      </c>
      <c r="M21">
        <f t="shared" si="11"/>
        <v>96.8</v>
      </c>
      <c r="N21">
        <f t="shared" si="12"/>
        <v>100.5</v>
      </c>
      <c r="P21" s="1">
        <f t="shared" si="13"/>
        <v>2.6</v>
      </c>
    </row>
    <row r="22" spans="1:16" ht="15.75" customHeight="1">
      <c r="B22" s="47">
        <f t="shared" ref="B22:N22" si="14">$P$22/100*B2</f>
        <v>46</v>
      </c>
      <c r="C22" s="47">
        <f t="shared" si="14"/>
        <v>50.6</v>
      </c>
      <c r="D22" s="47">
        <f t="shared" si="14"/>
        <v>55.199999999999996</v>
      </c>
      <c r="E22" s="47">
        <f t="shared" si="14"/>
        <v>59.8</v>
      </c>
      <c r="F22" s="47">
        <f t="shared" si="14"/>
        <v>64.400000000000006</v>
      </c>
      <c r="G22" s="47">
        <f t="shared" si="14"/>
        <v>69</v>
      </c>
      <c r="H22" s="47">
        <f t="shared" si="14"/>
        <v>73.599999999999994</v>
      </c>
      <c r="I22" s="47">
        <f t="shared" si="14"/>
        <v>78.2</v>
      </c>
      <c r="J22" s="47">
        <f t="shared" si="14"/>
        <v>82.8</v>
      </c>
      <c r="K22" s="47">
        <f t="shared" si="14"/>
        <v>87.399999999999991</v>
      </c>
      <c r="L22" s="47">
        <f t="shared" si="14"/>
        <v>92</v>
      </c>
      <c r="M22" s="47">
        <f t="shared" si="14"/>
        <v>96.6</v>
      </c>
      <c r="N22" s="47">
        <f t="shared" si="14"/>
        <v>101.2</v>
      </c>
      <c r="O22" s="47"/>
      <c r="P22" s="47">
        <v>4.5999999999999996</v>
      </c>
    </row>
    <row r="23" spans="1:16" ht="15.75" customHeight="1">
      <c r="A23" s="5" t="s">
        <v>620</v>
      </c>
      <c r="B23" s="1">
        <v>200</v>
      </c>
      <c r="C23" s="1">
        <v>250</v>
      </c>
      <c r="D23" s="1">
        <v>300</v>
      </c>
      <c r="E23" s="1">
        <v>350</v>
      </c>
      <c r="F23" s="1">
        <v>400</v>
      </c>
      <c r="G23" s="1">
        <v>450</v>
      </c>
      <c r="H23" s="1">
        <v>500</v>
      </c>
      <c r="I23" s="1">
        <v>550</v>
      </c>
      <c r="J23" s="1">
        <v>600</v>
      </c>
      <c r="K23" s="1">
        <v>650</v>
      </c>
      <c r="L23" s="1">
        <v>700</v>
      </c>
      <c r="M23" s="1">
        <v>750</v>
      </c>
      <c r="N23" s="1">
        <v>800</v>
      </c>
    </row>
    <row r="24" spans="1:16" ht="15.75" customHeight="1">
      <c r="A24" s="48" t="s">
        <v>288</v>
      </c>
      <c r="B24" s="4">
        <f t="shared" ref="B24:B119" si="15">ROUND(1.5*$R$9*($R$5+$R$7)*$R$10^$R$11,1)</f>
        <v>13.9</v>
      </c>
      <c r="C24" s="4">
        <f t="shared" ref="C24:C119" si="16">ROUND(1.6*$R$9*($R$5+$R$7)*$R$10^$R$11,1)</f>
        <v>14.8</v>
      </c>
      <c r="D24" s="4">
        <f t="shared" ref="D24:D119" si="17">ROUND(1.8*$R$9*($R$5+$R$7)*$R$10^$R$11,1)</f>
        <v>16.7</v>
      </c>
      <c r="E24" s="4">
        <f t="shared" ref="E24:E119" si="18">ROUND(1.9*$R$9*($R$5+$R$7)*$R$10^$R$11,1)</f>
        <v>17.600000000000001</v>
      </c>
      <c r="F24" s="4">
        <f t="shared" ref="F24:F119" si="19">ROUND(2.3*$R$9*($R$5+$R$7)*$R$10^$R$11,1)</f>
        <v>21.3</v>
      </c>
      <c r="G24" s="4">
        <f t="shared" ref="G24:G119" si="20">ROUND(2.5*$R$9*($R$5+$R$7)*$R$10^$R$11,1)</f>
        <v>23.2</v>
      </c>
      <c r="H24">
        <f t="shared" ref="H24:H119" si="21">ROUND(2.7*$R$9*($R$5+$R$7)*$R$10^$R$11,1)</f>
        <v>25.1</v>
      </c>
      <c r="I24" s="4">
        <f t="shared" ref="I24:I119" si="22">ROUND(2.8*$R$9*($R$5+$R$7)*$R$10^$R$11,1)</f>
        <v>26</v>
      </c>
      <c r="J24">
        <f t="shared" ref="J24:J119" si="23">ROUND(3*$R$9*($R$5+$R$7)*$R$10^$R$11,1)</f>
        <v>27.8</v>
      </c>
      <c r="K24" s="4">
        <f t="shared" ref="K24:K119" si="24">ROUND(3.1*$R$9*($R$5+$R$7)*$R$10^$R$11,1)</f>
        <v>28.8</v>
      </c>
      <c r="L24">
        <f t="shared" ref="L24:L119" si="25">ROUND(3.3*$R$9*($R$5+$R$7)*$R$10^$R$11,1)</f>
        <v>30.6</v>
      </c>
      <c r="M24">
        <f t="shared" ref="M24:M119" si="26">ROUND(3.5*$R$9*($R$5+$R$7)*$R$10^$R$11,1)</f>
        <v>32.5</v>
      </c>
      <c r="N24">
        <f t="shared" ref="N24:N119" si="27">ROUND(3.7*$R$9*($R$5+$R$7)*$R$10^$R$11,1)</f>
        <v>34.299999999999997</v>
      </c>
      <c r="P24">
        <f t="shared" ref="P24:P119" si="28">ROUND((((1769627.56+2356492.31)/2)/1000000)*$R$10^4,1)</f>
        <v>2.2000000000000002</v>
      </c>
    </row>
    <row r="25" spans="1:16" ht="15.75" customHeight="1">
      <c r="A25" s="52" t="s">
        <v>654</v>
      </c>
      <c r="B25" s="4">
        <f t="shared" si="15"/>
        <v>13.9</v>
      </c>
      <c r="C25" s="4">
        <f t="shared" si="16"/>
        <v>14.8</v>
      </c>
      <c r="D25" s="4">
        <f t="shared" si="17"/>
        <v>16.7</v>
      </c>
      <c r="E25" s="4">
        <f t="shared" si="18"/>
        <v>17.600000000000001</v>
      </c>
      <c r="F25" s="4">
        <f t="shared" si="19"/>
        <v>21.3</v>
      </c>
      <c r="G25" s="4">
        <f t="shared" si="20"/>
        <v>23.2</v>
      </c>
      <c r="H25">
        <f t="shared" si="21"/>
        <v>25.1</v>
      </c>
      <c r="I25" s="4">
        <f t="shared" si="22"/>
        <v>26</v>
      </c>
      <c r="J25">
        <f t="shared" si="23"/>
        <v>27.8</v>
      </c>
      <c r="K25" s="4">
        <f t="shared" si="24"/>
        <v>28.8</v>
      </c>
      <c r="L25">
        <f t="shared" si="25"/>
        <v>30.6</v>
      </c>
      <c r="M25">
        <f t="shared" si="26"/>
        <v>32.5</v>
      </c>
      <c r="N25">
        <f t="shared" si="27"/>
        <v>34.299999999999997</v>
      </c>
      <c r="P25">
        <f t="shared" si="28"/>
        <v>2.2000000000000002</v>
      </c>
    </row>
    <row r="26" spans="1:16" ht="15.75" customHeight="1">
      <c r="A26" s="52" t="s">
        <v>661</v>
      </c>
      <c r="B26" s="4">
        <f t="shared" si="15"/>
        <v>13.9</v>
      </c>
      <c r="C26" s="4">
        <f t="shared" si="16"/>
        <v>14.8</v>
      </c>
      <c r="D26" s="4">
        <f t="shared" si="17"/>
        <v>16.7</v>
      </c>
      <c r="E26" s="4">
        <f t="shared" si="18"/>
        <v>17.600000000000001</v>
      </c>
      <c r="F26" s="4">
        <f t="shared" si="19"/>
        <v>21.3</v>
      </c>
      <c r="G26" s="4">
        <f t="shared" si="20"/>
        <v>23.2</v>
      </c>
      <c r="H26">
        <f t="shared" si="21"/>
        <v>25.1</v>
      </c>
      <c r="I26" s="4">
        <f t="shared" si="22"/>
        <v>26</v>
      </c>
      <c r="J26">
        <f t="shared" si="23"/>
        <v>27.8</v>
      </c>
      <c r="K26" s="4">
        <f t="shared" si="24"/>
        <v>28.8</v>
      </c>
      <c r="L26">
        <f t="shared" si="25"/>
        <v>30.6</v>
      </c>
      <c r="M26">
        <f t="shared" si="26"/>
        <v>32.5</v>
      </c>
      <c r="N26">
        <f t="shared" si="27"/>
        <v>34.299999999999997</v>
      </c>
      <c r="P26">
        <f t="shared" si="28"/>
        <v>2.2000000000000002</v>
      </c>
    </row>
    <row r="27" spans="1:16" ht="15.75" customHeight="1">
      <c r="A27" s="52" t="s">
        <v>668</v>
      </c>
      <c r="B27" s="4">
        <f t="shared" si="15"/>
        <v>13.9</v>
      </c>
      <c r="C27" s="4">
        <f t="shared" si="16"/>
        <v>14.8</v>
      </c>
      <c r="D27" s="4">
        <f t="shared" si="17"/>
        <v>16.7</v>
      </c>
      <c r="E27" s="4">
        <f t="shared" si="18"/>
        <v>17.600000000000001</v>
      </c>
      <c r="F27" s="4">
        <f t="shared" si="19"/>
        <v>21.3</v>
      </c>
      <c r="G27" s="4">
        <f t="shared" si="20"/>
        <v>23.2</v>
      </c>
      <c r="H27">
        <f t="shared" si="21"/>
        <v>25.1</v>
      </c>
      <c r="I27" s="4">
        <f t="shared" si="22"/>
        <v>26</v>
      </c>
      <c r="J27">
        <f t="shared" si="23"/>
        <v>27.8</v>
      </c>
      <c r="K27" s="4">
        <f t="shared" si="24"/>
        <v>28.8</v>
      </c>
      <c r="L27">
        <f t="shared" si="25"/>
        <v>30.6</v>
      </c>
      <c r="M27">
        <f t="shared" si="26"/>
        <v>32.5</v>
      </c>
      <c r="N27">
        <f t="shared" si="27"/>
        <v>34.299999999999997</v>
      </c>
      <c r="P27">
        <f t="shared" si="28"/>
        <v>2.2000000000000002</v>
      </c>
    </row>
    <row r="28" spans="1:16" ht="15.75" customHeight="1">
      <c r="A28" s="52" t="s">
        <v>678</v>
      </c>
      <c r="B28" s="4">
        <f t="shared" si="15"/>
        <v>13.9</v>
      </c>
      <c r="C28" s="4">
        <f t="shared" si="16"/>
        <v>14.8</v>
      </c>
      <c r="D28" s="4">
        <f t="shared" si="17"/>
        <v>16.7</v>
      </c>
      <c r="E28" s="4">
        <f t="shared" si="18"/>
        <v>17.600000000000001</v>
      </c>
      <c r="F28" s="4">
        <f t="shared" si="19"/>
        <v>21.3</v>
      </c>
      <c r="G28" s="4">
        <f t="shared" si="20"/>
        <v>23.2</v>
      </c>
      <c r="H28">
        <f t="shared" si="21"/>
        <v>25.1</v>
      </c>
      <c r="I28" s="4">
        <f t="shared" si="22"/>
        <v>26</v>
      </c>
      <c r="J28">
        <f t="shared" si="23"/>
        <v>27.8</v>
      </c>
      <c r="K28" s="4">
        <f t="shared" si="24"/>
        <v>28.8</v>
      </c>
      <c r="L28">
        <f t="shared" si="25"/>
        <v>30.6</v>
      </c>
      <c r="M28">
        <f t="shared" si="26"/>
        <v>32.5</v>
      </c>
      <c r="N28">
        <f t="shared" si="27"/>
        <v>34.299999999999997</v>
      </c>
      <c r="P28">
        <f t="shared" si="28"/>
        <v>2.2000000000000002</v>
      </c>
    </row>
    <row r="29" spans="1:16" ht="15.75" customHeight="1">
      <c r="A29" s="52" t="s">
        <v>688</v>
      </c>
      <c r="B29" s="4">
        <f t="shared" si="15"/>
        <v>13.9</v>
      </c>
      <c r="C29" s="4">
        <f t="shared" si="16"/>
        <v>14.8</v>
      </c>
      <c r="D29" s="4">
        <f t="shared" si="17"/>
        <v>16.7</v>
      </c>
      <c r="E29" s="4">
        <f t="shared" si="18"/>
        <v>17.600000000000001</v>
      </c>
      <c r="F29" s="4">
        <f t="shared" si="19"/>
        <v>21.3</v>
      </c>
      <c r="G29" s="4">
        <f t="shared" si="20"/>
        <v>23.2</v>
      </c>
      <c r="H29">
        <f t="shared" si="21"/>
        <v>25.1</v>
      </c>
      <c r="I29" s="4">
        <f t="shared" si="22"/>
        <v>26</v>
      </c>
      <c r="J29">
        <f t="shared" si="23"/>
        <v>27.8</v>
      </c>
      <c r="K29" s="4">
        <f t="shared" si="24"/>
        <v>28.8</v>
      </c>
      <c r="L29">
        <f t="shared" si="25"/>
        <v>30.6</v>
      </c>
      <c r="M29">
        <f t="shared" si="26"/>
        <v>32.5</v>
      </c>
      <c r="N29">
        <f t="shared" si="27"/>
        <v>34.299999999999997</v>
      </c>
      <c r="P29">
        <f t="shared" si="28"/>
        <v>2.2000000000000002</v>
      </c>
    </row>
    <row r="30" spans="1:16" ht="15.75" customHeight="1">
      <c r="A30" s="52" t="s">
        <v>695</v>
      </c>
      <c r="B30" s="4">
        <f t="shared" si="15"/>
        <v>13.9</v>
      </c>
      <c r="C30" s="4">
        <f t="shared" si="16"/>
        <v>14.8</v>
      </c>
      <c r="D30" s="4">
        <f t="shared" si="17"/>
        <v>16.7</v>
      </c>
      <c r="E30" s="4">
        <f t="shared" si="18"/>
        <v>17.600000000000001</v>
      </c>
      <c r="F30" s="4">
        <f t="shared" si="19"/>
        <v>21.3</v>
      </c>
      <c r="G30" s="4">
        <f t="shared" si="20"/>
        <v>23.2</v>
      </c>
      <c r="H30">
        <f t="shared" si="21"/>
        <v>25.1</v>
      </c>
      <c r="I30" s="4">
        <f t="shared" si="22"/>
        <v>26</v>
      </c>
      <c r="J30">
        <f t="shared" si="23"/>
        <v>27.8</v>
      </c>
      <c r="K30" s="4">
        <f t="shared" si="24"/>
        <v>28.8</v>
      </c>
      <c r="L30">
        <f t="shared" si="25"/>
        <v>30.6</v>
      </c>
      <c r="M30">
        <f t="shared" si="26"/>
        <v>32.5</v>
      </c>
      <c r="N30">
        <f t="shared" si="27"/>
        <v>34.299999999999997</v>
      </c>
      <c r="P30">
        <f t="shared" si="28"/>
        <v>2.2000000000000002</v>
      </c>
    </row>
    <row r="31" spans="1:16" ht="15.75" customHeight="1">
      <c r="A31" s="52" t="s">
        <v>704</v>
      </c>
      <c r="B31" s="4">
        <f t="shared" si="15"/>
        <v>13.9</v>
      </c>
      <c r="C31" s="4">
        <f t="shared" si="16"/>
        <v>14.8</v>
      </c>
      <c r="D31" s="4">
        <f t="shared" si="17"/>
        <v>16.7</v>
      </c>
      <c r="E31" s="4">
        <f t="shared" si="18"/>
        <v>17.600000000000001</v>
      </c>
      <c r="F31" s="4">
        <f t="shared" si="19"/>
        <v>21.3</v>
      </c>
      <c r="G31" s="4">
        <f t="shared" si="20"/>
        <v>23.2</v>
      </c>
      <c r="H31">
        <f t="shared" si="21"/>
        <v>25.1</v>
      </c>
      <c r="I31" s="4">
        <f t="shared" si="22"/>
        <v>26</v>
      </c>
      <c r="J31">
        <f t="shared" si="23"/>
        <v>27.8</v>
      </c>
      <c r="K31" s="4">
        <f t="shared" si="24"/>
        <v>28.8</v>
      </c>
      <c r="L31">
        <f t="shared" si="25"/>
        <v>30.6</v>
      </c>
      <c r="M31">
        <f t="shared" si="26"/>
        <v>32.5</v>
      </c>
      <c r="N31">
        <f t="shared" si="27"/>
        <v>34.299999999999997</v>
      </c>
      <c r="P31">
        <f t="shared" si="28"/>
        <v>2.2000000000000002</v>
      </c>
    </row>
    <row r="32" spans="1:16" ht="15.75" customHeight="1">
      <c r="A32" s="52" t="s">
        <v>714</v>
      </c>
      <c r="B32" s="4">
        <f t="shared" si="15"/>
        <v>13.9</v>
      </c>
      <c r="C32" s="4">
        <f t="shared" si="16"/>
        <v>14.8</v>
      </c>
      <c r="D32" s="4">
        <f t="shared" si="17"/>
        <v>16.7</v>
      </c>
      <c r="E32" s="4">
        <f t="shared" si="18"/>
        <v>17.600000000000001</v>
      </c>
      <c r="F32" s="4">
        <f t="shared" si="19"/>
        <v>21.3</v>
      </c>
      <c r="G32" s="4">
        <f t="shared" si="20"/>
        <v>23.2</v>
      </c>
      <c r="H32">
        <f t="shared" si="21"/>
        <v>25.1</v>
      </c>
      <c r="I32" s="4">
        <f t="shared" si="22"/>
        <v>26</v>
      </c>
      <c r="J32">
        <f t="shared" si="23"/>
        <v>27.8</v>
      </c>
      <c r="K32" s="4">
        <f t="shared" si="24"/>
        <v>28.8</v>
      </c>
      <c r="L32">
        <f t="shared" si="25"/>
        <v>30.6</v>
      </c>
      <c r="M32">
        <f t="shared" si="26"/>
        <v>32.5</v>
      </c>
      <c r="N32">
        <f t="shared" si="27"/>
        <v>34.299999999999997</v>
      </c>
      <c r="P32">
        <f t="shared" si="28"/>
        <v>2.2000000000000002</v>
      </c>
    </row>
    <row r="33" spans="1:16" ht="15.75" customHeight="1">
      <c r="A33" s="52" t="s">
        <v>720</v>
      </c>
      <c r="B33" s="4">
        <f t="shared" si="15"/>
        <v>13.9</v>
      </c>
      <c r="C33" s="4">
        <f t="shared" si="16"/>
        <v>14.8</v>
      </c>
      <c r="D33" s="4">
        <f t="shared" si="17"/>
        <v>16.7</v>
      </c>
      <c r="E33" s="4">
        <f t="shared" si="18"/>
        <v>17.600000000000001</v>
      </c>
      <c r="F33" s="4">
        <f t="shared" si="19"/>
        <v>21.3</v>
      </c>
      <c r="G33" s="4">
        <f t="shared" si="20"/>
        <v>23.2</v>
      </c>
      <c r="H33">
        <f t="shared" si="21"/>
        <v>25.1</v>
      </c>
      <c r="I33" s="4">
        <f t="shared" si="22"/>
        <v>26</v>
      </c>
      <c r="J33">
        <f t="shared" si="23"/>
        <v>27.8</v>
      </c>
      <c r="K33" s="4">
        <f t="shared" si="24"/>
        <v>28.8</v>
      </c>
      <c r="L33">
        <f t="shared" si="25"/>
        <v>30.6</v>
      </c>
      <c r="M33">
        <f t="shared" si="26"/>
        <v>32.5</v>
      </c>
      <c r="N33">
        <f t="shared" si="27"/>
        <v>34.299999999999997</v>
      </c>
      <c r="P33">
        <f t="shared" si="28"/>
        <v>2.2000000000000002</v>
      </c>
    </row>
    <row r="34" spans="1:16" ht="15.75" customHeight="1">
      <c r="A34" s="52" t="s">
        <v>731</v>
      </c>
      <c r="B34" s="4">
        <f t="shared" si="15"/>
        <v>13.9</v>
      </c>
      <c r="C34" s="4">
        <f t="shared" si="16"/>
        <v>14.8</v>
      </c>
      <c r="D34" s="4">
        <f t="shared" si="17"/>
        <v>16.7</v>
      </c>
      <c r="E34" s="4">
        <f t="shared" si="18"/>
        <v>17.600000000000001</v>
      </c>
      <c r="F34" s="4">
        <f t="shared" si="19"/>
        <v>21.3</v>
      </c>
      <c r="G34" s="4">
        <f t="shared" si="20"/>
        <v>23.2</v>
      </c>
      <c r="H34">
        <f t="shared" si="21"/>
        <v>25.1</v>
      </c>
      <c r="I34" s="4">
        <f t="shared" si="22"/>
        <v>26</v>
      </c>
      <c r="J34">
        <f t="shared" si="23"/>
        <v>27.8</v>
      </c>
      <c r="K34" s="4">
        <f t="shared" si="24"/>
        <v>28.8</v>
      </c>
      <c r="L34">
        <f t="shared" si="25"/>
        <v>30.6</v>
      </c>
      <c r="M34">
        <f t="shared" si="26"/>
        <v>32.5</v>
      </c>
      <c r="N34">
        <f t="shared" si="27"/>
        <v>34.299999999999997</v>
      </c>
      <c r="P34">
        <f t="shared" si="28"/>
        <v>2.2000000000000002</v>
      </c>
    </row>
    <row r="35" spans="1:16" ht="15.75" customHeight="1">
      <c r="A35" s="52" t="s">
        <v>741</v>
      </c>
      <c r="B35" s="4">
        <f t="shared" si="15"/>
        <v>13.9</v>
      </c>
      <c r="C35" s="4">
        <f t="shared" si="16"/>
        <v>14.8</v>
      </c>
      <c r="D35" s="4">
        <f t="shared" si="17"/>
        <v>16.7</v>
      </c>
      <c r="E35" s="4">
        <f t="shared" si="18"/>
        <v>17.600000000000001</v>
      </c>
      <c r="F35" s="4">
        <f t="shared" si="19"/>
        <v>21.3</v>
      </c>
      <c r="G35" s="4">
        <f t="shared" si="20"/>
        <v>23.2</v>
      </c>
      <c r="H35">
        <f t="shared" si="21"/>
        <v>25.1</v>
      </c>
      <c r="I35" s="4">
        <f t="shared" si="22"/>
        <v>26</v>
      </c>
      <c r="J35">
        <f t="shared" si="23"/>
        <v>27.8</v>
      </c>
      <c r="K35" s="4">
        <f t="shared" si="24"/>
        <v>28.8</v>
      </c>
      <c r="L35">
        <f t="shared" si="25"/>
        <v>30.6</v>
      </c>
      <c r="M35">
        <f t="shared" si="26"/>
        <v>32.5</v>
      </c>
      <c r="N35">
        <f t="shared" si="27"/>
        <v>34.299999999999997</v>
      </c>
      <c r="P35">
        <f t="shared" si="28"/>
        <v>2.2000000000000002</v>
      </c>
    </row>
    <row r="36" spans="1:16" ht="17.25">
      <c r="A36" s="52" t="s">
        <v>750</v>
      </c>
      <c r="B36" s="4">
        <f t="shared" si="15"/>
        <v>13.9</v>
      </c>
      <c r="C36" s="4">
        <f t="shared" si="16"/>
        <v>14.8</v>
      </c>
      <c r="D36" s="4">
        <f t="shared" si="17"/>
        <v>16.7</v>
      </c>
      <c r="E36" s="4">
        <f t="shared" si="18"/>
        <v>17.600000000000001</v>
      </c>
      <c r="F36" s="4">
        <f t="shared" si="19"/>
        <v>21.3</v>
      </c>
      <c r="G36" s="4">
        <f t="shared" si="20"/>
        <v>23.2</v>
      </c>
      <c r="H36">
        <f t="shared" si="21"/>
        <v>25.1</v>
      </c>
      <c r="I36" s="4">
        <f t="shared" si="22"/>
        <v>26</v>
      </c>
      <c r="J36">
        <f t="shared" si="23"/>
        <v>27.8</v>
      </c>
      <c r="K36" s="4">
        <f t="shared" si="24"/>
        <v>28.8</v>
      </c>
      <c r="L36">
        <f t="shared" si="25"/>
        <v>30.6</v>
      </c>
      <c r="M36">
        <f t="shared" si="26"/>
        <v>32.5</v>
      </c>
      <c r="N36">
        <f t="shared" si="27"/>
        <v>34.299999999999997</v>
      </c>
      <c r="P36">
        <f t="shared" si="28"/>
        <v>2.2000000000000002</v>
      </c>
    </row>
    <row r="37" spans="1:16" ht="17.25">
      <c r="A37" s="52" t="s">
        <v>691</v>
      </c>
      <c r="B37" s="4">
        <f t="shared" si="15"/>
        <v>13.9</v>
      </c>
      <c r="C37" s="4">
        <f t="shared" si="16"/>
        <v>14.8</v>
      </c>
      <c r="D37" s="4">
        <f t="shared" si="17"/>
        <v>16.7</v>
      </c>
      <c r="E37" s="4">
        <f t="shared" si="18"/>
        <v>17.600000000000001</v>
      </c>
      <c r="F37" s="4">
        <f t="shared" si="19"/>
        <v>21.3</v>
      </c>
      <c r="G37" s="4">
        <f t="shared" si="20"/>
        <v>23.2</v>
      </c>
      <c r="H37">
        <f t="shared" si="21"/>
        <v>25.1</v>
      </c>
      <c r="I37" s="4">
        <f t="shared" si="22"/>
        <v>26</v>
      </c>
      <c r="J37">
        <f t="shared" si="23"/>
        <v>27.8</v>
      </c>
      <c r="K37" s="4">
        <f t="shared" si="24"/>
        <v>28.8</v>
      </c>
      <c r="L37">
        <f t="shared" si="25"/>
        <v>30.6</v>
      </c>
      <c r="M37">
        <f t="shared" si="26"/>
        <v>32.5</v>
      </c>
      <c r="N37">
        <f t="shared" si="27"/>
        <v>34.299999999999997</v>
      </c>
      <c r="P37">
        <f t="shared" si="28"/>
        <v>2.2000000000000002</v>
      </c>
    </row>
    <row r="38" spans="1:16" ht="17.25">
      <c r="A38" s="52" t="s">
        <v>768</v>
      </c>
      <c r="B38" s="4">
        <f t="shared" si="15"/>
        <v>13.9</v>
      </c>
      <c r="C38" s="4">
        <f t="shared" si="16"/>
        <v>14.8</v>
      </c>
      <c r="D38" s="4">
        <f t="shared" si="17"/>
        <v>16.7</v>
      </c>
      <c r="E38" s="4">
        <f t="shared" si="18"/>
        <v>17.600000000000001</v>
      </c>
      <c r="F38" s="4">
        <f t="shared" si="19"/>
        <v>21.3</v>
      </c>
      <c r="G38" s="4">
        <f t="shared" si="20"/>
        <v>23.2</v>
      </c>
      <c r="H38">
        <f t="shared" si="21"/>
        <v>25.1</v>
      </c>
      <c r="I38" s="4">
        <f t="shared" si="22"/>
        <v>26</v>
      </c>
      <c r="J38">
        <f t="shared" si="23"/>
        <v>27.8</v>
      </c>
      <c r="K38" s="4">
        <f t="shared" si="24"/>
        <v>28.8</v>
      </c>
      <c r="L38">
        <f t="shared" si="25"/>
        <v>30.6</v>
      </c>
      <c r="M38">
        <f t="shared" si="26"/>
        <v>32.5</v>
      </c>
      <c r="N38">
        <f t="shared" si="27"/>
        <v>34.299999999999997</v>
      </c>
      <c r="P38">
        <f t="shared" si="28"/>
        <v>2.2000000000000002</v>
      </c>
    </row>
    <row r="39" spans="1:16" ht="17.25">
      <c r="A39" s="52" t="s">
        <v>779</v>
      </c>
      <c r="B39" s="4">
        <f t="shared" si="15"/>
        <v>13.9</v>
      </c>
      <c r="C39" s="4">
        <f t="shared" si="16"/>
        <v>14.8</v>
      </c>
      <c r="D39" s="4">
        <f t="shared" si="17"/>
        <v>16.7</v>
      </c>
      <c r="E39" s="4">
        <f t="shared" si="18"/>
        <v>17.600000000000001</v>
      </c>
      <c r="F39" s="4">
        <f t="shared" si="19"/>
        <v>21.3</v>
      </c>
      <c r="G39" s="4">
        <f t="shared" si="20"/>
        <v>23.2</v>
      </c>
      <c r="H39">
        <f t="shared" si="21"/>
        <v>25.1</v>
      </c>
      <c r="I39" s="4">
        <f t="shared" si="22"/>
        <v>26</v>
      </c>
      <c r="J39">
        <f t="shared" si="23"/>
        <v>27.8</v>
      </c>
      <c r="K39" s="4">
        <f t="shared" si="24"/>
        <v>28.8</v>
      </c>
      <c r="L39">
        <f t="shared" si="25"/>
        <v>30.6</v>
      </c>
      <c r="M39">
        <f t="shared" si="26"/>
        <v>32.5</v>
      </c>
      <c r="N39">
        <f t="shared" si="27"/>
        <v>34.299999999999997</v>
      </c>
      <c r="P39">
        <f t="shared" si="28"/>
        <v>2.2000000000000002</v>
      </c>
    </row>
    <row r="40" spans="1:16" ht="17.25">
      <c r="A40" s="52" t="s">
        <v>734</v>
      </c>
      <c r="B40" s="4">
        <f t="shared" si="15"/>
        <v>13.9</v>
      </c>
      <c r="C40" s="4">
        <f t="shared" si="16"/>
        <v>14.8</v>
      </c>
      <c r="D40" s="4">
        <f t="shared" si="17"/>
        <v>16.7</v>
      </c>
      <c r="E40" s="4">
        <f t="shared" si="18"/>
        <v>17.600000000000001</v>
      </c>
      <c r="F40" s="4">
        <f t="shared" si="19"/>
        <v>21.3</v>
      </c>
      <c r="G40" s="4">
        <f t="shared" si="20"/>
        <v>23.2</v>
      </c>
      <c r="H40">
        <f t="shared" si="21"/>
        <v>25.1</v>
      </c>
      <c r="I40" s="4">
        <f t="shared" si="22"/>
        <v>26</v>
      </c>
      <c r="J40">
        <f t="shared" si="23"/>
        <v>27.8</v>
      </c>
      <c r="K40" s="4">
        <f t="shared" si="24"/>
        <v>28.8</v>
      </c>
      <c r="L40">
        <f t="shared" si="25"/>
        <v>30.6</v>
      </c>
      <c r="M40">
        <f t="shared" si="26"/>
        <v>32.5</v>
      </c>
      <c r="N40">
        <f t="shared" si="27"/>
        <v>34.299999999999997</v>
      </c>
      <c r="P40">
        <f t="shared" si="28"/>
        <v>2.2000000000000002</v>
      </c>
    </row>
    <row r="41" spans="1:16" ht="17.25">
      <c r="A41" s="52" t="s">
        <v>794</v>
      </c>
      <c r="B41" s="4">
        <f t="shared" si="15"/>
        <v>13.9</v>
      </c>
      <c r="C41" s="4">
        <f t="shared" si="16"/>
        <v>14.8</v>
      </c>
      <c r="D41" s="4">
        <f t="shared" si="17"/>
        <v>16.7</v>
      </c>
      <c r="E41" s="4">
        <f t="shared" si="18"/>
        <v>17.600000000000001</v>
      </c>
      <c r="F41" s="4">
        <f t="shared" si="19"/>
        <v>21.3</v>
      </c>
      <c r="G41" s="4">
        <f t="shared" si="20"/>
        <v>23.2</v>
      </c>
      <c r="H41">
        <f t="shared" si="21"/>
        <v>25.1</v>
      </c>
      <c r="I41" s="4">
        <f t="shared" si="22"/>
        <v>26</v>
      </c>
      <c r="J41">
        <f t="shared" si="23"/>
        <v>27.8</v>
      </c>
      <c r="K41" s="4">
        <f t="shared" si="24"/>
        <v>28.8</v>
      </c>
      <c r="L41">
        <f t="shared" si="25"/>
        <v>30.6</v>
      </c>
      <c r="M41">
        <f t="shared" si="26"/>
        <v>32.5</v>
      </c>
      <c r="N41">
        <f t="shared" si="27"/>
        <v>34.299999999999997</v>
      </c>
      <c r="P41">
        <f t="shared" si="28"/>
        <v>2.2000000000000002</v>
      </c>
    </row>
    <row r="42" spans="1:16" ht="17.25">
      <c r="A42" s="52" t="s">
        <v>716</v>
      </c>
      <c r="B42" s="4">
        <f t="shared" si="15"/>
        <v>13.9</v>
      </c>
      <c r="C42" s="4">
        <f t="shared" si="16"/>
        <v>14.8</v>
      </c>
      <c r="D42" s="4">
        <f t="shared" si="17"/>
        <v>16.7</v>
      </c>
      <c r="E42" s="4">
        <f t="shared" si="18"/>
        <v>17.600000000000001</v>
      </c>
      <c r="F42" s="4">
        <f t="shared" si="19"/>
        <v>21.3</v>
      </c>
      <c r="G42" s="4">
        <f t="shared" si="20"/>
        <v>23.2</v>
      </c>
      <c r="H42">
        <f t="shared" si="21"/>
        <v>25.1</v>
      </c>
      <c r="I42" s="4">
        <f t="shared" si="22"/>
        <v>26</v>
      </c>
      <c r="J42">
        <f t="shared" si="23"/>
        <v>27.8</v>
      </c>
      <c r="K42" s="4">
        <f t="shared" si="24"/>
        <v>28.8</v>
      </c>
      <c r="L42">
        <f t="shared" si="25"/>
        <v>30.6</v>
      </c>
      <c r="M42">
        <f t="shared" si="26"/>
        <v>32.5</v>
      </c>
      <c r="N42">
        <f t="shared" si="27"/>
        <v>34.299999999999997</v>
      </c>
      <c r="P42">
        <f t="shared" si="28"/>
        <v>2.2000000000000002</v>
      </c>
    </row>
    <row r="43" spans="1:16" ht="17.25">
      <c r="A43" s="52" t="s">
        <v>786</v>
      </c>
      <c r="B43" s="4">
        <f t="shared" si="15"/>
        <v>13.9</v>
      </c>
      <c r="C43" s="4">
        <f t="shared" si="16"/>
        <v>14.8</v>
      </c>
      <c r="D43" s="4">
        <f t="shared" si="17"/>
        <v>16.7</v>
      </c>
      <c r="E43" s="4">
        <f t="shared" si="18"/>
        <v>17.600000000000001</v>
      </c>
      <c r="F43" s="4">
        <f t="shared" si="19"/>
        <v>21.3</v>
      </c>
      <c r="G43" s="4">
        <f t="shared" si="20"/>
        <v>23.2</v>
      </c>
      <c r="H43">
        <f t="shared" si="21"/>
        <v>25.1</v>
      </c>
      <c r="I43" s="4">
        <f t="shared" si="22"/>
        <v>26</v>
      </c>
      <c r="J43">
        <f t="shared" si="23"/>
        <v>27.8</v>
      </c>
      <c r="K43" s="4">
        <f t="shared" si="24"/>
        <v>28.8</v>
      </c>
      <c r="L43">
        <f t="shared" si="25"/>
        <v>30.6</v>
      </c>
      <c r="M43">
        <f t="shared" si="26"/>
        <v>32.5</v>
      </c>
      <c r="N43">
        <f t="shared" si="27"/>
        <v>34.299999999999997</v>
      </c>
      <c r="P43">
        <f t="shared" si="28"/>
        <v>2.2000000000000002</v>
      </c>
    </row>
    <row r="44" spans="1:16" ht="17.25">
      <c r="A44" s="52" t="s">
        <v>824</v>
      </c>
      <c r="B44" s="4">
        <f t="shared" si="15"/>
        <v>13.9</v>
      </c>
      <c r="C44" s="4">
        <f t="shared" si="16"/>
        <v>14.8</v>
      </c>
      <c r="D44" s="4">
        <f t="shared" si="17"/>
        <v>16.7</v>
      </c>
      <c r="E44" s="4">
        <f t="shared" si="18"/>
        <v>17.600000000000001</v>
      </c>
      <c r="F44" s="4">
        <f t="shared" si="19"/>
        <v>21.3</v>
      </c>
      <c r="G44" s="4">
        <f t="shared" si="20"/>
        <v>23.2</v>
      </c>
      <c r="H44">
        <f t="shared" si="21"/>
        <v>25.1</v>
      </c>
      <c r="I44" s="4">
        <f t="shared" si="22"/>
        <v>26</v>
      </c>
      <c r="J44">
        <f t="shared" si="23"/>
        <v>27.8</v>
      </c>
      <c r="K44" s="4">
        <f t="shared" si="24"/>
        <v>28.8</v>
      </c>
      <c r="L44">
        <f t="shared" si="25"/>
        <v>30.6</v>
      </c>
      <c r="M44">
        <f t="shared" si="26"/>
        <v>32.5</v>
      </c>
      <c r="N44">
        <f t="shared" si="27"/>
        <v>34.299999999999997</v>
      </c>
      <c r="P44">
        <f t="shared" si="28"/>
        <v>2.2000000000000002</v>
      </c>
    </row>
    <row r="45" spans="1:16" ht="17.25">
      <c r="A45" s="52" t="s">
        <v>837</v>
      </c>
      <c r="B45" s="4">
        <f t="shared" si="15"/>
        <v>13.9</v>
      </c>
      <c r="C45" s="4">
        <f t="shared" si="16"/>
        <v>14.8</v>
      </c>
      <c r="D45" s="4">
        <f t="shared" si="17"/>
        <v>16.7</v>
      </c>
      <c r="E45" s="4">
        <f t="shared" si="18"/>
        <v>17.600000000000001</v>
      </c>
      <c r="F45" s="4">
        <f t="shared" si="19"/>
        <v>21.3</v>
      </c>
      <c r="G45" s="4">
        <f t="shared" si="20"/>
        <v>23.2</v>
      </c>
      <c r="H45">
        <f t="shared" si="21"/>
        <v>25.1</v>
      </c>
      <c r="I45" s="4">
        <f t="shared" si="22"/>
        <v>26</v>
      </c>
      <c r="J45">
        <f t="shared" si="23"/>
        <v>27.8</v>
      </c>
      <c r="K45" s="4">
        <f t="shared" si="24"/>
        <v>28.8</v>
      </c>
      <c r="L45">
        <f t="shared" si="25"/>
        <v>30.6</v>
      </c>
      <c r="M45">
        <f t="shared" si="26"/>
        <v>32.5</v>
      </c>
      <c r="N45">
        <f t="shared" si="27"/>
        <v>34.299999999999997</v>
      </c>
      <c r="P45">
        <f t="shared" si="28"/>
        <v>2.2000000000000002</v>
      </c>
    </row>
    <row r="46" spans="1:16" ht="17.25">
      <c r="A46" s="52" t="s">
        <v>784</v>
      </c>
      <c r="B46" s="4">
        <f t="shared" si="15"/>
        <v>13.9</v>
      </c>
      <c r="C46" s="4">
        <f t="shared" si="16"/>
        <v>14.8</v>
      </c>
      <c r="D46" s="4">
        <f t="shared" si="17"/>
        <v>16.7</v>
      </c>
      <c r="E46" s="4">
        <f t="shared" si="18"/>
        <v>17.600000000000001</v>
      </c>
      <c r="F46" s="4">
        <f t="shared" si="19"/>
        <v>21.3</v>
      </c>
      <c r="G46" s="4">
        <f t="shared" si="20"/>
        <v>23.2</v>
      </c>
      <c r="H46">
        <f t="shared" si="21"/>
        <v>25.1</v>
      </c>
      <c r="I46" s="4">
        <f t="shared" si="22"/>
        <v>26</v>
      </c>
      <c r="J46">
        <f t="shared" si="23"/>
        <v>27.8</v>
      </c>
      <c r="K46" s="4">
        <f t="shared" si="24"/>
        <v>28.8</v>
      </c>
      <c r="L46">
        <f t="shared" si="25"/>
        <v>30.6</v>
      </c>
      <c r="M46">
        <f t="shared" si="26"/>
        <v>32.5</v>
      </c>
      <c r="N46">
        <f t="shared" si="27"/>
        <v>34.299999999999997</v>
      </c>
      <c r="P46">
        <f t="shared" si="28"/>
        <v>2.2000000000000002</v>
      </c>
    </row>
    <row r="47" spans="1:16" ht="17.25">
      <c r="A47" s="52" t="s">
        <v>858</v>
      </c>
      <c r="B47" s="4">
        <f t="shared" si="15"/>
        <v>13.9</v>
      </c>
      <c r="C47" s="4">
        <f t="shared" si="16"/>
        <v>14.8</v>
      </c>
      <c r="D47" s="4">
        <f t="shared" si="17"/>
        <v>16.7</v>
      </c>
      <c r="E47" s="4">
        <f t="shared" si="18"/>
        <v>17.600000000000001</v>
      </c>
      <c r="F47" s="4">
        <f t="shared" si="19"/>
        <v>21.3</v>
      </c>
      <c r="G47" s="4">
        <f t="shared" si="20"/>
        <v>23.2</v>
      </c>
      <c r="H47">
        <f t="shared" si="21"/>
        <v>25.1</v>
      </c>
      <c r="I47" s="4">
        <f t="shared" si="22"/>
        <v>26</v>
      </c>
      <c r="J47">
        <f t="shared" si="23"/>
        <v>27.8</v>
      </c>
      <c r="K47" s="4">
        <f t="shared" si="24"/>
        <v>28.8</v>
      </c>
      <c r="L47">
        <f t="shared" si="25"/>
        <v>30.6</v>
      </c>
      <c r="M47">
        <f t="shared" si="26"/>
        <v>32.5</v>
      </c>
      <c r="N47">
        <f t="shared" si="27"/>
        <v>34.299999999999997</v>
      </c>
      <c r="P47">
        <f t="shared" si="28"/>
        <v>2.2000000000000002</v>
      </c>
    </row>
    <row r="48" spans="1:16" ht="17.25">
      <c r="A48" s="52" t="s">
        <v>810</v>
      </c>
      <c r="B48" s="4">
        <f t="shared" si="15"/>
        <v>13.9</v>
      </c>
      <c r="C48" s="4">
        <f t="shared" si="16"/>
        <v>14.8</v>
      </c>
      <c r="D48" s="4">
        <f t="shared" si="17"/>
        <v>16.7</v>
      </c>
      <c r="E48" s="4">
        <f t="shared" si="18"/>
        <v>17.600000000000001</v>
      </c>
      <c r="F48" s="4">
        <f t="shared" si="19"/>
        <v>21.3</v>
      </c>
      <c r="G48" s="4">
        <f t="shared" si="20"/>
        <v>23.2</v>
      </c>
      <c r="H48">
        <f t="shared" si="21"/>
        <v>25.1</v>
      </c>
      <c r="I48" s="4">
        <f t="shared" si="22"/>
        <v>26</v>
      </c>
      <c r="J48">
        <f t="shared" si="23"/>
        <v>27.8</v>
      </c>
      <c r="K48" s="4">
        <f t="shared" si="24"/>
        <v>28.8</v>
      </c>
      <c r="L48">
        <f t="shared" si="25"/>
        <v>30.6</v>
      </c>
      <c r="M48">
        <f t="shared" si="26"/>
        <v>32.5</v>
      </c>
      <c r="N48">
        <f t="shared" si="27"/>
        <v>34.299999999999997</v>
      </c>
      <c r="P48">
        <f t="shared" si="28"/>
        <v>2.2000000000000002</v>
      </c>
    </row>
    <row r="49" spans="1:16" ht="17.25">
      <c r="A49" s="52" t="s">
        <v>854</v>
      </c>
      <c r="B49" s="4">
        <f t="shared" si="15"/>
        <v>13.9</v>
      </c>
      <c r="C49" s="4">
        <f t="shared" si="16"/>
        <v>14.8</v>
      </c>
      <c r="D49" s="4">
        <f t="shared" si="17"/>
        <v>16.7</v>
      </c>
      <c r="E49" s="4">
        <f t="shared" si="18"/>
        <v>17.600000000000001</v>
      </c>
      <c r="F49" s="4">
        <f t="shared" si="19"/>
        <v>21.3</v>
      </c>
      <c r="G49" s="4">
        <f t="shared" si="20"/>
        <v>23.2</v>
      </c>
      <c r="H49">
        <f t="shared" si="21"/>
        <v>25.1</v>
      </c>
      <c r="I49" s="4">
        <f t="shared" si="22"/>
        <v>26</v>
      </c>
      <c r="J49">
        <f t="shared" si="23"/>
        <v>27.8</v>
      </c>
      <c r="K49" s="4">
        <f t="shared" si="24"/>
        <v>28.8</v>
      </c>
      <c r="L49">
        <f t="shared" si="25"/>
        <v>30.6</v>
      </c>
      <c r="M49">
        <f t="shared" si="26"/>
        <v>32.5</v>
      </c>
      <c r="N49">
        <f t="shared" si="27"/>
        <v>34.299999999999997</v>
      </c>
      <c r="P49">
        <f t="shared" si="28"/>
        <v>2.2000000000000002</v>
      </c>
    </row>
    <row r="50" spans="1:16" ht="17.25">
      <c r="A50" s="52" t="s">
        <v>777</v>
      </c>
      <c r="B50" s="4">
        <f t="shared" si="15"/>
        <v>13.9</v>
      </c>
      <c r="C50" s="4">
        <f t="shared" si="16"/>
        <v>14.8</v>
      </c>
      <c r="D50" s="4">
        <f t="shared" si="17"/>
        <v>16.7</v>
      </c>
      <c r="E50" s="4">
        <f t="shared" si="18"/>
        <v>17.600000000000001</v>
      </c>
      <c r="F50" s="4">
        <f t="shared" si="19"/>
        <v>21.3</v>
      </c>
      <c r="G50" s="4">
        <f t="shared" si="20"/>
        <v>23.2</v>
      </c>
      <c r="H50">
        <f t="shared" si="21"/>
        <v>25.1</v>
      </c>
      <c r="I50" s="4">
        <f t="shared" si="22"/>
        <v>26</v>
      </c>
      <c r="J50">
        <f t="shared" si="23"/>
        <v>27.8</v>
      </c>
      <c r="K50" s="4">
        <f t="shared" si="24"/>
        <v>28.8</v>
      </c>
      <c r="L50">
        <f t="shared" si="25"/>
        <v>30.6</v>
      </c>
      <c r="M50">
        <f t="shared" si="26"/>
        <v>32.5</v>
      </c>
      <c r="N50">
        <f t="shared" si="27"/>
        <v>34.299999999999997</v>
      </c>
      <c r="P50">
        <f t="shared" si="28"/>
        <v>2.2000000000000002</v>
      </c>
    </row>
    <row r="51" spans="1:16" ht="17.25">
      <c r="A51" s="52" t="s">
        <v>819</v>
      </c>
      <c r="B51" s="4">
        <f t="shared" si="15"/>
        <v>13.9</v>
      </c>
      <c r="C51" s="4">
        <f t="shared" si="16"/>
        <v>14.8</v>
      </c>
      <c r="D51" s="4">
        <f t="shared" si="17"/>
        <v>16.7</v>
      </c>
      <c r="E51" s="4">
        <f t="shared" si="18"/>
        <v>17.600000000000001</v>
      </c>
      <c r="F51" s="4">
        <f t="shared" si="19"/>
        <v>21.3</v>
      </c>
      <c r="G51" s="4">
        <f t="shared" si="20"/>
        <v>23.2</v>
      </c>
      <c r="H51">
        <f t="shared" si="21"/>
        <v>25.1</v>
      </c>
      <c r="I51" s="4">
        <f t="shared" si="22"/>
        <v>26</v>
      </c>
      <c r="J51">
        <f t="shared" si="23"/>
        <v>27.8</v>
      </c>
      <c r="K51" s="4">
        <f t="shared" si="24"/>
        <v>28.8</v>
      </c>
      <c r="L51">
        <f t="shared" si="25"/>
        <v>30.6</v>
      </c>
      <c r="M51">
        <f t="shared" si="26"/>
        <v>32.5</v>
      </c>
      <c r="N51">
        <f t="shared" si="27"/>
        <v>34.299999999999997</v>
      </c>
      <c r="P51">
        <f t="shared" si="28"/>
        <v>2.2000000000000002</v>
      </c>
    </row>
    <row r="52" spans="1:16" ht="17.25">
      <c r="A52" s="52" t="s">
        <v>826</v>
      </c>
      <c r="B52" s="4">
        <f t="shared" si="15"/>
        <v>13.9</v>
      </c>
      <c r="C52" s="4">
        <f t="shared" si="16"/>
        <v>14.8</v>
      </c>
      <c r="D52" s="4">
        <f t="shared" si="17"/>
        <v>16.7</v>
      </c>
      <c r="E52" s="4">
        <f t="shared" si="18"/>
        <v>17.600000000000001</v>
      </c>
      <c r="F52" s="4">
        <f t="shared" si="19"/>
        <v>21.3</v>
      </c>
      <c r="G52" s="4">
        <f t="shared" si="20"/>
        <v>23.2</v>
      </c>
      <c r="H52">
        <f t="shared" si="21"/>
        <v>25.1</v>
      </c>
      <c r="I52" s="4">
        <f t="shared" si="22"/>
        <v>26</v>
      </c>
      <c r="J52">
        <f t="shared" si="23"/>
        <v>27.8</v>
      </c>
      <c r="K52" s="4">
        <f t="shared" si="24"/>
        <v>28.8</v>
      </c>
      <c r="L52">
        <f t="shared" si="25"/>
        <v>30.6</v>
      </c>
      <c r="M52">
        <f t="shared" si="26"/>
        <v>32.5</v>
      </c>
      <c r="N52">
        <f t="shared" si="27"/>
        <v>34.299999999999997</v>
      </c>
      <c r="P52">
        <f t="shared" si="28"/>
        <v>2.2000000000000002</v>
      </c>
    </row>
    <row r="53" spans="1:16" ht="17.25">
      <c r="A53" s="52" t="s">
        <v>806</v>
      </c>
      <c r="B53" s="4">
        <f t="shared" si="15"/>
        <v>13.9</v>
      </c>
      <c r="C53" s="4">
        <f t="shared" si="16"/>
        <v>14.8</v>
      </c>
      <c r="D53" s="4">
        <f t="shared" si="17"/>
        <v>16.7</v>
      </c>
      <c r="E53" s="4">
        <f t="shared" si="18"/>
        <v>17.600000000000001</v>
      </c>
      <c r="F53" s="4">
        <f t="shared" si="19"/>
        <v>21.3</v>
      </c>
      <c r="G53" s="4">
        <f t="shared" si="20"/>
        <v>23.2</v>
      </c>
      <c r="H53">
        <f t="shared" si="21"/>
        <v>25.1</v>
      </c>
      <c r="I53" s="4">
        <f t="shared" si="22"/>
        <v>26</v>
      </c>
      <c r="J53">
        <f t="shared" si="23"/>
        <v>27.8</v>
      </c>
      <c r="K53" s="4">
        <f t="shared" si="24"/>
        <v>28.8</v>
      </c>
      <c r="L53">
        <f t="shared" si="25"/>
        <v>30.6</v>
      </c>
      <c r="M53">
        <f t="shared" si="26"/>
        <v>32.5</v>
      </c>
      <c r="N53">
        <f t="shared" si="27"/>
        <v>34.299999999999997</v>
      </c>
      <c r="P53">
        <f t="shared" si="28"/>
        <v>2.2000000000000002</v>
      </c>
    </row>
    <row r="54" spans="1:16" ht="17.25">
      <c r="A54" s="52" t="s">
        <v>700</v>
      </c>
      <c r="B54" s="4">
        <f t="shared" si="15"/>
        <v>13.9</v>
      </c>
      <c r="C54" s="4">
        <f t="shared" si="16"/>
        <v>14.8</v>
      </c>
      <c r="D54" s="4">
        <f t="shared" si="17"/>
        <v>16.7</v>
      </c>
      <c r="E54" s="4">
        <f t="shared" si="18"/>
        <v>17.600000000000001</v>
      </c>
      <c r="F54" s="4">
        <f t="shared" si="19"/>
        <v>21.3</v>
      </c>
      <c r="G54" s="4">
        <f t="shared" si="20"/>
        <v>23.2</v>
      </c>
      <c r="H54">
        <f t="shared" si="21"/>
        <v>25.1</v>
      </c>
      <c r="I54" s="4">
        <f t="shared" si="22"/>
        <v>26</v>
      </c>
      <c r="J54">
        <f t="shared" si="23"/>
        <v>27.8</v>
      </c>
      <c r="K54" s="4">
        <f t="shared" si="24"/>
        <v>28.8</v>
      </c>
      <c r="L54">
        <f t="shared" si="25"/>
        <v>30.6</v>
      </c>
      <c r="M54">
        <f t="shared" si="26"/>
        <v>32.5</v>
      </c>
      <c r="N54">
        <f t="shared" si="27"/>
        <v>34.299999999999997</v>
      </c>
      <c r="P54">
        <f t="shared" si="28"/>
        <v>2.2000000000000002</v>
      </c>
    </row>
    <row r="55" spans="1:16" ht="17.25">
      <c r="A55" s="52" t="s">
        <v>736</v>
      </c>
      <c r="B55" s="4">
        <f t="shared" si="15"/>
        <v>13.9</v>
      </c>
      <c r="C55" s="4">
        <f t="shared" si="16"/>
        <v>14.8</v>
      </c>
      <c r="D55" s="4">
        <f t="shared" si="17"/>
        <v>16.7</v>
      </c>
      <c r="E55" s="4">
        <f t="shared" si="18"/>
        <v>17.600000000000001</v>
      </c>
      <c r="F55" s="4">
        <f t="shared" si="19"/>
        <v>21.3</v>
      </c>
      <c r="G55" s="4">
        <f t="shared" si="20"/>
        <v>23.2</v>
      </c>
      <c r="H55">
        <f t="shared" si="21"/>
        <v>25.1</v>
      </c>
      <c r="I55" s="4">
        <f t="shared" si="22"/>
        <v>26</v>
      </c>
      <c r="J55">
        <f t="shared" si="23"/>
        <v>27.8</v>
      </c>
      <c r="K55" s="4">
        <f t="shared" si="24"/>
        <v>28.8</v>
      </c>
      <c r="L55">
        <f t="shared" si="25"/>
        <v>30.6</v>
      </c>
      <c r="M55">
        <f t="shared" si="26"/>
        <v>32.5</v>
      </c>
      <c r="N55">
        <f t="shared" si="27"/>
        <v>34.299999999999997</v>
      </c>
      <c r="P55">
        <f t="shared" si="28"/>
        <v>2.2000000000000002</v>
      </c>
    </row>
    <row r="56" spans="1:16" ht="17.25">
      <c r="A56" s="52" t="s">
        <v>705</v>
      </c>
      <c r="B56" s="4">
        <f t="shared" si="15"/>
        <v>13.9</v>
      </c>
      <c r="C56" s="4">
        <f t="shared" si="16"/>
        <v>14.8</v>
      </c>
      <c r="D56" s="4">
        <f t="shared" si="17"/>
        <v>16.7</v>
      </c>
      <c r="E56" s="4">
        <f t="shared" si="18"/>
        <v>17.600000000000001</v>
      </c>
      <c r="F56" s="4">
        <f t="shared" si="19"/>
        <v>21.3</v>
      </c>
      <c r="G56" s="4">
        <f t="shared" si="20"/>
        <v>23.2</v>
      </c>
      <c r="H56">
        <f t="shared" si="21"/>
        <v>25.1</v>
      </c>
      <c r="I56" s="4">
        <f t="shared" si="22"/>
        <v>26</v>
      </c>
      <c r="J56">
        <f t="shared" si="23"/>
        <v>27.8</v>
      </c>
      <c r="K56" s="4">
        <f t="shared" si="24"/>
        <v>28.8</v>
      </c>
      <c r="L56">
        <f t="shared" si="25"/>
        <v>30.6</v>
      </c>
      <c r="M56">
        <f t="shared" si="26"/>
        <v>32.5</v>
      </c>
      <c r="N56">
        <f t="shared" si="27"/>
        <v>34.299999999999997</v>
      </c>
      <c r="P56">
        <f t="shared" si="28"/>
        <v>2.2000000000000002</v>
      </c>
    </row>
    <row r="57" spans="1:16" ht="17.25">
      <c r="A57" s="52" t="s">
        <v>798</v>
      </c>
      <c r="B57" s="4">
        <f t="shared" si="15"/>
        <v>13.9</v>
      </c>
      <c r="C57" s="4">
        <f t="shared" si="16"/>
        <v>14.8</v>
      </c>
      <c r="D57" s="4">
        <f t="shared" si="17"/>
        <v>16.7</v>
      </c>
      <c r="E57" s="4">
        <f t="shared" si="18"/>
        <v>17.600000000000001</v>
      </c>
      <c r="F57" s="4">
        <f t="shared" si="19"/>
        <v>21.3</v>
      </c>
      <c r="G57" s="4">
        <f t="shared" si="20"/>
        <v>23.2</v>
      </c>
      <c r="H57">
        <f t="shared" si="21"/>
        <v>25.1</v>
      </c>
      <c r="I57" s="4">
        <f t="shared" si="22"/>
        <v>26</v>
      </c>
      <c r="J57">
        <f t="shared" si="23"/>
        <v>27.8</v>
      </c>
      <c r="K57" s="4">
        <f t="shared" si="24"/>
        <v>28.8</v>
      </c>
      <c r="L57">
        <f t="shared" si="25"/>
        <v>30.6</v>
      </c>
      <c r="M57">
        <f t="shared" si="26"/>
        <v>32.5</v>
      </c>
      <c r="N57">
        <f t="shared" si="27"/>
        <v>34.299999999999997</v>
      </c>
      <c r="P57">
        <f t="shared" si="28"/>
        <v>2.2000000000000002</v>
      </c>
    </row>
    <row r="58" spans="1:16" ht="17.25">
      <c r="A58" s="52" t="s">
        <v>852</v>
      </c>
      <c r="B58" s="4">
        <f t="shared" si="15"/>
        <v>13.9</v>
      </c>
      <c r="C58" s="4">
        <f t="shared" si="16"/>
        <v>14.8</v>
      </c>
      <c r="D58" s="4">
        <f t="shared" si="17"/>
        <v>16.7</v>
      </c>
      <c r="E58" s="4">
        <f t="shared" si="18"/>
        <v>17.600000000000001</v>
      </c>
      <c r="F58" s="4">
        <f t="shared" si="19"/>
        <v>21.3</v>
      </c>
      <c r="G58" s="4">
        <f t="shared" si="20"/>
        <v>23.2</v>
      </c>
      <c r="H58">
        <f t="shared" si="21"/>
        <v>25.1</v>
      </c>
      <c r="I58" s="4">
        <f t="shared" si="22"/>
        <v>26</v>
      </c>
      <c r="J58">
        <f t="shared" si="23"/>
        <v>27.8</v>
      </c>
      <c r="K58" s="4">
        <f t="shared" si="24"/>
        <v>28.8</v>
      </c>
      <c r="L58">
        <f t="shared" si="25"/>
        <v>30.6</v>
      </c>
      <c r="M58">
        <f t="shared" si="26"/>
        <v>32.5</v>
      </c>
      <c r="N58">
        <f t="shared" si="27"/>
        <v>34.299999999999997</v>
      </c>
      <c r="P58">
        <f t="shared" si="28"/>
        <v>2.2000000000000002</v>
      </c>
    </row>
    <row r="59" spans="1:16" ht="17.25">
      <c r="A59" s="52" t="s">
        <v>711</v>
      </c>
      <c r="B59" s="4">
        <f t="shared" si="15"/>
        <v>13.9</v>
      </c>
      <c r="C59" s="4">
        <f t="shared" si="16"/>
        <v>14.8</v>
      </c>
      <c r="D59" s="4">
        <f t="shared" si="17"/>
        <v>16.7</v>
      </c>
      <c r="E59" s="4">
        <f t="shared" si="18"/>
        <v>17.600000000000001</v>
      </c>
      <c r="F59" s="4">
        <f t="shared" si="19"/>
        <v>21.3</v>
      </c>
      <c r="G59" s="4">
        <f t="shared" si="20"/>
        <v>23.2</v>
      </c>
      <c r="H59">
        <f t="shared" si="21"/>
        <v>25.1</v>
      </c>
      <c r="I59" s="4">
        <f t="shared" si="22"/>
        <v>26</v>
      </c>
      <c r="J59">
        <f t="shared" si="23"/>
        <v>27.8</v>
      </c>
      <c r="K59" s="4">
        <f t="shared" si="24"/>
        <v>28.8</v>
      </c>
      <c r="L59">
        <f t="shared" si="25"/>
        <v>30.6</v>
      </c>
      <c r="M59">
        <f t="shared" si="26"/>
        <v>32.5</v>
      </c>
      <c r="N59">
        <f t="shared" si="27"/>
        <v>34.299999999999997</v>
      </c>
      <c r="P59">
        <f t="shared" si="28"/>
        <v>2.2000000000000002</v>
      </c>
    </row>
    <row r="60" spans="1:16" ht="17.25">
      <c r="A60" s="52" t="s">
        <v>781</v>
      </c>
      <c r="B60" s="4">
        <f t="shared" si="15"/>
        <v>13.9</v>
      </c>
      <c r="C60" s="4">
        <f t="shared" si="16"/>
        <v>14.8</v>
      </c>
      <c r="D60" s="4">
        <f t="shared" si="17"/>
        <v>16.7</v>
      </c>
      <c r="E60" s="4">
        <f t="shared" si="18"/>
        <v>17.600000000000001</v>
      </c>
      <c r="F60" s="4">
        <f t="shared" si="19"/>
        <v>21.3</v>
      </c>
      <c r="G60" s="4">
        <f t="shared" si="20"/>
        <v>23.2</v>
      </c>
      <c r="H60">
        <f t="shared" si="21"/>
        <v>25.1</v>
      </c>
      <c r="I60" s="4">
        <f t="shared" si="22"/>
        <v>26</v>
      </c>
      <c r="J60">
        <f t="shared" si="23"/>
        <v>27.8</v>
      </c>
      <c r="K60" s="4">
        <f t="shared" si="24"/>
        <v>28.8</v>
      </c>
      <c r="L60">
        <f t="shared" si="25"/>
        <v>30.6</v>
      </c>
      <c r="M60">
        <f t="shared" si="26"/>
        <v>32.5</v>
      </c>
      <c r="N60">
        <f t="shared" si="27"/>
        <v>34.299999999999997</v>
      </c>
      <c r="P60">
        <f t="shared" si="28"/>
        <v>2.2000000000000002</v>
      </c>
    </row>
    <row r="61" spans="1:16" ht="17.25">
      <c r="A61" s="52" t="s">
        <v>721</v>
      </c>
      <c r="B61" s="4">
        <f t="shared" si="15"/>
        <v>13.9</v>
      </c>
      <c r="C61" s="4">
        <f t="shared" si="16"/>
        <v>14.8</v>
      </c>
      <c r="D61" s="4">
        <f t="shared" si="17"/>
        <v>16.7</v>
      </c>
      <c r="E61" s="4">
        <f t="shared" si="18"/>
        <v>17.600000000000001</v>
      </c>
      <c r="F61" s="4">
        <f t="shared" si="19"/>
        <v>21.3</v>
      </c>
      <c r="G61" s="4">
        <f t="shared" si="20"/>
        <v>23.2</v>
      </c>
      <c r="H61">
        <f t="shared" si="21"/>
        <v>25.1</v>
      </c>
      <c r="I61" s="4">
        <f t="shared" si="22"/>
        <v>26</v>
      </c>
      <c r="J61">
        <f t="shared" si="23"/>
        <v>27.8</v>
      </c>
      <c r="K61" s="4">
        <f t="shared" si="24"/>
        <v>28.8</v>
      </c>
      <c r="L61">
        <f t="shared" si="25"/>
        <v>30.6</v>
      </c>
      <c r="M61">
        <f t="shared" si="26"/>
        <v>32.5</v>
      </c>
      <c r="N61">
        <f t="shared" si="27"/>
        <v>34.299999999999997</v>
      </c>
      <c r="P61">
        <f t="shared" si="28"/>
        <v>2.2000000000000002</v>
      </c>
    </row>
    <row r="62" spans="1:16" ht="17.25">
      <c r="A62" s="52" t="s">
        <v>760</v>
      </c>
      <c r="B62" s="4">
        <f t="shared" si="15"/>
        <v>13.9</v>
      </c>
      <c r="C62" s="4">
        <f t="shared" si="16"/>
        <v>14.8</v>
      </c>
      <c r="D62" s="4">
        <f t="shared" si="17"/>
        <v>16.7</v>
      </c>
      <c r="E62" s="4">
        <f t="shared" si="18"/>
        <v>17.600000000000001</v>
      </c>
      <c r="F62" s="4">
        <f t="shared" si="19"/>
        <v>21.3</v>
      </c>
      <c r="G62" s="4">
        <f t="shared" si="20"/>
        <v>23.2</v>
      </c>
      <c r="H62">
        <f t="shared" si="21"/>
        <v>25.1</v>
      </c>
      <c r="I62" s="4">
        <f t="shared" si="22"/>
        <v>26</v>
      </c>
      <c r="J62">
        <f t="shared" si="23"/>
        <v>27.8</v>
      </c>
      <c r="K62" s="4">
        <f t="shared" si="24"/>
        <v>28.8</v>
      </c>
      <c r="L62">
        <f t="shared" si="25"/>
        <v>30.6</v>
      </c>
      <c r="M62">
        <f t="shared" si="26"/>
        <v>32.5</v>
      </c>
      <c r="N62">
        <f t="shared" si="27"/>
        <v>34.299999999999997</v>
      </c>
      <c r="P62">
        <f t="shared" si="28"/>
        <v>2.2000000000000002</v>
      </c>
    </row>
    <row r="63" spans="1:16" ht="17.25">
      <c r="A63" s="52" t="s">
        <v>755</v>
      </c>
      <c r="B63" s="4">
        <f t="shared" si="15"/>
        <v>13.9</v>
      </c>
      <c r="C63" s="4">
        <f t="shared" si="16"/>
        <v>14.8</v>
      </c>
      <c r="D63" s="4">
        <f t="shared" si="17"/>
        <v>16.7</v>
      </c>
      <c r="E63" s="4">
        <f t="shared" si="18"/>
        <v>17.600000000000001</v>
      </c>
      <c r="F63" s="4">
        <f t="shared" si="19"/>
        <v>21.3</v>
      </c>
      <c r="G63" s="4">
        <f t="shared" si="20"/>
        <v>23.2</v>
      </c>
      <c r="H63">
        <f t="shared" si="21"/>
        <v>25.1</v>
      </c>
      <c r="I63" s="4">
        <f t="shared" si="22"/>
        <v>26</v>
      </c>
      <c r="J63">
        <f t="shared" si="23"/>
        <v>27.8</v>
      </c>
      <c r="K63" s="4">
        <f t="shared" si="24"/>
        <v>28.8</v>
      </c>
      <c r="L63">
        <f t="shared" si="25"/>
        <v>30.6</v>
      </c>
      <c r="M63">
        <f t="shared" si="26"/>
        <v>32.5</v>
      </c>
      <c r="N63">
        <f t="shared" si="27"/>
        <v>34.299999999999997</v>
      </c>
      <c r="P63">
        <f t="shared" si="28"/>
        <v>2.2000000000000002</v>
      </c>
    </row>
    <row r="64" spans="1:16" ht="17.25">
      <c r="A64" s="52" t="s">
        <v>804</v>
      </c>
      <c r="B64" s="4">
        <f t="shared" si="15"/>
        <v>13.9</v>
      </c>
      <c r="C64" s="4">
        <f t="shared" si="16"/>
        <v>14.8</v>
      </c>
      <c r="D64" s="4">
        <f t="shared" si="17"/>
        <v>16.7</v>
      </c>
      <c r="E64" s="4">
        <f t="shared" si="18"/>
        <v>17.600000000000001</v>
      </c>
      <c r="F64" s="4">
        <f t="shared" si="19"/>
        <v>21.3</v>
      </c>
      <c r="G64" s="4">
        <f t="shared" si="20"/>
        <v>23.2</v>
      </c>
      <c r="H64">
        <f t="shared" si="21"/>
        <v>25.1</v>
      </c>
      <c r="I64" s="4">
        <f t="shared" si="22"/>
        <v>26</v>
      </c>
      <c r="J64">
        <f t="shared" si="23"/>
        <v>27.8</v>
      </c>
      <c r="K64" s="4">
        <f t="shared" si="24"/>
        <v>28.8</v>
      </c>
      <c r="L64">
        <f t="shared" si="25"/>
        <v>30.6</v>
      </c>
      <c r="M64">
        <f t="shared" si="26"/>
        <v>32.5</v>
      </c>
      <c r="N64">
        <f t="shared" si="27"/>
        <v>34.299999999999997</v>
      </c>
      <c r="P64">
        <f t="shared" si="28"/>
        <v>2.2000000000000002</v>
      </c>
    </row>
    <row r="65" spans="1:16" ht="17.25">
      <c r="A65" s="52" t="s">
        <v>764</v>
      </c>
      <c r="B65" s="4">
        <f t="shared" si="15"/>
        <v>13.9</v>
      </c>
      <c r="C65" s="4">
        <f t="shared" si="16"/>
        <v>14.8</v>
      </c>
      <c r="D65" s="4">
        <f t="shared" si="17"/>
        <v>16.7</v>
      </c>
      <c r="E65" s="4">
        <f t="shared" si="18"/>
        <v>17.600000000000001</v>
      </c>
      <c r="F65" s="4">
        <f t="shared" si="19"/>
        <v>21.3</v>
      </c>
      <c r="G65" s="4">
        <f t="shared" si="20"/>
        <v>23.2</v>
      </c>
      <c r="H65">
        <f t="shared" si="21"/>
        <v>25.1</v>
      </c>
      <c r="I65" s="4">
        <f t="shared" si="22"/>
        <v>26</v>
      </c>
      <c r="J65">
        <f t="shared" si="23"/>
        <v>27.8</v>
      </c>
      <c r="K65" s="4">
        <f t="shared" si="24"/>
        <v>28.8</v>
      </c>
      <c r="L65">
        <f t="shared" si="25"/>
        <v>30.6</v>
      </c>
      <c r="M65">
        <f t="shared" si="26"/>
        <v>32.5</v>
      </c>
      <c r="N65">
        <f t="shared" si="27"/>
        <v>34.299999999999997</v>
      </c>
      <c r="P65">
        <f t="shared" si="28"/>
        <v>2.2000000000000002</v>
      </c>
    </row>
    <row r="66" spans="1:16" ht="17.25">
      <c r="A66" s="52" t="s">
        <v>689</v>
      </c>
      <c r="B66" s="4">
        <f t="shared" si="15"/>
        <v>13.9</v>
      </c>
      <c r="C66" s="4">
        <f t="shared" si="16"/>
        <v>14.8</v>
      </c>
      <c r="D66" s="4">
        <f t="shared" si="17"/>
        <v>16.7</v>
      </c>
      <c r="E66" s="4">
        <f t="shared" si="18"/>
        <v>17.600000000000001</v>
      </c>
      <c r="F66" s="4">
        <f t="shared" si="19"/>
        <v>21.3</v>
      </c>
      <c r="G66" s="4">
        <f t="shared" si="20"/>
        <v>23.2</v>
      </c>
      <c r="H66">
        <f t="shared" si="21"/>
        <v>25.1</v>
      </c>
      <c r="I66" s="4">
        <f t="shared" si="22"/>
        <v>26</v>
      </c>
      <c r="J66">
        <f t="shared" si="23"/>
        <v>27.8</v>
      </c>
      <c r="K66" s="4">
        <f t="shared" si="24"/>
        <v>28.8</v>
      </c>
      <c r="L66">
        <f t="shared" si="25"/>
        <v>30.6</v>
      </c>
      <c r="M66">
        <f t="shared" si="26"/>
        <v>32.5</v>
      </c>
      <c r="N66">
        <f t="shared" si="27"/>
        <v>34.299999999999997</v>
      </c>
      <c r="P66">
        <f t="shared" si="28"/>
        <v>2.2000000000000002</v>
      </c>
    </row>
    <row r="67" spans="1:16" ht="17.25">
      <c r="A67" s="52" t="s">
        <v>796</v>
      </c>
      <c r="B67" s="4">
        <f t="shared" si="15"/>
        <v>13.9</v>
      </c>
      <c r="C67" s="4">
        <f t="shared" si="16"/>
        <v>14.8</v>
      </c>
      <c r="D67" s="4">
        <f t="shared" si="17"/>
        <v>16.7</v>
      </c>
      <c r="E67" s="4">
        <f t="shared" si="18"/>
        <v>17.600000000000001</v>
      </c>
      <c r="F67" s="4">
        <f t="shared" si="19"/>
        <v>21.3</v>
      </c>
      <c r="G67" s="4">
        <f t="shared" si="20"/>
        <v>23.2</v>
      </c>
      <c r="H67">
        <f t="shared" si="21"/>
        <v>25.1</v>
      </c>
      <c r="I67" s="4">
        <f t="shared" si="22"/>
        <v>26</v>
      </c>
      <c r="J67">
        <f t="shared" si="23"/>
        <v>27.8</v>
      </c>
      <c r="K67" s="4">
        <f t="shared" si="24"/>
        <v>28.8</v>
      </c>
      <c r="L67">
        <f t="shared" si="25"/>
        <v>30.6</v>
      </c>
      <c r="M67">
        <f t="shared" si="26"/>
        <v>32.5</v>
      </c>
      <c r="N67">
        <f t="shared" si="27"/>
        <v>34.299999999999997</v>
      </c>
      <c r="P67">
        <f t="shared" si="28"/>
        <v>2.2000000000000002</v>
      </c>
    </row>
    <row r="68" spans="1:16" ht="17.25">
      <c r="A68" s="52" t="s">
        <v>766</v>
      </c>
      <c r="B68" s="4">
        <f t="shared" si="15"/>
        <v>13.9</v>
      </c>
      <c r="C68" s="4">
        <f t="shared" si="16"/>
        <v>14.8</v>
      </c>
      <c r="D68" s="4">
        <f t="shared" si="17"/>
        <v>16.7</v>
      </c>
      <c r="E68" s="4">
        <f t="shared" si="18"/>
        <v>17.600000000000001</v>
      </c>
      <c r="F68" s="4">
        <f t="shared" si="19"/>
        <v>21.3</v>
      </c>
      <c r="G68" s="4">
        <f t="shared" si="20"/>
        <v>23.2</v>
      </c>
      <c r="H68">
        <f t="shared" si="21"/>
        <v>25.1</v>
      </c>
      <c r="I68" s="4">
        <f t="shared" si="22"/>
        <v>26</v>
      </c>
      <c r="J68">
        <f t="shared" si="23"/>
        <v>27.8</v>
      </c>
      <c r="K68" s="4">
        <f t="shared" si="24"/>
        <v>28.8</v>
      </c>
      <c r="L68">
        <f t="shared" si="25"/>
        <v>30.6</v>
      </c>
      <c r="M68">
        <f t="shared" si="26"/>
        <v>32.5</v>
      </c>
      <c r="N68">
        <f t="shared" si="27"/>
        <v>34.299999999999997</v>
      </c>
      <c r="P68">
        <f t="shared" si="28"/>
        <v>2.2000000000000002</v>
      </c>
    </row>
    <row r="69" spans="1:16" ht="17.25">
      <c r="A69" s="52" t="s">
        <v>746</v>
      </c>
      <c r="B69" s="4">
        <f t="shared" si="15"/>
        <v>13.9</v>
      </c>
      <c r="C69" s="4">
        <f t="shared" si="16"/>
        <v>14.8</v>
      </c>
      <c r="D69" s="4">
        <f t="shared" si="17"/>
        <v>16.7</v>
      </c>
      <c r="E69" s="4">
        <f t="shared" si="18"/>
        <v>17.600000000000001</v>
      </c>
      <c r="F69" s="4">
        <f t="shared" si="19"/>
        <v>21.3</v>
      </c>
      <c r="G69" s="4">
        <f t="shared" si="20"/>
        <v>23.2</v>
      </c>
      <c r="H69">
        <f t="shared" si="21"/>
        <v>25.1</v>
      </c>
      <c r="I69" s="4">
        <f t="shared" si="22"/>
        <v>26</v>
      </c>
      <c r="J69">
        <f t="shared" si="23"/>
        <v>27.8</v>
      </c>
      <c r="K69" s="4">
        <f t="shared" si="24"/>
        <v>28.8</v>
      </c>
      <c r="L69">
        <f t="shared" si="25"/>
        <v>30.6</v>
      </c>
      <c r="M69">
        <f t="shared" si="26"/>
        <v>32.5</v>
      </c>
      <c r="N69">
        <f t="shared" si="27"/>
        <v>34.299999999999997</v>
      </c>
      <c r="P69">
        <f t="shared" si="28"/>
        <v>2.2000000000000002</v>
      </c>
    </row>
    <row r="70" spans="1:16" ht="17.25">
      <c r="A70" s="52" t="s">
        <v>817</v>
      </c>
      <c r="B70" s="4">
        <f t="shared" si="15"/>
        <v>13.9</v>
      </c>
      <c r="C70" s="4">
        <f t="shared" si="16"/>
        <v>14.8</v>
      </c>
      <c r="D70" s="4">
        <f t="shared" si="17"/>
        <v>16.7</v>
      </c>
      <c r="E70" s="4">
        <f t="shared" si="18"/>
        <v>17.600000000000001</v>
      </c>
      <c r="F70" s="4">
        <f t="shared" si="19"/>
        <v>21.3</v>
      </c>
      <c r="G70" s="4">
        <f t="shared" si="20"/>
        <v>23.2</v>
      </c>
      <c r="H70">
        <f t="shared" si="21"/>
        <v>25.1</v>
      </c>
      <c r="I70" s="4">
        <f t="shared" si="22"/>
        <v>26</v>
      </c>
      <c r="J70">
        <f t="shared" si="23"/>
        <v>27.8</v>
      </c>
      <c r="K70" s="4">
        <f t="shared" si="24"/>
        <v>28.8</v>
      </c>
      <c r="L70">
        <f t="shared" si="25"/>
        <v>30.6</v>
      </c>
      <c r="M70">
        <f t="shared" si="26"/>
        <v>32.5</v>
      </c>
      <c r="N70">
        <f t="shared" si="27"/>
        <v>34.299999999999997</v>
      </c>
      <c r="P70">
        <f t="shared" si="28"/>
        <v>2.2000000000000002</v>
      </c>
    </row>
    <row r="71" spans="1:16" ht="17.25">
      <c r="A71" s="52" t="s">
        <v>725</v>
      </c>
      <c r="B71" s="4">
        <f t="shared" si="15"/>
        <v>13.9</v>
      </c>
      <c r="C71" s="4">
        <f t="shared" si="16"/>
        <v>14.8</v>
      </c>
      <c r="D71" s="4">
        <f t="shared" si="17"/>
        <v>16.7</v>
      </c>
      <c r="E71" s="4">
        <f t="shared" si="18"/>
        <v>17.600000000000001</v>
      </c>
      <c r="F71" s="4">
        <f t="shared" si="19"/>
        <v>21.3</v>
      </c>
      <c r="G71" s="4">
        <f t="shared" si="20"/>
        <v>23.2</v>
      </c>
      <c r="H71">
        <f t="shared" si="21"/>
        <v>25.1</v>
      </c>
      <c r="I71" s="4">
        <f t="shared" si="22"/>
        <v>26</v>
      </c>
      <c r="J71">
        <f t="shared" si="23"/>
        <v>27.8</v>
      </c>
      <c r="K71" s="4">
        <f t="shared" si="24"/>
        <v>28.8</v>
      </c>
      <c r="L71">
        <f t="shared" si="25"/>
        <v>30.6</v>
      </c>
      <c r="M71">
        <f t="shared" si="26"/>
        <v>32.5</v>
      </c>
      <c r="N71">
        <f t="shared" si="27"/>
        <v>34.299999999999997</v>
      </c>
      <c r="P71">
        <f t="shared" si="28"/>
        <v>2.2000000000000002</v>
      </c>
    </row>
    <row r="72" spans="1:16" ht="17.25">
      <c r="A72" s="52" t="s">
        <v>830</v>
      </c>
      <c r="B72" s="4">
        <f t="shared" si="15"/>
        <v>13.9</v>
      </c>
      <c r="C72" s="4">
        <f t="shared" si="16"/>
        <v>14.8</v>
      </c>
      <c r="D72" s="4">
        <f t="shared" si="17"/>
        <v>16.7</v>
      </c>
      <c r="E72" s="4">
        <f t="shared" si="18"/>
        <v>17.600000000000001</v>
      </c>
      <c r="F72" s="4">
        <f t="shared" si="19"/>
        <v>21.3</v>
      </c>
      <c r="G72" s="4">
        <f t="shared" si="20"/>
        <v>23.2</v>
      </c>
      <c r="H72">
        <f t="shared" si="21"/>
        <v>25.1</v>
      </c>
      <c r="I72" s="4">
        <f t="shared" si="22"/>
        <v>26</v>
      </c>
      <c r="J72">
        <f t="shared" si="23"/>
        <v>27.8</v>
      </c>
      <c r="K72" s="4">
        <f t="shared" si="24"/>
        <v>28.8</v>
      </c>
      <c r="L72">
        <f t="shared" si="25"/>
        <v>30.6</v>
      </c>
      <c r="M72">
        <f t="shared" si="26"/>
        <v>32.5</v>
      </c>
      <c r="N72">
        <f t="shared" si="27"/>
        <v>34.299999999999997</v>
      </c>
      <c r="P72">
        <f t="shared" si="28"/>
        <v>2.2000000000000002</v>
      </c>
    </row>
    <row r="73" spans="1:16" ht="17.25">
      <c r="A73" s="52" t="s">
        <v>748</v>
      </c>
      <c r="B73" s="4">
        <f t="shared" si="15"/>
        <v>13.9</v>
      </c>
      <c r="C73" s="4">
        <f t="shared" si="16"/>
        <v>14.8</v>
      </c>
      <c r="D73" s="4">
        <f t="shared" si="17"/>
        <v>16.7</v>
      </c>
      <c r="E73" s="4">
        <f t="shared" si="18"/>
        <v>17.600000000000001</v>
      </c>
      <c r="F73" s="4">
        <f t="shared" si="19"/>
        <v>21.3</v>
      </c>
      <c r="G73" s="4">
        <f t="shared" si="20"/>
        <v>23.2</v>
      </c>
      <c r="H73">
        <f t="shared" si="21"/>
        <v>25.1</v>
      </c>
      <c r="I73" s="4">
        <f t="shared" si="22"/>
        <v>26</v>
      </c>
      <c r="J73">
        <f t="shared" si="23"/>
        <v>27.8</v>
      </c>
      <c r="K73" s="4">
        <f t="shared" si="24"/>
        <v>28.8</v>
      </c>
      <c r="L73">
        <f t="shared" si="25"/>
        <v>30.6</v>
      </c>
      <c r="M73">
        <f t="shared" si="26"/>
        <v>32.5</v>
      </c>
      <c r="N73">
        <f t="shared" si="27"/>
        <v>34.299999999999997</v>
      </c>
      <c r="P73">
        <f t="shared" si="28"/>
        <v>2.2000000000000002</v>
      </c>
    </row>
    <row r="74" spans="1:16" ht="17.25">
      <c r="A74" s="52" t="s">
        <v>739</v>
      </c>
      <c r="B74" s="4">
        <f t="shared" si="15"/>
        <v>13.9</v>
      </c>
      <c r="C74" s="4">
        <f t="shared" si="16"/>
        <v>14.8</v>
      </c>
      <c r="D74" s="4">
        <f t="shared" si="17"/>
        <v>16.7</v>
      </c>
      <c r="E74" s="4">
        <f t="shared" si="18"/>
        <v>17.600000000000001</v>
      </c>
      <c r="F74" s="4">
        <f t="shared" si="19"/>
        <v>21.3</v>
      </c>
      <c r="G74" s="4">
        <f t="shared" si="20"/>
        <v>23.2</v>
      </c>
      <c r="H74">
        <f t="shared" si="21"/>
        <v>25.1</v>
      </c>
      <c r="I74" s="4">
        <f t="shared" si="22"/>
        <v>26</v>
      </c>
      <c r="J74">
        <f t="shared" si="23"/>
        <v>27.8</v>
      </c>
      <c r="K74" s="4">
        <f t="shared" si="24"/>
        <v>28.8</v>
      </c>
      <c r="L74">
        <f t="shared" si="25"/>
        <v>30.6</v>
      </c>
      <c r="M74">
        <f t="shared" si="26"/>
        <v>32.5</v>
      </c>
      <c r="N74">
        <f t="shared" si="27"/>
        <v>34.299999999999997</v>
      </c>
      <c r="P74">
        <f t="shared" si="28"/>
        <v>2.2000000000000002</v>
      </c>
    </row>
    <row r="75" spans="1:16" ht="17.25">
      <c r="A75" s="52" t="s">
        <v>856</v>
      </c>
      <c r="B75" s="4">
        <f t="shared" si="15"/>
        <v>13.9</v>
      </c>
      <c r="C75" s="4">
        <f t="shared" si="16"/>
        <v>14.8</v>
      </c>
      <c r="D75" s="4">
        <f t="shared" si="17"/>
        <v>16.7</v>
      </c>
      <c r="E75" s="4">
        <f t="shared" si="18"/>
        <v>17.600000000000001</v>
      </c>
      <c r="F75" s="4">
        <f t="shared" si="19"/>
        <v>21.3</v>
      </c>
      <c r="G75" s="4">
        <f t="shared" si="20"/>
        <v>23.2</v>
      </c>
      <c r="H75">
        <f t="shared" si="21"/>
        <v>25.1</v>
      </c>
      <c r="I75" s="4">
        <f t="shared" si="22"/>
        <v>26</v>
      </c>
      <c r="J75">
        <f t="shared" si="23"/>
        <v>27.8</v>
      </c>
      <c r="K75" s="4">
        <f t="shared" si="24"/>
        <v>28.8</v>
      </c>
      <c r="L75">
        <f t="shared" si="25"/>
        <v>30.6</v>
      </c>
      <c r="M75">
        <f t="shared" si="26"/>
        <v>32.5</v>
      </c>
      <c r="N75">
        <f t="shared" si="27"/>
        <v>34.299999999999997</v>
      </c>
      <c r="P75">
        <f t="shared" si="28"/>
        <v>2.2000000000000002</v>
      </c>
    </row>
    <row r="76" spans="1:16" ht="17.25">
      <c r="A76" s="52" t="s">
        <v>698</v>
      </c>
      <c r="B76" s="4">
        <f t="shared" si="15"/>
        <v>13.9</v>
      </c>
      <c r="C76" s="4">
        <f t="shared" si="16"/>
        <v>14.8</v>
      </c>
      <c r="D76" s="4">
        <f t="shared" si="17"/>
        <v>16.7</v>
      </c>
      <c r="E76" s="4">
        <f t="shared" si="18"/>
        <v>17.600000000000001</v>
      </c>
      <c r="F76" s="4">
        <f t="shared" si="19"/>
        <v>21.3</v>
      </c>
      <c r="G76" s="4">
        <f t="shared" si="20"/>
        <v>23.2</v>
      </c>
      <c r="H76">
        <f t="shared" si="21"/>
        <v>25.1</v>
      </c>
      <c r="I76" s="4">
        <f t="shared" si="22"/>
        <v>26</v>
      </c>
      <c r="J76">
        <f t="shared" si="23"/>
        <v>27.8</v>
      </c>
      <c r="K76" s="4">
        <f t="shared" si="24"/>
        <v>28.8</v>
      </c>
      <c r="L76">
        <f t="shared" si="25"/>
        <v>30.6</v>
      </c>
      <c r="M76">
        <f t="shared" si="26"/>
        <v>32.5</v>
      </c>
      <c r="N76">
        <f t="shared" si="27"/>
        <v>34.299999999999997</v>
      </c>
      <c r="P76">
        <f t="shared" si="28"/>
        <v>2.2000000000000002</v>
      </c>
    </row>
    <row r="77" spans="1:16" ht="17.25">
      <c r="A77" s="52" t="s">
        <v>696</v>
      </c>
      <c r="B77" s="4">
        <f t="shared" si="15"/>
        <v>13.9</v>
      </c>
      <c r="C77" s="4">
        <f t="shared" si="16"/>
        <v>14.8</v>
      </c>
      <c r="D77" s="4">
        <f t="shared" si="17"/>
        <v>16.7</v>
      </c>
      <c r="E77" s="4">
        <f t="shared" si="18"/>
        <v>17.600000000000001</v>
      </c>
      <c r="F77" s="4">
        <f t="shared" si="19"/>
        <v>21.3</v>
      </c>
      <c r="G77" s="4">
        <f t="shared" si="20"/>
        <v>23.2</v>
      </c>
      <c r="H77">
        <f t="shared" si="21"/>
        <v>25.1</v>
      </c>
      <c r="I77" s="4">
        <f t="shared" si="22"/>
        <v>26</v>
      </c>
      <c r="J77">
        <f t="shared" si="23"/>
        <v>27.8</v>
      </c>
      <c r="K77" s="4">
        <f t="shared" si="24"/>
        <v>28.8</v>
      </c>
      <c r="L77">
        <f t="shared" si="25"/>
        <v>30.6</v>
      </c>
      <c r="M77">
        <f t="shared" si="26"/>
        <v>32.5</v>
      </c>
      <c r="N77">
        <f t="shared" si="27"/>
        <v>34.299999999999997</v>
      </c>
      <c r="P77">
        <f t="shared" si="28"/>
        <v>2.2000000000000002</v>
      </c>
    </row>
    <row r="78" spans="1:16" ht="17.25">
      <c r="A78" s="52" t="s">
        <v>758</v>
      </c>
      <c r="B78" s="4">
        <f t="shared" si="15"/>
        <v>13.9</v>
      </c>
      <c r="C78" s="4">
        <f t="shared" si="16"/>
        <v>14.8</v>
      </c>
      <c r="D78" s="4">
        <f t="shared" si="17"/>
        <v>16.7</v>
      </c>
      <c r="E78" s="4">
        <f t="shared" si="18"/>
        <v>17.600000000000001</v>
      </c>
      <c r="F78" s="4">
        <f t="shared" si="19"/>
        <v>21.3</v>
      </c>
      <c r="G78" s="4">
        <f t="shared" si="20"/>
        <v>23.2</v>
      </c>
      <c r="H78">
        <f t="shared" si="21"/>
        <v>25.1</v>
      </c>
      <c r="I78" s="4">
        <f t="shared" si="22"/>
        <v>26</v>
      </c>
      <c r="J78">
        <f t="shared" si="23"/>
        <v>27.8</v>
      </c>
      <c r="K78" s="4">
        <f t="shared" si="24"/>
        <v>28.8</v>
      </c>
      <c r="L78">
        <f t="shared" si="25"/>
        <v>30.6</v>
      </c>
      <c r="M78">
        <f t="shared" si="26"/>
        <v>32.5</v>
      </c>
      <c r="N78">
        <f t="shared" si="27"/>
        <v>34.299999999999997</v>
      </c>
      <c r="P78">
        <f t="shared" si="28"/>
        <v>2.2000000000000002</v>
      </c>
    </row>
    <row r="79" spans="1:16" ht="17.25">
      <c r="A79" s="52" t="s">
        <v>753</v>
      </c>
      <c r="B79" s="4">
        <f t="shared" si="15"/>
        <v>13.9</v>
      </c>
      <c r="C79" s="4">
        <f t="shared" si="16"/>
        <v>14.8</v>
      </c>
      <c r="D79" s="4">
        <f t="shared" si="17"/>
        <v>16.7</v>
      </c>
      <c r="E79" s="4">
        <f t="shared" si="18"/>
        <v>17.600000000000001</v>
      </c>
      <c r="F79" s="4">
        <f t="shared" si="19"/>
        <v>21.3</v>
      </c>
      <c r="G79" s="4">
        <f t="shared" si="20"/>
        <v>23.2</v>
      </c>
      <c r="H79">
        <f t="shared" si="21"/>
        <v>25.1</v>
      </c>
      <c r="I79" s="4">
        <f t="shared" si="22"/>
        <v>26</v>
      </c>
      <c r="J79">
        <f t="shared" si="23"/>
        <v>27.8</v>
      </c>
      <c r="K79" s="4">
        <f t="shared" si="24"/>
        <v>28.8</v>
      </c>
      <c r="L79">
        <f t="shared" si="25"/>
        <v>30.6</v>
      </c>
      <c r="M79">
        <f t="shared" si="26"/>
        <v>32.5</v>
      </c>
      <c r="N79">
        <f t="shared" si="27"/>
        <v>34.299999999999997</v>
      </c>
      <c r="P79">
        <f t="shared" si="28"/>
        <v>2.2000000000000002</v>
      </c>
    </row>
    <row r="80" spans="1:16" ht="17.25">
      <c r="A80" s="52" t="s">
        <v>790</v>
      </c>
      <c r="B80" s="4">
        <f t="shared" si="15"/>
        <v>13.9</v>
      </c>
      <c r="C80" s="4">
        <f t="shared" si="16"/>
        <v>14.8</v>
      </c>
      <c r="D80" s="4">
        <f t="shared" si="17"/>
        <v>16.7</v>
      </c>
      <c r="E80" s="4">
        <f t="shared" si="18"/>
        <v>17.600000000000001</v>
      </c>
      <c r="F80" s="4">
        <f t="shared" si="19"/>
        <v>21.3</v>
      </c>
      <c r="G80" s="4">
        <f t="shared" si="20"/>
        <v>23.2</v>
      </c>
      <c r="H80">
        <f t="shared" si="21"/>
        <v>25.1</v>
      </c>
      <c r="I80" s="4">
        <f t="shared" si="22"/>
        <v>26</v>
      </c>
      <c r="J80">
        <f t="shared" si="23"/>
        <v>27.8</v>
      </c>
      <c r="K80" s="4">
        <f t="shared" si="24"/>
        <v>28.8</v>
      </c>
      <c r="L80">
        <f t="shared" si="25"/>
        <v>30.6</v>
      </c>
      <c r="M80">
        <f t="shared" si="26"/>
        <v>32.5</v>
      </c>
      <c r="N80">
        <f t="shared" si="27"/>
        <v>34.299999999999997</v>
      </c>
      <c r="P80">
        <f t="shared" si="28"/>
        <v>2.2000000000000002</v>
      </c>
    </row>
    <row r="81" spans="1:16" ht="17.25">
      <c r="A81" s="52" t="s">
        <v>788</v>
      </c>
      <c r="B81" s="4">
        <f t="shared" si="15"/>
        <v>13.9</v>
      </c>
      <c r="C81" s="4">
        <f t="shared" si="16"/>
        <v>14.8</v>
      </c>
      <c r="D81" s="4">
        <f t="shared" si="17"/>
        <v>16.7</v>
      </c>
      <c r="E81" s="4">
        <f t="shared" si="18"/>
        <v>17.600000000000001</v>
      </c>
      <c r="F81" s="4">
        <f t="shared" si="19"/>
        <v>21.3</v>
      </c>
      <c r="G81" s="4">
        <f t="shared" si="20"/>
        <v>23.2</v>
      </c>
      <c r="H81">
        <f t="shared" si="21"/>
        <v>25.1</v>
      </c>
      <c r="I81" s="4">
        <f t="shared" si="22"/>
        <v>26</v>
      </c>
      <c r="J81">
        <f t="shared" si="23"/>
        <v>27.8</v>
      </c>
      <c r="K81" s="4">
        <f t="shared" si="24"/>
        <v>28.8</v>
      </c>
      <c r="L81">
        <f t="shared" si="25"/>
        <v>30.6</v>
      </c>
      <c r="M81">
        <f t="shared" si="26"/>
        <v>32.5</v>
      </c>
      <c r="N81">
        <f t="shared" si="27"/>
        <v>34.299999999999997</v>
      </c>
      <c r="P81">
        <f t="shared" si="28"/>
        <v>2.2000000000000002</v>
      </c>
    </row>
    <row r="82" spans="1:16" ht="17.25">
      <c r="A82" s="52" t="s">
        <v>843</v>
      </c>
      <c r="B82" s="4">
        <f t="shared" si="15"/>
        <v>13.9</v>
      </c>
      <c r="C82" s="4">
        <f t="shared" si="16"/>
        <v>14.8</v>
      </c>
      <c r="D82" s="4">
        <f t="shared" si="17"/>
        <v>16.7</v>
      </c>
      <c r="E82" s="4">
        <f t="shared" si="18"/>
        <v>17.600000000000001</v>
      </c>
      <c r="F82" s="4">
        <f t="shared" si="19"/>
        <v>21.3</v>
      </c>
      <c r="G82" s="4">
        <f t="shared" si="20"/>
        <v>23.2</v>
      </c>
      <c r="H82">
        <f t="shared" si="21"/>
        <v>25.1</v>
      </c>
      <c r="I82" s="4">
        <f t="shared" si="22"/>
        <v>26</v>
      </c>
      <c r="J82">
        <f t="shared" si="23"/>
        <v>27.8</v>
      </c>
      <c r="K82" s="4">
        <f t="shared" si="24"/>
        <v>28.8</v>
      </c>
      <c r="L82">
        <f t="shared" si="25"/>
        <v>30.6</v>
      </c>
      <c r="M82">
        <f t="shared" si="26"/>
        <v>32.5</v>
      </c>
      <c r="N82">
        <f t="shared" si="27"/>
        <v>34.299999999999997</v>
      </c>
      <c r="P82">
        <f t="shared" si="28"/>
        <v>2.2000000000000002</v>
      </c>
    </row>
    <row r="83" spans="1:16" ht="17.25">
      <c r="A83" s="52" t="s">
        <v>864</v>
      </c>
      <c r="B83" s="4">
        <f t="shared" si="15"/>
        <v>13.9</v>
      </c>
      <c r="C83" s="4">
        <f t="shared" si="16"/>
        <v>14.8</v>
      </c>
      <c r="D83" s="4">
        <f t="shared" si="17"/>
        <v>16.7</v>
      </c>
      <c r="E83" s="4">
        <f t="shared" si="18"/>
        <v>17.600000000000001</v>
      </c>
      <c r="F83" s="4">
        <f t="shared" si="19"/>
        <v>21.3</v>
      </c>
      <c r="G83" s="4">
        <f t="shared" si="20"/>
        <v>23.2</v>
      </c>
      <c r="H83">
        <f t="shared" si="21"/>
        <v>25.1</v>
      </c>
      <c r="I83" s="4">
        <f t="shared" si="22"/>
        <v>26</v>
      </c>
      <c r="J83">
        <f t="shared" si="23"/>
        <v>27.8</v>
      </c>
      <c r="K83" s="4">
        <f t="shared" si="24"/>
        <v>28.8</v>
      </c>
      <c r="L83">
        <f t="shared" si="25"/>
        <v>30.6</v>
      </c>
      <c r="M83">
        <f t="shared" si="26"/>
        <v>32.5</v>
      </c>
      <c r="N83">
        <f t="shared" si="27"/>
        <v>34.299999999999997</v>
      </c>
      <c r="P83">
        <f t="shared" si="28"/>
        <v>2.2000000000000002</v>
      </c>
    </row>
    <row r="84" spans="1:16" ht="17.25">
      <c r="A84" s="52" t="s">
        <v>685</v>
      </c>
      <c r="B84" s="4">
        <f t="shared" si="15"/>
        <v>13.9</v>
      </c>
      <c r="C84" s="4">
        <f t="shared" si="16"/>
        <v>14.8</v>
      </c>
      <c r="D84" s="4">
        <f t="shared" si="17"/>
        <v>16.7</v>
      </c>
      <c r="E84" s="4">
        <f t="shared" si="18"/>
        <v>17.600000000000001</v>
      </c>
      <c r="F84" s="4">
        <f t="shared" si="19"/>
        <v>21.3</v>
      </c>
      <c r="G84" s="4">
        <f t="shared" si="20"/>
        <v>23.2</v>
      </c>
      <c r="H84">
        <f t="shared" si="21"/>
        <v>25.1</v>
      </c>
      <c r="I84" s="4">
        <f t="shared" si="22"/>
        <v>26</v>
      </c>
      <c r="J84">
        <f t="shared" si="23"/>
        <v>27.8</v>
      </c>
      <c r="K84" s="4">
        <f t="shared" si="24"/>
        <v>28.8</v>
      </c>
      <c r="L84">
        <f t="shared" si="25"/>
        <v>30.6</v>
      </c>
      <c r="M84">
        <f t="shared" si="26"/>
        <v>32.5</v>
      </c>
      <c r="N84">
        <f t="shared" si="27"/>
        <v>34.299999999999997</v>
      </c>
      <c r="P84">
        <f t="shared" si="28"/>
        <v>2.2000000000000002</v>
      </c>
    </row>
    <row r="85" spans="1:16" ht="17.25">
      <c r="A85" s="52" t="s">
        <v>773</v>
      </c>
      <c r="B85" s="4">
        <f t="shared" si="15"/>
        <v>13.9</v>
      </c>
      <c r="C85" s="4">
        <f t="shared" si="16"/>
        <v>14.8</v>
      </c>
      <c r="D85" s="4">
        <f t="shared" si="17"/>
        <v>16.7</v>
      </c>
      <c r="E85" s="4">
        <f t="shared" si="18"/>
        <v>17.600000000000001</v>
      </c>
      <c r="F85" s="4">
        <f t="shared" si="19"/>
        <v>21.3</v>
      </c>
      <c r="G85" s="4">
        <f t="shared" si="20"/>
        <v>23.2</v>
      </c>
      <c r="H85">
        <f t="shared" si="21"/>
        <v>25.1</v>
      </c>
      <c r="I85" s="4">
        <f t="shared" si="22"/>
        <v>26</v>
      </c>
      <c r="J85">
        <f t="shared" si="23"/>
        <v>27.8</v>
      </c>
      <c r="K85" s="4">
        <f t="shared" si="24"/>
        <v>28.8</v>
      </c>
      <c r="L85">
        <f t="shared" si="25"/>
        <v>30.6</v>
      </c>
      <c r="M85">
        <f t="shared" si="26"/>
        <v>32.5</v>
      </c>
      <c r="N85">
        <f t="shared" si="27"/>
        <v>34.299999999999997</v>
      </c>
      <c r="P85">
        <f t="shared" si="28"/>
        <v>2.2000000000000002</v>
      </c>
    </row>
    <row r="86" spans="1:16" ht="17.25">
      <c r="A86" s="52" t="s">
        <v>835</v>
      </c>
      <c r="B86" s="4">
        <f t="shared" si="15"/>
        <v>13.9</v>
      </c>
      <c r="C86" s="4">
        <f t="shared" si="16"/>
        <v>14.8</v>
      </c>
      <c r="D86" s="4">
        <f t="shared" si="17"/>
        <v>16.7</v>
      </c>
      <c r="E86" s="4">
        <f t="shared" si="18"/>
        <v>17.600000000000001</v>
      </c>
      <c r="F86" s="4">
        <f t="shared" si="19"/>
        <v>21.3</v>
      </c>
      <c r="G86" s="4">
        <f t="shared" si="20"/>
        <v>23.2</v>
      </c>
      <c r="H86">
        <f t="shared" si="21"/>
        <v>25.1</v>
      </c>
      <c r="I86" s="4">
        <f t="shared" si="22"/>
        <v>26</v>
      </c>
      <c r="J86">
        <f t="shared" si="23"/>
        <v>27.8</v>
      </c>
      <c r="K86" s="4">
        <f t="shared" si="24"/>
        <v>28.8</v>
      </c>
      <c r="L86">
        <f t="shared" si="25"/>
        <v>30.6</v>
      </c>
      <c r="M86">
        <f t="shared" si="26"/>
        <v>32.5</v>
      </c>
      <c r="N86">
        <f t="shared" si="27"/>
        <v>34.299999999999997</v>
      </c>
      <c r="P86">
        <f t="shared" si="28"/>
        <v>2.2000000000000002</v>
      </c>
    </row>
    <row r="87" spans="1:16" ht="17.25">
      <c r="A87" s="52" t="s">
        <v>850</v>
      </c>
      <c r="B87" s="4">
        <f t="shared" si="15"/>
        <v>13.9</v>
      </c>
      <c r="C87" s="4">
        <f t="shared" si="16"/>
        <v>14.8</v>
      </c>
      <c r="D87" s="4">
        <f t="shared" si="17"/>
        <v>16.7</v>
      </c>
      <c r="E87" s="4">
        <f t="shared" si="18"/>
        <v>17.600000000000001</v>
      </c>
      <c r="F87" s="4">
        <f t="shared" si="19"/>
        <v>21.3</v>
      </c>
      <c r="G87" s="4">
        <f t="shared" si="20"/>
        <v>23.2</v>
      </c>
      <c r="H87">
        <f t="shared" si="21"/>
        <v>25.1</v>
      </c>
      <c r="I87" s="4">
        <f t="shared" si="22"/>
        <v>26</v>
      </c>
      <c r="J87">
        <f t="shared" si="23"/>
        <v>27.8</v>
      </c>
      <c r="K87" s="4">
        <f t="shared" si="24"/>
        <v>28.8</v>
      </c>
      <c r="L87">
        <f t="shared" si="25"/>
        <v>30.6</v>
      </c>
      <c r="M87">
        <f t="shared" si="26"/>
        <v>32.5</v>
      </c>
      <c r="N87">
        <f t="shared" si="27"/>
        <v>34.299999999999997</v>
      </c>
      <c r="P87">
        <f t="shared" si="28"/>
        <v>2.2000000000000002</v>
      </c>
    </row>
    <row r="88" spans="1:16" ht="17.25">
      <c r="A88" s="52" t="s">
        <v>839</v>
      </c>
      <c r="B88" s="4">
        <f t="shared" si="15"/>
        <v>13.9</v>
      </c>
      <c r="C88" s="4">
        <f t="shared" si="16"/>
        <v>14.8</v>
      </c>
      <c r="D88" s="4">
        <f t="shared" si="17"/>
        <v>16.7</v>
      </c>
      <c r="E88" s="4">
        <f t="shared" si="18"/>
        <v>17.600000000000001</v>
      </c>
      <c r="F88" s="4">
        <f t="shared" si="19"/>
        <v>21.3</v>
      </c>
      <c r="G88" s="4">
        <f t="shared" si="20"/>
        <v>23.2</v>
      </c>
      <c r="H88">
        <f t="shared" si="21"/>
        <v>25.1</v>
      </c>
      <c r="I88" s="4">
        <f t="shared" si="22"/>
        <v>26</v>
      </c>
      <c r="J88">
        <f t="shared" si="23"/>
        <v>27.8</v>
      </c>
      <c r="K88" s="4">
        <f t="shared" si="24"/>
        <v>28.8</v>
      </c>
      <c r="L88">
        <f t="shared" si="25"/>
        <v>30.6</v>
      </c>
      <c r="M88">
        <f t="shared" si="26"/>
        <v>32.5</v>
      </c>
      <c r="N88">
        <f t="shared" si="27"/>
        <v>34.299999999999997</v>
      </c>
      <c r="P88">
        <f t="shared" si="28"/>
        <v>2.2000000000000002</v>
      </c>
    </row>
    <row r="89" spans="1:16" ht="17.25">
      <c r="A89" s="52" t="s">
        <v>800</v>
      </c>
      <c r="B89" s="4">
        <f t="shared" si="15"/>
        <v>13.9</v>
      </c>
      <c r="C89" s="4">
        <f t="shared" si="16"/>
        <v>14.8</v>
      </c>
      <c r="D89" s="4">
        <f t="shared" si="17"/>
        <v>16.7</v>
      </c>
      <c r="E89" s="4">
        <f t="shared" si="18"/>
        <v>17.600000000000001</v>
      </c>
      <c r="F89" s="4">
        <f t="shared" si="19"/>
        <v>21.3</v>
      </c>
      <c r="G89" s="4">
        <f t="shared" si="20"/>
        <v>23.2</v>
      </c>
      <c r="H89">
        <f t="shared" si="21"/>
        <v>25.1</v>
      </c>
      <c r="I89" s="4">
        <f t="shared" si="22"/>
        <v>26</v>
      </c>
      <c r="J89">
        <f t="shared" si="23"/>
        <v>27.8</v>
      </c>
      <c r="K89" s="4">
        <f t="shared" si="24"/>
        <v>28.8</v>
      </c>
      <c r="L89">
        <f t="shared" si="25"/>
        <v>30.6</v>
      </c>
      <c r="M89">
        <f t="shared" si="26"/>
        <v>32.5</v>
      </c>
      <c r="N89">
        <f t="shared" si="27"/>
        <v>34.299999999999997</v>
      </c>
      <c r="P89">
        <f t="shared" si="28"/>
        <v>2.2000000000000002</v>
      </c>
    </row>
    <row r="90" spans="1:16" ht="17.25">
      <c r="A90" s="52" t="s">
        <v>822</v>
      </c>
      <c r="B90" s="4">
        <f t="shared" si="15"/>
        <v>13.9</v>
      </c>
      <c r="C90" s="4">
        <f t="shared" si="16"/>
        <v>14.8</v>
      </c>
      <c r="D90" s="4">
        <f t="shared" si="17"/>
        <v>16.7</v>
      </c>
      <c r="E90" s="4">
        <f t="shared" si="18"/>
        <v>17.600000000000001</v>
      </c>
      <c r="F90" s="4">
        <f t="shared" si="19"/>
        <v>21.3</v>
      </c>
      <c r="G90" s="4">
        <f t="shared" si="20"/>
        <v>23.2</v>
      </c>
      <c r="H90">
        <f t="shared" si="21"/>
        <v>25.1</v>
      </c>
      <c r="I90" s="4">
        <f t="shared" si="22"/>
        <v>26</v>
      </c>
      <c r="J90">
        <f t="shared" si="23"/>
        <v>27.8</v>
      </c>
      <c r="K90" s="4">
        <f t="shared" si="24"/>
        <v>28.8</v>
      </c>
      <c r="L90">
        <f t="shared" si="25"/>
        <v>30.6</v>
      </c>
      <c r="M90">
        <f t="shared" si="26"/>
        <v>32.5</v>
      </c>
      <c r="N90">
        <f t="shared" si="27"/>
        <v>34.299999999999997</v>
      </c>
      <c r="P90">
        <f t="shared" si="28"/>
        <v>2.2000000000000002</v>
      </c>
    </row>
    <row r="91" spans="1:16" ht="17.25">
      <c r="A91" s="52" t="s">
        <v>792</v>
      </c>
      <c r="B91" s="4">
        <f t="shared" si="15"/>
        <v>13.9</v>
      </c>
      <c r="C91" s="4">
        <f t="shared" si="16"/>
        <v>14.8</v>
      </c>
      <c r="D91" s="4">
        <f t="shared" si="17"/>
        <v>16.7</v>
      </c>
      <c r="E91" s="4">
        <f t="shared" si="18"/>
        <v>17.600000000000001</v>
      </c>
      <c r="F91" s="4">
        <f t="shared" si="19"/>
        <v>21.3</v>
      </c>
      <c r="G91" s="4">
        <f t="shared" si="20"/>
        <v>23.2</v>
      </c>
      <c r="H91">
        <f t="shared" si="21"/>
        <v>25.1</v>
      </c>
      <c r="I91" s="4">
        <f t="shared" si="22"/>
        <v>26</v>
      </c>
      <c r="J91">
        <f t="shared" si="23"/>
        <v>27.8</v>
      </c>
      <c r="K91" s="4">
        <f t="shared" si="24"/>
        <v>28.8</v>
      </c>
      <c r="L91">
        <f t="shared" si="25"/>
        <v>30.6</v>
      </c>
      <c r="M91">
        <f t="shared" si="26"/>
        <v>32.5</v>
      </c>
      <c r="N91">
        <f t="shared" si="27"/>
        <v>34.299999999999997</v>
      </c>
      <c r="P91">
        <f t="shared" si="28"/>
        <v>2.2000000000000002</v>
      </c>
    </row>
    <row r="92" spans="1:16" ht="17.25">
      <c r="A92" s="52" t="s">
        <v>815</v>
      </c>
      <c r="B92" s="4">
        <f t="shared" si="15"/>
        <v>13.9</v>
      </c>
      <c r="C92" s="4">
        <f t="shared" si="16"/>
        <v>14.8</v>
      </c>
      <c r="D92" s="4">
        <f t="shared" si="17"/>
        <v>16.7</v>
      </c>
      <c r="E92" s="4">
        <f t="shared" si="18"/>
        <v>17.600000000000001</v>
      </c>
      <c r="F92" s="4">
        <f t="shared" si="19"/>
        <v>21.3</v>
      </c>
      <c r="G92" s="4">
        <f t="shared" si="20"/>
        <v>23.2</v>
      </c>
      <c r="H92">
        <f t="shared" si="21"/>
        <v>25.1</v>
      </c>
      <c r="I92" s="4">
        <f t="shared" si="22"/>
        <v>26</v>
      </c>
      <c r="J92">
        <f t="shared" si="23"/>
        <v>27.8</v>
      </c>
      <c r="K92" s="4">
        <f t="shared" si="24"/>
        <v>28.8</v>
      </c>
      <c r="L92">
        <f t="shared" si="25"/>
        <v>30.6</v>
      </c>
      <c r="M92">
        <f t="shared" si="26"/>
        <v>32.5</v>
      </c>
      <c r="N92">
        <f t="shared" si="27"/>
        <v>34.299999999999997</v>
      </c>
      <c r="P92">
        <f t="shared" si="28"/>
        <v>2.2000000000000002</v>
      </c>
    </row>
    <row r="93" spans="1:16" ht="17.25">
      <c r="A93" s="52" t="s">
        <v>769</v>
      </c>
      <c r="B93" s="4">
        <f t="shared" si="15"/>
        <v>13.9</v>
      </c>
      <c r="C93" s="4">
        <f t="shared" si="16"/>
        <v>14.8</v>
      </c>
      <c r="D93" s="4">
        <f t="shared" si="17"/>
        <v>16.7</v>
      </c>
      <c r="E93" s="4">
        <f t="shared" si="18"/>
        <v>17.600000000000001</v>
      </c>
      <c r="F93" s="4">
        <f t="shared" si="19"/>
        <v>21.3</v>
      </c>
      <c r="G93" s="4">
        <f t="shared" si="20"/>
        <v>23.2</v>
      </c>
      <c r="H93">
        <f t="shared" si="21"/>
        <v>25.1</v>
      </c>
      <c r="I93" s="4">
        <f t="shared" si="22"/>
        <v>26</v>
      </c>
      <c r="J93">
        <f t="shared" si="23"/>
        <v>27.8</v>
      </c>
      <c r="K93" s="4">
        <f t="shared" si="24"/>
        <v>28.8</v>
      </c>
      <c r="L93">
        <f t="shared" si="25"/>
        <v>30.6</v>
      </c>
      <c r="M93">
        <f t="shared" si="26"/>
        <v>32.5</v>
      </c>
      <c r="N93">
        <f t="shared" si="27"/>
        <v>34.299999999999997</v>
      </c>
      <c r="P93">
        <f t="shared" si="28"/>
        <v>2.2000000000000002</v>
      </c>
    </row>
    <row r="94" spans="1:16" ht="17.25">
      <c r="A94" s="52" t="s">
        <v>872</v>
      </c>
      <c r="B94" s="4">
        <f t="shared" si="15"/>
        <v>13.9</v>
      </c>
      <c r="C94" s="4">
        <f t="shared" si="16"/>
        <v>14.8</v>
      </c>
      <c r="D94" s="4">
        <f t="shared" si="17"/>
        <v>16.7</v>
      </c>
      <c r="E94" s="4">
        <f t="shared" si="18"/>
        <v>17.600000000000001</v>
      </c>
      <c r="F94" s="4">
        <f t="shared" si="19"/>
        <v>21.3</v>
      </c>
      <c r="G94" s="4">
        <f t="shared" si="20"/>
        <v>23.2</v>
      </c>
      <c r="H94">
        <f t="shared" si="21"/>
        <v>25.1</v>
      </c>
      <c r="I94" s="4">
        <f t="shared" si="22"/>
        <v>26</v>
      </c>
      <c r="J94">
        <f t="shared" si="23"/>
        <v>27.8</v>
      </c>
      <c r="K94" s="4">
        <f t="shared" si="24"/>
        <v>28.8</v>
      </c>
      <c r="L94">
        <f t="shared" si="25"/>
        <v>30.6</v>
      </c>
      <c r="M94">
        <f t="shared" si="26"/>
        <v>32.5</v>
      </c>
      <c r="N94">
        <f t="shared" si="27"/>
        <v>34.299999999999997</v>
      </c>
      <c r="P94">
        <f t="shared" si="28"/>
        <v>2.2000000000000002</v>
      </c>
    </row>
    <row r="95" spans="1:16" ht="17.25">
      <c r="A95" s="52" t="s">
        <v>808</v>
      </c>
      <c r="B95" s="4">
        <f t="shared" si="15"/>
        <v>13.9</v>
      </c>
      <c r="C95" s="4">
        <f t="shared" si="16"/>
        <v>14.8</v>
      </c>
      <c r="D95" s="4">
        <f t="shared" si="17"/>
        <v>16.7</v>
      </c>
      <c r="E95" s="4">
        <f t="shared" si="18"/>
        <v>17.600000000000001</v>
      </c>
      <c r="F95" s="4">
        <f t="shared" si="19"/>
        <v>21.3</v>
      </c>
      <c r="G95" s="4">
        <f t="shared" si="20"/>
        <v>23.2</v>
      </c>
      <c r="H95">
        <f t="shared" si="21"/>
        <v>25.1</v>
      </c>
      <c r="I95" s="4">
        <f t="shared" si="22"/>
        <v>26</v>
      </c>
      <c r="J95">
        <f t="shared" si="23"/>
        <v>27.8</v>
      </c>
      <c r="K95" s="4">
        <f t="shared" si="24"/>
        <v>28.8</v>
      </c>
      <c r="L95">
        <f t="shared" si="25"/>
        <v>30.6</v>
      </c>
      <c r="M95">
        <f t="shared" si="26"/>
        <v>32.5</v>
      </c>
      <c r="N95">
        <f t="shared" si="27"/>
        <v>34.299999999999997</v>
      </c>
      <c r="P95">
        <f t="shared" si="28"/>
        <v>2.2000000000000002</v>
      </c>
    </row>
    <row r="96" spans="1:16" ht="17.25">
      <c r="A96" s="52" t="s">
        <v>729</v>
      </c>
      <c r="B96" s="4">
        <f t="shared" si="15"/>
        <v>13.9</v>
      </c>
      <c r="C96" s="4">
        <f t="shared" si="16"/>
        <v>14.8</v>
      </c>
      <c r="D96" s="4">
        <f t="shared" si="17"/>
        <v>16.7</v>
      </c>
      <c r="E96" s="4">
        <f t="shared" si="18"/>
        <v>17.600000000000001</v>
      </c>
      <c r="F96" s="4">
        <f t="shared" si="19"/>
        <v>21.3</v>
      </c>
      <c r="G96" s="4">
        <f t="shared" si="20"/>
        <v>23.2</v>
      </c>
      <c r="H96">
        <f t="shared" si="21"/>
        <v>25.1</v>
      </c>
      <c r="I96" s="4">
        <f t="shared" si="22"/>
        <v>26</v>
      </c>
      <c r="J96">
        <f t="shared" si="23"/>
        <v>27.8</v>
      </c>
      <c r="K96" s="4">
        <f t="shared" si="24"/>
        <v>28.8</v>
      </c>
      <c r="L96">
        <f t="shared" si="25"/>
        <v>30.6</v>
      </c>
      <c r="M96">
        <f t="shared" si="26"/>
        <v>32.5</v>
      </c>
      <c r="N96">
        <f t="shared" si="27"/>
        <v>34.299999999999997</v>
      </c>
      <c r="P96">
        <f t="shared" si="28"/>
        <v>2.2000000000000002</v>
      </c>
    </row>
    <row r="97" spans="1:16" ht="17.25">
      <c r="A97" s="52" t="s">
        <v>742</v>
      </c>
      <c r="B97" s="4">
        <f t="shared" si="15"/>
        <v>13.9</v>
      </c>
      <c r="C97" s="4">
        <f t="shared" si="16"/>
        <v>14.8</v>
      </c>
      <c r="D97" s="4">
        <f t="shared" si="17"/>
        <v>16.7</v>
      </c>
      <c r="E97" s="4">
        <f t="shared" si="18"/>
        <v>17.600000000000001</v>
      </c>
      <c r="F97" s="4">
        <f t="shared" si="19"/>
        <v>21.3</v>
      </c>
      <c r="G97" s="4">
        <f t="shared" si="20"/>
        <v>23.2</v>
      </c>
      <c r="H97">
        <f t="shared" si="21"/>
        <v>25.1</v>
      </c>
      <c r="I97" s="4">
        <f t="shared" si="22"/>
        <v>26</v>
      </c>
      <c r="J97">
        <f t="shared" si="23"/>
        <v>27.8</v>
      </c>
      <c r="K97" s="4">
        <f t="shared" si="24"/>
        <v>28.8</v>
      </c>
      <c r="L97">
        <f t="shared" si="25"/>
        <v>30.6</v>
      </c>
      <c r="M97">
        <f t="shared" si="26"/>
        <v>32.5</v>
      </c>
      <c r="N97">
        <f t="shared" si="27"/>
        <v>34.299999999999997</v>
      </c>
      <c r="P97">
        <f t="shared" si="28"/>
        <v>2.2000000000000002</v>
      </c>
    </row>
    <row r="98" spans="1:16" ht="17.25">
      <c r="A98" s="52" t="s">
        <v>702</v>
      </c>
      <c r="B98" s="4">
        <f t="shared" si="15"/>
        <v>13.9</v>
      </c>
      <c r="C98" s="4">
        <f t="shared" si="16"/>
        <v>14.8</v>
      </c>
      <c r="D98" s="4">
        <f t="shared" si="17"/>
        <v>16.7</v>
      </c>
      <c r="E98" s="4">
        <f t="shared" si="18"/>
        <v>17.600000000000001</v>
      </c>
      <c r="F98" s="4">
        <f t="shared" si="19"/>
        <v>21.3</v>
      </c>
      <c r="G98" s="4">
        <f t="shared" si="20"/>
        <v>23.2</v>
      </c>
      <c r="H98">
        <f t="shared" si="21"/>
        <v>25.1</v>
      </c>
      <c r="I98" s="4">
        <f t="shared" si="22"/>
        <v>26</v>
      </c>
      <c r="J98">
        <f t="shared" si="23"/>
        <v>27.8</v>
      </c>
      <c r="K98" s="4">
        <f t="shared" si="24"/>
        <v>28.8</v>
      </c>
      <c r="L98">
        <f t="shared" si="25"/>
        <v>30.6</v>
      </c>
      <c r="M98">
        <f t="shared" si="26"/>
        <v>32.5</v>
      </c>
      <c r="N98">
        <f t="shared" si="27"/>
        <v>34.299999999999997</v>
      </c>
      <c r="P98">
        <f t="shared" si="28"/>
        <v>2.2000000000000002</v>
      </c>
    </row>
    <row r="99" spans="1:16" ht="17.25">
      <c r="A99" s="52" t="s">
        <v>812</v>
      </c>
      <c r="B99" s="4">
        <f t="shared" si="15"/>
        <v>13.9</v>
      </c>
      <c r="C99" s="4">
        <f t="shared" si="16"/>
        <v>14.8</v>
      </c>
      <c r="D99" s="4">
        <f t="shared" si="17"/>
        <v>16.7</v>
      </c>
      <c r="E99" s="4">
        <f t="shared" si="18"/>
        <v>17.600000000000001</v>
      </c>
      <c r="F99" s="4">
        <f t="shared" si="19"/>
        <v>21.3</v>
      </c>
      <c r="G99" s="4">
        <f t="shared" si="20"/>
        <v>23.2</v>
      </c>
      <c r="H99">
        <f t="shared" si="21"/>
        <v>25.1</v>
      </c>
      <c r="I99" s="4">
        <f t="shared" si="22"/>
        <v>26</v>
      </c>
      <c r="J99">
        <f t="shared" si="23"/>
        <v>27.8</v>
      </c>
      <c r="K99" s="4">
        <f t="shared" si="24"/>
        <v>28.8</v>
      </c>
      <c r="L99">
        <f t="shared" si="25"/>
        <v>30.6</v>
      </c>
      <c r="M99">
        <f t="shared" si="26"/>
        <v>32.5</v>
      </c>
      <c r="N99">
        <f t="shared" si="27"/>
        <v>34.299999999999997</v>
      </c>
      <c r="P99">
        <f t="shared" si="28"/>
        <v>2.2000000000000002</v>
      </c>
    </row>
    <row r="100" spans="1:16" ht="17.25">
      <c r="A100" s="52" t="s">
        <v>841</v>
      </c>
      <c r="B100" s="4">
        <f t="shared" si="15"/>
        <v>13.9</v>
      </c>
      <c r="C100" s="4">
        <f t="shared" si="16"/>
        <v>14.8</v>
      </c>
      <c r="D100" s="4">
        <f t="shared" si="17"/>
        <v>16.7</v>
      </c>
      <c r="E100" s="4">
        <f t="shared" si="18"/>
        <v>17.600000000000001</v>
      </c>
      <c r="F100" s="4">
        <f t="shared" si="19"/>
        <v>21.3</v>
      </c>
      <c r="G100" s="4">
        <f t="shared" si="20"/>
        <v>23.2</v>
      </c>
      <c r="H100">
        <f t="shared" si="21"/>
        <v>25.1</v>
      </c>
      <c r="I100" s="4">
        <f t="shared" si="22"/>
        <v>26</v>
      </c>
      <c r="J100">
        <f t="shared" si="23"/>
        <v>27.8</v>
      </c>
      <c r="K100" s="4">
        <f t="shared" si="24"/>
        <v>28.8</v>
      </c>
      <c r="L100">
        <f t="shared" si="25"/>
        <v>30.6</v>
      </c>
      <c r="M100">
        <f t="shared" si="26"/>
        <v>32.5</v>
      </c>
      <c r="N100">
        <f t="shared" si="27"/>
        <v>34.299999999999997</v>
      </c>
      <c r="P100">
        <f t="shared" si="28"/>
        <v>2.2000000000000002</v>
      </c>
    </row>
    <row r="101" spans="1:16" ht="17.25">
      <c r="A101" s="52" t="s">
        <v>828</v>
      </c>
      <c r="B101" s="4">
        <f t="shared" si="15"/>
        <v>13.9</v>
      </c>
      <c r="C101" s="4">
        <f t="shared" si="16"/>
        <v>14.8</v>
      </c>
      <c r="D101" s="4">
        <f t="shared" si="17"/>
        <v>16.7</v>
      </c>
      <c r="E101" s="4">
        <f t="shared" si="18"/>
        <v>17.600000000000001</v>
      </c>
      <c r="F101" s="4">
        <f t="shared" si="19"/>
        <v>21.3</v>
      </c>
      <c r="G101" s="4">
        <f t="shared" si="20"/>
        <v>23.2</v>
      </c>
      <c r="H101">
        <f t="shared" si="21"/>
        <v>25.1</v>
      </c>
      <c r="I101" s="4">
        <f t="shared" si="22"/>
        <v>26</v>
      </c>
      <c r="J101">
        <f t="shared" si="23"/>
        <v>27.8</v>
      </c>
      <c r="K101" s="4">
        <f t="shared" si="24"/>
        <v>28.8</v>
      </c>
      <c r="L101">
        <f t="shared" si="25"/>
        <v>30.6</v>
      </c>
      <c r="M101">
        <f t="shared" si="26"/>
        <v>32.5</v>
      </c>
      <c r="N101">
        <f t="shared" si="27"/>
        <v>34.299999999999997</v>
      </c>
      <c r="P101">
        <f t="shared" si="28"/>
        <v>2.2000000000000002</v>
      </c>
    </row>
    <row r="102" spans="1:16" ht="17.25">
      <c r="A102" s="52" t="s">
        <v>727</v>
      </c>
      <c r="B102" s="4">
        <f t="shared" si="15"/>
        <v>13.9</v>
      </c>
      <c r="C102" s="4">
        <f t="shared" si="16"/>
        <v>14.8</v>
      </c>
      <c r="D102" s="4">
        <f t="shared" si="17"/>
        <v>16.7</v>
      </c>
      <c r="E102" s="4">
        <f t="shared" si="18"/>
        <v>17.600000000000001</v>
      </c>
      <c r="F102" s="4">
        <f t="shared" si="19"/>
        <v>21.3</v>
      </c>
      <c r="G102" s="4">
        <f t="shared" si="20"/>
        <v>23.2</v>
      </c>
      <c r="H102">
        <f t="shared" si="21"/>
        <v>25.1</v>
      </c>
      <c r="I102" s="4">
        <f t="shared" si="22"/>
        <v>26</v>
      </c>
      <c r="J102">
        <f t="shared" si="23"/>
        <v>27.8</v>
      </c>
      <c r="K102" s="4">
        <f t="shared" si="24"/>
        <v>28.8</v>
      </c>
      <c r="L102">
        <f t="shared" si="25"/>
        <v>30.6</v>
      </c>
      <c r="M102">
        <f t="shared" si="26"/>
        <v>32.5</v>
      </c>
      <c r="N102">
        <f t="shared" si="27"/>
        <v>34.299999999999997</v>
      </c>
      <c r="P102">
        <f t="shared" si="28"/>
        <v>2.2000000000000002</v>
      </c>
    </row>
    <row r="103" spans="1:16" ht="17.25">
      <c r="A103" s="52" t="s">
        <v>875</v>
      </c>
      <c r="B103" s="4">
        <f t="shared" si="15"/>
        <v>13.9</v>
      </c>
      <c r="C103" s="4">
        <f t="shared" si="16"/>
        <v>14.8</v>
      </c>
      <c r="D103" s="4">
        <f t="shared" si="17"/>
        <v>16.7</v>
      </c>
      <c r="E103" s="4">
        <f t="shared" si="18"/>
        <v>17.600000000000001</v>
      </c>
      <c r="F103" s="4">
        <f t="shared" si="19"/>
        <v>21.3</v>
      </c>
      <c r="G103" s="4">
        <f t="shared" si="20"/>
        <v>23.2</v>
      </c>
      <c r="H103">
        <f t="shared" si="21"/>
        <v>25.1</v>
      </c>
      <c r="I103" s="4">
        <f t="shared" si="22"/>
        <v>26</v>
      </c>
      <c r="J103">
        <f t="shared" si="23"/>
        <v>27.8</v>
      </c>
      <c r="K103" s="4">
        <f t="shared" si="24"/>
        <v>28.8</v>
      </c>
      <c r="L103">
        <f t="shared" si="25"/>
        <v>30.6</v>
      </c>
      <c r="M103">
        <f t="shared" si="26"/>
        <v>32.5</v>
      </c>
      <c r="N103">
        <f t="shared" si="27"/>
        <v>34.299999999999997</v>
      </c>
      <c r="P103">
        <f t="shared" si="28"/>
        <v>2.2000000000000002</v>
      </c>
    </row>
    <row r="104" spans="1:16" ht="17.25">
      <c r="A104" s="52" t="s">
        <v>732</v>
      </c>
      <c r="B104" s="4">
        <f t="shared" si="15"/>
        <v>13.9</v>
      </c>
      <c r="C104" s="4">
        <f t="shared" si="16"/>
        <v>14.8</v>
      </c>
      <c r="D104" s="4">
        <f t="shared" si="17"/>
        <v>16.7</v>
      </c>
      <c r="E104" s="4">
        <f t="shared" si="18"/>
        <v>17.600000000000001</v>
      </c>
      <c r="F104" s="4">
        <f t="shared" si="19"/>
        <v>21.3</v>
      </c>
      <c r="G104" s="4">
        <f t="shared" si="20"/>
        <v>23.2</v>
      </c>
      <c r="H104">
        <f t="shared" si="21"/>
        <v>25.1</v>
      </c>
      <c r="I104" s="4">
        <f t="shared" si="22"/>
        <v>26</v>
      </c>
      <c r="J104">
        <f t="shared" si="23"/>
        <v>27.8</v>
      </c>
      <c r="K104" s="4">
        <f t="shared" si="24"/>
        <v>28.8</v>
      </c>
      <c r="L104">
        <f t="shared" si="25"/>
        <v>30.6</v>
      </c>
      <c r="M104">
        <f t="shared" si="26"/>
        <v>32.5</v>
      </c>
      <c r="N104">
        <f t="shared" si="27"/>
        <v>34.299999999999997</v>
      </c>
      <c r="P104">
        <f t="shared" si="28"/>
        <v>2.2000000000000002</v>
      </c>
    </row>
    <row r="105" spans="1:16" ht="17.25">
      <c r="A105" s="52" t="s">
        <v>869</v>
      </c>
      <c r="B105" s="4">
        <f t="shared" si="15"/>
        <v>13.9</v>
      </c>
      <c r="C105" s="4">
        <f t="shared" si="16"/>
        <v>14.8</v>
      </c>
      <c r="D105" s="4">
        <f t="shared" si="17"/>
        <v>16.7</v>
      </c>
      <c r="E105" s="4">
        <f t="shared" si="18"/>
        <v>17.600000000000001</v>
      </c>
      <c r="F105" s="4">
        <f t="shared" si="19"/>
        <v>21.3</v>
      </c>
      <c r="G105" s="4">
        <f t="shared" si="20"/>
        <v>23.2</v>
      </c>
      <c r="H105">
        <f t="shared" si="21"/>
        <v>25.1</v>
      </c>
      <c r="I105" s="4">
        <f t="shared" si="22"/>
        <v>26</v>
      </c>
      <c r="J105">
        <f t="shared" si="23"/>
        <v>27.8</v>
      </c>
      <c r="K105" s="4">
        <f t="shared" si="24"/>
        <v>28.8</v>
      </c>
      <c r="L105">
        <f t="shared" si="25"/>
        <v>30.6</v>
      </c>
      <c r="M105">
        <f t="shared" si="26"/>
        <v>32.5</v>
      </c>
      <c r="N105">
        <f t="shared" si="27"/>
        <v>34.299999999999997</v>
      </c>
      <c r="P105">
        <f t="shared" si="28"/>
        <v>2.2000000000000002</v>
      </c>
    </row>
    <row r="106" spans="1:16" ht="17.25">
      <c r="A106" s="52" t="s">
        <v>848</v>
      </c>
      <c r="B106" s="4">
        <f t="shared" si="15"/>
        <v>13.9</v>
      </c>
      <c r="C106" s="4">
        <f t="shared" si="16"/>
        <v>14.8</v>
      </c>
      <c r="D106" s="4">
        <f t="shared" si="17"/>
        <v>16.7</v>
      </c>
      <c r="E106" s="4">
        <f t="shared" si="18"/>
        <v>17.600000000000001</v>
      </c>
      <c r="F106" s="4">
        <f t="shared" si="19"/>
        <v>21.3</v>
      </c>
      <c r="G106" s="4">
        <f t="shared" si="20"/>
        <v>23.2</v>
      </c>
      <c r="H106">
        <f t="shared" si="21"/>
        <v>25.1</v>
      </c>
      <c r="I106" s="4">
        <f t="shared" si="22"/>
        <v>26</v>
      </c>
      <c r="J106">
        <f t="shared" si="23"/>
        <v>27.8</v>
      </c>
      <c r="K106" s="4">
        <f t="shared" si="24"/>
        <v>28.8</v>
      </c>
      <c r="L106">
        <f t="shared" si="25"/>
        <v>30.6</v>
      </c>
      <c r="M106">
        <f t="shared" si="26"/>
        <v>32.5</v>
      </c>
      <c r="N106">
        <f t="shared" si="27"/>
        <v>34.299999999999997</v>
      </c>
      <c r="P106">
        <f t="shared" si="28"/>
        <v>2.2000000000000002</v>
      </c>
    </row>
    <row r="107" spans="1:16" ht="17.25">
      <c r="A107" s="52" t="s">
        <v>718</v>
      </c>
      <c r="B107" s="4">
        <f t="shared" si="15"/>
        <v>13.9</v>
      </c>
      <c r="C107" s="4">
        <f t="shared" si="16"/>
        <v>14.8</v>
      </c>
      <c r="D107" s="4">
        <f t="shared" si="17"/>
        <v>16.7</v>
      </c>
      <c r="E107" s="4">
        <f t="shared" si="18"/>
        <v>17.600000000000001</v>
      </c>
      <c r="F107" s="4">
        <f t="shared" si="19"/>
        <v>21.3</v>
      </c>
      <c r="G107" s="4">
        <f t="shared" si="20"/>
        <v>23.2</v>
      </c>
      <c r="H107">
        <f t="shared" si="21"/>
        <v>25.1</v>
      </c>
      <c r="I107" s="4">
        <f t="shared" si="22"/>
        <v>26</v>
      </c>
      <c r="J107">
        <f t="shared" si="23"/>
        <v>27.8</v>
      </c>
      <c r="K107" s="4">
        <f t="shared" si="24"/>
        <v>28.8</v>
      </c>
      <c r="L107">
        <f t="shared" si="25"/>
        <v>30.6</v>
      </c>
      <c r="M107">
        <f t="shared" si="26"/>
        <v>32.5</v>
      </c>
      <c r="N107">
        <f t="shared" si="27"/>
        <v>34.299999999999997</v>
      </c>
      <c r="P107">
        <f t="shared" si="28"/>
        <v>2.2000000000000002</v>
      </c>
    </row>
    <row r="108" spans="1:16" ht="17.25">
      <c r="A108" s="52" t="s">
        <v>859</v>
      </c>
      <c r="B108" s="4">
        <f t="shared" si="15"/>
        <v>13.9</v>
      </c>
      <c r="C108" s="4">
        <f t="shared" si="16"/>
        <v>14.8</v>
      </c>
      <c r="D108" s="4">
        <f t="shared" si="17"/>
        <v>16.7</v>
      </c>
      <c r="E108" s="4">
        <f t="shared" si="18"/>
        <v>17.600000000000001</v>
      </c>
      <c r="F108" s="4">
        <f t="shared" si="19"/>
        <v>21.3</v>
      </c>
      <c r="G108" s="4">
        <f t="shared" si="20"/>
        <v>23.2</v>
      </c>
      <c r="H108">
        <f t="shared" si="21"/>
        <v>25.1</v>
      </c>
      <c r="I108" s="4">
        <f t="shared" si="22"/>
        <v>26</v>
      </c>
      <c r="J108">
        <f t="shared" si="23"/>
        <v>27.8</v>
      </c>
      <c r="K108" s="4">
        <f t="shared" si="24"/>
        <v>28.8</v>
      </c>
      <c r="L108">
        <f t="shared" si="25"/>
        <v>30.6</v>
      </c>
      <c r="M108">
        <f t="shared" si="26"/>
        <v>32.5</v>
      </c>
      <c r="N108">
        <f t="shared" si="27"/>
        <v>34.299999999999997</v>
      </c>
      <c r="P108">
        <f t="shared" si="28"/>
        <v>2.2000000000000002</v>
      </c>
    </row>
    <row r="109" spans="1:16" ht="17.25">
      <c r="A109" s="52" t="s">
        <v>713</v>
      </c>
      <c r="B109" s="4">
        <f t="shared" si="15"/>
        <v>13.9</v>
      </c>
      <c r="C109" s="4">
        <f t="shared" si="16"/>
        <v>14.8</v>
      </c>
      <c r="D109" s="4">
        <f t="shared" si="17"/>
        <v>16.7</v>
      </c>
      <c r="E109" s="4">
        <f t="shared" si="18"/>
        <v>17.600000000000001</v>
      </c>
      <c r="F109" s="4">
        <f t="shared" si="19"/>
        <v>21.3</v>
      </c>
      <c r="G109" s="4">
        <f t="shared" si="20"/>
        <v>23.2</v>
      </c>
      <c r="H109">
        <f t="shared" si="21"/>
        <v>25.1</v>
      </c>
      <c r="I109" s="4">
        <f t="shared" si="22"/>
        <v>26</v>
      </c>
      <c r="J109">
        <f t="shared" si="23"/>
        <v>27.8</v>
      </c>
      <c r="K109" s="4">
        <f t="shared" si="24"/>
        <v>28.8</v>
      </c>
      <c r="L109">
        <f t="shared" si="25"/>
        <v>30.6</v>
      </c>
      <c r="M109">
        <f t="shared" si="26"/>
        <v>32.5</v>
      </c>
      <c r="N109">
        <f t="shared" si="27"/>
        <v>34.299999999999997</v>
      </c>
      <c r="P109">
        <f t="shared" si="28"/>
        <v>2.2000000000000002</v>
      </c>
    </row>
    <row r="110" spans="1:16" ht="17.25">
      <c r="A110" s="52" t="s">
        <v>693</v>
      </c>
      <c r="B110" s="4">
        <f t="shared" si="15"/>
        <v>13.9</v>
      </c>
      <c r="C110" s="4">
        <f t="shared" si="16"/>
        <v>14.8</v>
      </c>
      <c r="D110" s="4">
        <f t="shared" si="17"/>
        <v>16.7</v>
      </c>
      <c r="E110" s="4">
        <f t="shared" si="18"/>
        <v>17.600000000000001</v>
      </c>
      <c r="F110" s="4">
        <f t="shared" si="19"/>
        <v>21.3</v>
      </c>
      <c r="G110" s="4">
        <f t="shared" si="20"/>
        <v>23.2</v>
      </c>
      <c r="H110">
        <f t="shared" si="21"/>
        <v>25.1</v>
      </c>
      <c r="I110" s="4">
        <f t="shared" si="22"/>
        <v>26</v>
      </c>
      <c r="J110">
        <f t="shared" si="23"/>
        <v>27.8</v>
      </c>
      <c r="K110" s="4">
        <f t="shared" si="24"/>
        <v>28.8</v>
      </c>
      <c r="L110">
        <f t="shared" si="25"/>
        <v>30.6</v>
      </c>
      <c r="M110">
        <f t="shared" si="26"/>
        <v>32.5</v>
      </c>
      <c r="N110">
        <f t="shared" si="27"/>
        <v>34.299999999999997</v>
      </c>
      <c r="P110">
        <f t="shared" si="28"/>
        <v>2.2000000000000002</v>
      </c>
    </row>
    <row r="111" spans="1:16" ht="17.25">
      <c r="A111" s="52" t="s">
        <v>723</v>
      </c>
      <c r="B111" s="4">
        <f t="shared" si="15"/>
        <v>13.9</v>
      </c>
      <c r="C111" s="4">
        <f t="shared" si="16"/>
        <v>14.8</v>
      </c>
      <c r="D111" s="4">
        <f t="shared" si="17"/>
        <v>16.7</v>
      </c>
      <c r="E111" s="4">
        <f t="shared" si="18"/>
        <v>17.600000000000001</v>
      </c>
      <c r="F111" s="4">
        <f t="shared" si="19"/>
        <v>21.3</v>
      </c>
      <c r="G111" s="4">
        <f t="shared" si="20"/>
        <v>23.2</v>
      </c>
      <c r="H111">
        <f t="shared" si="21"/>
        <v>25.1</v>
      </c>
      <c r="I111" s="4">
        <f t="shared" si="22"/>
        <v>26</v>
      </c>
      <c r="J111">
        <f t="shared" si="23"/>
        <v>27.8</v>
      </c>
      <c r="K111" s="4">
        <f t="shared" si="24"/>
        <v>28.8</v>
      </c>
      <c r="L111">
        <f t="shared" si="25"/>
        <v>30.6</v>
      </c>
      <c r="M111">
        <f t="shared" si="26"/>
        <v>32.5</v>
      </c>
      <c r="N111">
        <f t="shared" si="27"/>
        <v>34.299999999999997</v>
      </c>
      <c r="P111">
        <f t="shared" si="28"/>
        <v>2.2000000000000002</v>
      </c>
    </row>
    <row r="112" spans="1:16" ht="17.25">
      <c r="A112" s="52" t="s">
        <v>709</v>
      </c>
      <c r="B112" s="4">
        <f t="shared" si="15"/>
        <v>13.9</v>
      </c>
      <c r="C112" s="4">
        <f t="shared" si="16"/>
        <v>14.8</v>
      </c>
      <c r="D112" s="4">
        <f t="shared" si="17"/>
        <v>16.7</v>
      </c>
      <c r="E112" s="4">
        <f t="shared" si="18"/>
        <v>17.600000000000001</v>
      </c>
      <c r="F112" s="4">
        <f t="shared" si="19"/>
        <v>21.3</v>
      </c>
      <c r="G112" s="4">
        <f t="shared" si="20"/>
        <v>23.2</v>
      </c>
      <c r="H112">
        <f t="shared" si="21"/>
        <v>25.1</v>
      </c>
      <c r="I112" s="4">
        <f t="shared" si="22"/>
        <v>26</v>
      </c>
      <c r="J112">
        <f t="shared" si="23"/>
        <v>27.8</v>
      </c>
      <c r="K112" s="4">
        <f t="shared" si="24"/>
        <v>28.8</v>
      </c>
      <c r="L112">
        <f t="shared" si="25"/>
        <v>30.6</v>
      </c>
      <c r="M112">
        <f t="shared" si="26"/>
        <v>32.5</v>
      </c>
      <c r="N112">
        <f t="shared" si="27"/>
        <v>34.299999999999997</v>
      </c>
      <c r="P112">
        <f t="shared" si="28"/>
        <v>2.2000000000000002</v>
      </c>
    </row>
    <row r="113" spans="1:16" ht="17.25">
      <c r="A113" s="52" t="s">
        <v>861</v>
      </c>
      <c r="B113" s="4">
        <f t="shared" si="15"/>
        <v>13.9</v>
      </c>
      <c r="C113" s="4">
        <f t="shared" si="16"/>
        <v>14.8</v>
      </c>
      <c r="D113" s="4">
        <f t="shared" si="17"/>
        <v>16.7</v>
      </c>
      <c r="E113" s="4">
        <f t="shared" si="18"/>
        <v>17.600000000000001</v>
      </c>
      <c r="F113" s="4">
        <f t="shared" si="19"/>
        <v>21.3</v>
      </c>
      <c r="G113" s="4">
        <f t="shared" si="20"/>
        <v>23.2</v>
      </c>
      <c r="H113">
        <f t="shared" si="21"/>
        <v>25.1</v>
      </c>
      <c r="I113" s="4">
        <f t="shared" si="22"/>
        <v>26</v>
      </c>
      <c r="J113">
        <f t="shared" si="23"/>
        <v>27.8</v>
      </c>
      <c r="K113" s="4">
        <f t="shared" si="24"/>
        <v>28.8</v>
      </c>
      <c r="L113">
        <f t="shared" si="25"/>
        <v>30.6</v>
      </c>
      <c r="M113">
        <f t="shared" si="26"/>
        <v>32.5</v>
      </c>
      <c r="N113">
        <f t="shared" si="27"/>
        <v>34.299999999999997</v>
      </c>
      <c r="P113">
        <f t="shared" si="28"/>
        <v>2.2000000000000002</v>
      </c>
    </row>
    <row r="114" spans="1:16" ht="17.25">
      <c r="A114" s="52" t="s">
        <v>707</v>
      </c>
      <c r="B114" s="4">
        <f t="shared" si="15"/>
        <v>13.9</v>
      </c>
      <c r="C114" s="4">
        <f t="shared" si="16"/>
        <v>14.8</v>
      </c>
      <c r="D114" s="4">
        <f t="shared" si="17"/>
        <v>16.7</v>
      </c>
      <c r="E114" s="4">
        <f t="shared" si="18"/>
        <v>17.600000000000001</v>
      </c>
      <c r="F114" s="4">
        <f t="shared" si="19"/>
        <v>21.3</v>
      </c>
      <c r="G114" s="4">
        <f t="shared" si="20"/>
        <v>23.2</v>
      </c>
      <c r="H114">
        <f t="shared" si="21"/>
        <v>25.1</v>
      </c>
      <c r="I114" s="4">
        <f t="shared" si="22"/>
        <v>26</v>
      </c>
      <c r="J114">
        <f t="shared" si="23"/>
        <v>27.8</v>
      </c>
      <c r="K114" s="4">
        <f t="shared" si="24"/>
        <v>28.8</v>
      </c>
      <c r="L114">
        <f t="shared" si="25"/>
        <v>30.6</v>
      </c>
      <c r="M114">
        <f t="shared" si="26"/>
        <v>32.5</v>
      </c>
      <c r="N114">
        <f t="shared" si="27"/>
        <v>34.299999999999997</v>
      </c>
      <c r="P114">
        <f t="shared" si="28"/>
        <v>2.2000000000000002</v>
      </c>
    </row>
    <row r="115" spans="1:16" ht="17.25">
      <c r="A115" s="52" t="s">
        <v>845</v>
      </c>
      <c r="B115" s="4">
        <f t="shared" si="15"/>
        <v>13.9</v>
      </c>
      <c r="C115" s="4">
        <f t="shared" si="16"/>
        <v>14.8</v>
      </c>
      <c r="D115" s="4">
        <f t="shared" si="17"/>
        <v>16.7</v>
      </c>
      <c r="E115" s="4">
        <f t="shared" si="18"/>
        <v>17.600000000000001</v>
      </c>
      <c r="F115" s="4">
        <f t="shared" si="19"/>
        <v>21.3</v>
      </c>
      <c r="G115" s="4">
        <f t="shared" si="20"/>
        <v>23.2</v>
      </c>
      <c r="H115">
        <f t="shared" si="21"/>
        <v>25.1</v>
      </c>
      <c r="I115" s="4">
        <f t="shared" si="22"/>
        <v>26</v>
      </c>
      <c r="J115">
        <f t="shared" si="23"/>
        <v>27.8</v>
      </c>
      <c r="K115" s="4">
        <f t="shared" si="24"/>
        <v>28.8</v>
      </c>
      <c r="L115">
        <f t="shared" si="25"/>
        <v>30.6</v>
      </c>
      <c r="M115">
        <f t="shared" si="26"/>
        <v>32.5</v>
      </c>
      <c r="N115">
        <f t="shared" si="27"/>
        <v>34.299999999999997</v>
      </c>
      <c r="P115">
        <f t="shared" si="28"/>
        <v>2.2000000000000002</v>
      </c>
    </row>
    <row r="116" spans="1:16" ht="17.25">
      <c r="A116" s="52" t="s">
        <v>744</v>
      </c>
      <c r="B116" s="4">
        <f t="shared" si="15"/>
        <v>13.9</v>
      </c>
      <c r="C116" s="4">
        <f t="shared" si="16"/>
        <v>14.8</v>
      </c>
      <c r="D116" s="4">
        <f t="shared" si="17"/>
        <v>16.7</v>
      </c>
      <c r="E116" s="4">
        <f t="shared" si="18"/>
        <v>17.600000000000001</v>
      </c>
      <c r="F116" s="4">
        <f t="shared" si="19"/>
        <v>21.3</v>
      </c>
      <c r="G116" s="4">
        <f t="shared" si="20"/>
        <v>23.2</v>
      </c>
      <c r="H116">
        <f t="shared" si="21"/>
        <v>25.1</v>
      </c>
      <c r="I116" s="4">
        <f t="shared" si="22"/>
        <v>26</v>
      </c>
      <c r="J116">
        <f t="shared" si="23"/>
        <v>27.8</v>
      </c>
      <c r="K116" s="4">
        <f t="shared" si="24"/>
        <v>28.8</v>
      </c>
      <c r="L116">
        <f t="shared" si="25"/>
        <v>30.6</v>
      </c>
      <c r="M116">
        <f t="shared" si="26"/>
        <v>32.5</v>
      </c>
      <c r="N116">
        <f t="shared" si="27"/>
        <v>34.299999999999997</v>
      </c>
      <c r="P116">
        <f t="shared" si="28"/>
        <v>2.2000000000000002</v>
      </c>
    </row>
    <row r="117" spans="1:16" ht="17.25">
      <c r="A117" s="52" t="s">
        <v>866</v>
      </c>
      <c r="B117" s="4">
        <f t="shared" si="15"/>
        <v>13.9</v>
      </c>
      <c r="C117" s="4">
        <f t="shared" si="16"/>
        <v>14.8</v>
      </c>
      <c r="D117" s="4">
        <f t="shared" si="17"/>
        <v>16.7</v>
      </c>
      <c r="E117" s="4">
        <f t="shared" si="18"/>
        <v>17.600000000000001</v>
      </c>
      <c r="F117" s="4">
        <f t="shared" si="19"/>
        <v>21.3</v>
      </c>
      <c r="G117" s="4">
        <f t="shared" si="20"/>
        <v>23.2</v>
      </c>
      <c r="H117">
        <f t="shared" si="21"/>
        <v>25.1</v>
      </c>
      <c r="I117" s="4">
        <f t="shared" si="22"/>
        <v>26</v>
      </c>
      <c r="J117">
        <f t="shared" si="23"/>
        <v>27.8</v>
      </c>
      <c r="K117" s="4">
        <f t="shared" si="24"/>
        <v>28.8</v>
      </c>
      <c r="L117">
        <f t="shared" si="25"/>
        <v>30.6</v>
      </c>
      <c r="M117">
        <f t="shared" si="26"/>
        <v>32.5</v>
      </c>
      <c r="N117">
        <f t="shared" si="27"/>
        <v>34.299999999999997</v>
      </c>
      <c r="P117">
        <f t="shared" si="28"/>
        <v>2.2000000000000002</v>
      </c>
    </row>
    <row r="118" spans="1:16" ht="17.25">
      <c r="A118" s="52" t="s">
        <v>751</v>
      </c>
      <c r="B118" s="4">
        <f t="shared" si="15"/>
        <v>13.9</v>
      </c>
      <c r="C118" s="4">
        <f t="shared" si="16"/>
        <v>14.8</v>
      </c>
      <c r="D118" s="4">
        <f t="shared" si="17"/>
        <v>16.7</v>
      </c>
      <c r="E118" s="4">
        <f t="shared" si="18"/>
        <v>17.600000000000001</v>
      </c>
      <c r="F118" s="4">
        <f t="shared" si="19"/>
        <v>21.3</v>
      </c>
      <c r="G118" s="4">
        <f t="shared" si="20"/>
        <v>23.2</v>
      </c>
      <c r="H118">
        <f t="shared" si="21"/>
        <v>25.1</v>
      </c>
      <c r="I118" s="4">
        <f t="shared" si="22"/>
        <v>26</v>
      </c>
      <c r="J118">
        <f t="shared" si="23"/>
        <v>27.8</v>
      </c>
      <c r="K118" s="4">
        <f t="shared" si="24"/>
        <v>28.8</v>
      </c>
      <c r="L118">
        <f t="shared" si="25"/>
        <v>30.6</v>
      </c>
      <c r="M118">
        <f t="shared" si="26"/>
        <v>32.5</v>
      </c>
      <c r="N118">
        <f t="shared" si="27"/>
        <v>34.299999999999997</v>
      </c>
      <c r="P118">
        <f t="shared" si="28"/>
        <v>2.2000000000000002</v>
      </c>
    </row>
    <row r="119" spans="1:16" ht="17.25">
      <c r="A119" s="52" t="s">
        <v>802</v>
      </c>
      <c r="B119" s="4">
        <f t="shared" si="15"/>
        <v>13.9</v>
      </c>
      <c r="C119" s="4">
        <f t="shared" si="16"/>
        <v>14.8</v>
      </c>
      <c r="D119" s="4">
        <f t="shared" si="17"/>
        <v>16.7</v>
      </c>
      <c r="E119" s="4">
        <f t="shared" si="18"/>
        <v>17.600000000000001</v>
      </c>
      <c r="F119" s="4">
        <f t="shared" si="19"/>
        <v>21.3</v>
      </c>
      <c r="G119" s="4">
        <f t="shared" si="20"/>
        <v>23.2</v>
      </c>
      <c r="H119">
        <f t="shared" si="21"/>
        <v>25.1</v>
      </c>
      <c r="I119" s="4">
        <f t="shared" si="22"/>
        <v>26</v>
      </c>
      <c r="J119">
        <f t="shared" si="23"/>
        <v>27.8</v>
      </c>
      <c r="K119" s="4">
        <f t="shared" si="24"/>
        <v>28.8</v>
      </c>
      <c r="L119">
        <f t="shared" si="25"/>
        <v>30.6</v>
      </c>
      <c r="M119">
        <f t="shared" si="26"/>
        <v>32.5</v>
      </c>
      <c r="N119">
        <f t="shared" si="27"/>
        <v>34.299999999999997</v>
      </c>
      <c r="P119">
        <f t="shared" si="28"/>
        <v>2.2000000000000002</v>
      </c>
    </row>
    <row r="120" spans="1:16" ht="12.75">
      <c r="B120" s="47">
        <f t="shared" ref="B120:N120" si="29">$P$120/100*B23</f>
        <v>8.6</v>
      </c>
      <c r="C120" s="47">
        <f t="shared" si="29"/>
        <v>10.75</v>
      </c>
      <c r="D120" s="47">
        <f t="shared" si="29"/>
        <v>12.899999999999999</v>
      </c>
      <c r="E120" s="47">
        <f t="shared" si="29"/>
        <v>15.049999999999999</v>
      </c>
      <c r="F120" s="47">
        <f t="shared" si="29"/>
        <v>17.2</v>
      </c>
      <c r="G120" s="47">
        <f t="shared" si="29"/>
        <v>19.349999999999998</v>
      </c>
      <c r="H120" s="47">
        <f t="shared" si="29"/>
        <v>21.5</v>
      </c>
      <c r="I120" s="47">
        <f t="shared" si="29"/>
        <v>23.65</v>
      </c>
      <c r="J120" s="47">
        <f t="shared" si="29"/>
        <v>25.799999999999997</v>
      </c>
      <c r="K120" s="47">
        <f t="shared" si="29"/>
        <v>27.95</v>
      </c>
      <c r="L120" s="47">
        <f t="shared" si="29"/>
        <v>30.099999999999998</v>
      </c>
      <c r="M120" s="47">
        <f t="shared" si="29"/>
        <v>32.25</v>
      </c>
      <c r="N120" s="47">
        <f t="shared" si="29"/>
        <v>34.4</v>
      </c>
      <c r="O120" s="47"/>
      <c r="P120" s="47">
        <v>4.3</v>
      </c>
    </row>
    <row r="121" spans="1:16" ht="12.75">
      <c r="A121" s="1"/>
      <c r="B121" s="1"/>
      <c r="D121" s="1"/>
      <c r="E121" s="1"/>
    </row>
    <row r="122" spans="1:16" ht="12.75">
      <c r="A122" s="1"/>
      <c r="B122" s="1"/>
      <c r="E122" s="1"/>
    </row>
    <row r="123" spans="1:16" ht="12.75">
      <c r="A123" s="1"/>
      <c r="B123" s="1"/>
      <c r="E123" s="1"/>
    </row>
    <row r="124" spans="1:16" ht="12.75">
      <c r="A124" s="1"/>
      <c r="B124" s="1"/>
      <c r="E124" s="1"/>
    </row>
    <row r="125" spans="1:16" ht="12.75">
      <c r="A125" s="1"/>
      <c r="B125" s="1"/>
      <c r="E125" s="1"/>
    </row>
    <row r="126" spans="1:16" ht="12.75">
      <c r="A126" s="1"/>
      <c r="B126" s="1"/>
      <c r="E126" s="1"/>
    </row>
    <row r="127" spans="1:16" ht="12.75">
      <c r="A127" s="1"/>
      <c r="B127" s="1"/>
      <c r="E127" s="1"/>
    </row>
    <row r="128" spans="1:16" ht="12.75">
      <c r="A128" s="1"/>
      <c r="B128" s="1"/>
      <c r="E128" s="1"/>
    </row>
    <row r="129" spans="1:5" ht="12.75">
      <c r="A129" s="1"/>
      <c r="B129" s="1"/>
      <c r="E129" s="1"/>
    </row>
    <row r="130" spans="1:5" ht="12.75">
      <c r="A130" s="1"/>
      <c r="B130" s="1"/>
      <c r="E130" s="1"/>
    </row>
    <row r="131" spans="1:5" ht="12.75">
      <c r="A131" s="1"/>
      <c r="B131" s="1"/>
      <c r="E131" s="1"/>
    </row>
    <row r="132" spans="1:5" ht="12.75">
      <c r="A132" s="1"/>
      <c r="B132" s="1"/>
      <c r="E132" s="1"/>
    </row>
    <row r="133" spans="1:5" ht="12.75">
      <c r="A133" s="1"/>
      <c r="B133" s="1"/>
      <c r="E133" s="1"/>
    </row>
    <row r="134" spans="1:5" ht="12.75">
      <c r="A134" s="1"/>
    </row>
    <row r="135" spans="1:5" ht="12.75">
      <c r="A135" s="1"/>
    </row>
    <row r="136" spans="1:5" ht="12.75">
      <c r="A136" s="1"/>
    </row>
    <row r="137" spans="1:5" ht="12.75">
      <c r="A137" s="1"/>
    </row>
    <row r="138" spans="1:5" ht="12.75">
      <c r="A138" s="1"/>
    </row>
    <row r="139" spans="1:5" ht="12.75">
      <c r="A139" s="1"/>
    </row>
    <row r="140" spans="1:5" ht="12.75">
      <c r="A140" s="1"/>
    </row>
    <row r="141" spans="1:5" ht="12.75">
      <c r="A141" s="1"/>
    </row>
    <row r="142" spans="1:5" ht="12.75">
      <c r="A142" s="1"/>
    </row>
    <row r="143" spans="1:5" ht="12.75">
      <c r="A143" s="1"/>
    </row>
    <row r="144" spans="1:5" ht="12.75">
      <c r="A144" s="1"/>
    </row>
    <row r="145" spans="1:1" ht="12.75">
      <c r="A145" s="1"/>
    </row>
    <row r="146" spans="1:1" ht="12.75">
      <c r="A146" s="1"/>
    </row>
    <row r="147" spans="1:1" ht="12.75">
      <c r="A147" s="1"/>
    </row>
    <row r="148" spans="1:1" ht="12.75">
      <c r="A148" s="1"/>
    </row>
    <row r="149" spans="1:1" ht="12.75">
      <c r="A149" s="1"/>
    </row>
    <row r="150" spans="1:1" ht="12.75">
      <c r="A150" s="1"/>
    </row>
    <row r="151" spans="1:1" ht="12.75">
      <c r="A151" s="1"/>
    </row>
    <row r="152" spans="1:1" ht="12.75">
      <c r="A152" s="1"/>
    </row>
    <row r="153" spans="1:1" ht="12.75">
      <c r="A153" s="1"/>
    </row>
    <row r="154" spans="1:1" ht="12.75">
      <c r="A154" s="1"/>
    </row>
    <row r="155" spans="1:1" ht="12.75">
      <c r="A155" s="1"/>
    </row>
    <row r="156" spans="1:1" ht="12.75">
      <c r="A156" s="1"/>
    </row>
    <row r="157" spans="1:1" ht="12.75">
      <c r="A157" s="1"/>
    </row>
    <row r="158" spans="1:1" ht="12.75">
      <c r="A158" s="1"/>
    </row>
    <row r="159" spans="1:1" ht="12.75">
      <c r="A159" s="1"/>
    </row>
    <row r="160" spans="1:1" ht="12.75">
      <c r="A160" s="1"/>
    </row>
    <row r="161" spans="1:1" ht="12.75">
      <c r="A161" s="1"/>
    </row>
    <row r="162" spans="1:1" ht="12.75">
      <c r="A162" s="1"/>
    </row>
    <row r="163" spans="1:1" ht="12.75">
      <c r="A163" s="1"/>
    </row>
    <row r="164" spans="1:1" ht="12.75">
      <c r="A164" s="1"/>
    </row>
    <row r="165" spans="1:1" ht="12.75">
      <c r="A165" s="1"/>
    </row>
    <row r="166" spans="1:1" ht="12.75">
      <c r="A166" s="1"/>
    </row>
    <row r="167" spans="1:1" ht="12.75">
      <c r="A167" s="1"/>
    </row>
    <row r="168" spans="1:1" ht="12.75">
      <c r="A168" s="1"/>
    </row>
    <row r="169" spans="1:1" ht="12.75">
      <c r="A169" s="1"/>
    </row>
    <row r="170" spans="1:1" ht="12.75">
      <c r="A170" s="1"/>
    </row>
    <row r="171" spans="1:1" ht="12.75">
      <c r="A171" s="1"/>
    </row>
    <row r="172" spans="1:1" ht="12.75">
      <c r="A172" s="1"/>
    </row>
    <row r="173" spans="1:1" ht="12.75">
      <c r="A173" s="1"/>
    </row>
    <row r="174" spans="1:1" ht="12.75">
      <c r="A174" s="1"/>
    </row>
    <row r="175" spans="1:1" ht="12.75">
      <c r="A175" s="1"/>
    </row>
    <row r="176" spans="1:1" ht="12.75">
      <c r="A176" s="1"/>
    </row>
    <row r="177" spans="1:1" ht="12.75">
      <c r="A177" s="1"/>
    </row>
    <row r="178" spans="1:1" ht="12.75">
      <c r="A178" s="1"/>
    </row>
    <row r="179" spans="1:1" ht="12.75">
      <c r="A179" s="1"/>
    </row>
    <row r="180" spans="1:1" ht="12.75">
      <c r="A180" s="1"/>
    </row>
    <row r="181" spans="1:1" ht="12.75">
      <c r="A181" s="1"/>
    </row>
    <row r="182" spans="1:1" ht="12.75">
      <c r="A182" s="1"/>
    </row>
    <row r="183" spans="1:1" ht="12.75">
      <c r="A183" s="1"/>
    </row>
    <row r="184" spans="1:1" ht="12.75">
      <c r="A184" s="1"/>
    </row>
    <row r="185" spans="1:1" ht="12.75">
      <c r="A185" s="1"/>
    </row>
    <row r="186" spans="1:1" ht="12.75">
      <c r="A186" s="1"/>
    </row>
    <row r="187" spans="1:1" ht="12.75">
      <c r="A187" s="1"/>
    </row>
    <row r="188" spans="1:1" ht="12.75">
      <c r="A188" s="1"/>
    </row>
    <row r="189" spans="1:1" ht="12.75">
      <c r="A189" s="1"/>
    </row>
    <row r="190" spans="1:1" ht="12.75">
      <c r="A190" s="1"/>
    </row>
    <row r="191" spans="1:1" ht="12.75">
      <c r="A191" s="1"/>
    </row>
    <row r="192" spans="1:1" ht="12.75">
      <c r="A192" s="1"/>
    </row>
    <row r="193" spans="1:1" ht="12.75">
      <c r="A193" s="1"/>
    </row>
    <row r="194" spans="1:1" ht="12.75">
      <c r="A194" s="1"/>
    </row>
    <row r="195" spans="1:1" ht="12.75">
      <c r="A195" s="1"/>
    </row>
    <row r="196" spans="1:1" ht="12.75">
      <c r="A196" s="1"/>
    </row>
    <row r="197" spans="1:1" ht="12.75">
      <c r="A197" s="1"/>
    </row>
    <row r="198" spans="1:1" ht="12.75">
      <c r="A198" s="1"/>
    </row>
    <row r="199" spans="1:1" ht="12.75">
      <c r="A199" s="1"/>
    </row>
    <row r="200" spans="1:1" ht="12.75">
      <c r="A200" s="1"/>
    </row>
    <row r="201" spans="1:1" ht="12.75">
      <c r="A201" s="1"/>
    </row>
    <row r="202" spans="1:1" ht="12.75">
      <c r="A202" s="1"/>
    </row>
    <row r="203" spans="1:1" ht="12.75">
      <c r="A203" s="1"/>
    </row>
    <row r="204" spans="1:1" ht="12.75">
      <c r="A204" s="1"/>
    </row>
    <row r="205" spans="1:1" ht="12.75">
      <c r="A205" s="1"/>
    </row>
    <row r="206" spans="1:1" ht="12.75">
      <c r="A206" s="1"/>
    </row>
    <row r="207" spans="1:1" ht="12.75">
      <c r="A207" s="1"/>
    </row>
    <row r="208" spans="1:1" ht="12.75">
      <c r="A208" s="1"/>
    </row>
    <row r="209" spans="1:1" ht="12.75">
      <c r="A209" s="1"/>
    </row>
    <row r="210" spans="1:1" ht="12.75">
      <c r="A210" s="1"/>
    </row>
    <row r="211" spans="1:1" ht="12.75">
      <c r="A211" s="1"/>
    </row>
    <row r="212" spans="1:1" ht="12.75">
      <c r="A212" s="1"/>
    </row>
    <row r="213" spans="1:1" ht="12.75">
      <c r="A213" s="1"/>
    </row>
    <row r="214" spans="1:1" ht="12.75">
      <c r="A214" s="1"/>
    </row>
    <row r="215" spans="1:1" ht="12.75">
      <c r="A215" s="1"/>
    </row>
    <row r="216" spans="1:1" ht="12.75">
      <c r="A216" s="1"/>
    </row>
    <row r="217" spans="1:1" ht="12.75">
      <c r="A217" s="1"/>
    </row>
    <row r="218" spans="1:1" ht="12.75">
      <c r="A218" s="1"/>
    </row>
    <row r="219" spans="1:1" ht="12.75">
      <c r="A219" s="1"/>
    </row>
    <row r="220" spans="1:1" ht="12.75">
      <c r="A220" s="1"/>
    </row>
    <row r="221" spans="1:1" ht="12.75">
      <c r="A221" s="1"/>
    </row>
    <row r="222" spans="1:1" ht="12.75">
      <c r="A222" s="1"/>
    </row>
    <row r="223" spans="1:1" ht="12.75">
      <c r="A223" s="1"/>
    </row>
    <row r="224" spans="1:1" ht="12.75">
      <c r="A224" s="1"/>
    </row>
    <row r="225" spans="1:1" ht="12.75">
      <c r="A225" s="1"/>
    </row>
    <row r="226" spans="1:1" ht="12.75">
      <c r="A226" s="1"/>
    </row>
    <row r="227" spans="1:1" ht="12.75">
      <c r="A227" s="1"/>
    </row>
  </sheetData>
  <hyperlinks>
    <hyperlink ref="A25" r:id="rId1" xr:uid="{00000000-0004-0000-0C00-000000000000}"/>
    <hyperlink ref="A26" r:id="rId2" xr:uid="{00000000-0004-0000-0C00-000001000000}"/>
    <hyperlink ref="A27" r:id="rId3" xr:uid="{00000000-0004-0000-0C00-000002000000}"/>
    <hyperlink ref="A28" r:id="rId4" xr:uid="{00000000-0004-0000-0C00-000003000000}"/>
    <hyperlink ref="A29" r:id="rId5" xr:uid="{00000000-0004-0000-0C00-000004000000}"/>
    <hyperlink ref="A30" r:id="rId6" xr:uid="{00000000-0004-0000-0C00-000005000000}"/>
    <hyperlink ref="A31" r:id="rId7" xr:uid="{00000000-0004-0000-0C00-000006000000}"/>
    <hyperlink ref="A32" r:id="rId8" xr:uid="{00000000-0004-0000-0C00-000007000000}"/>
    <hyperlink ref="A33" r:id="rId9" xr:uid="{00000000-0004-0000-0C00-000008000000}"/>
    <hyperlink ref="A34" r:id="rId10" xr:uid="{00000000-0004-0000-0C00-000009000000}"/>
    <hyperlink ref="A35" r:id="rId11" xr:uid="{00000000-0004-0000-0C00-00000A000000}"/>
    <hyperlink ref="A36" r:id="rId12" xr:uid="{00000000-0004-0000-0C00-00000B000000}"/>
    <hyperlink ref="A37" r:id="rId13" xr:uid="{00000000-0004-0000-0C00-00000C000000}"/>
    <hyperlink ref="A38" r:id="rId14" xr:uid="{00000000-0004-0000-0C00-00000D000000}"/>
    <hyperlink ref="A39" r:id="rId15" xr:uid="{00000000-0004-0000-0C00-00000E000000}"/>
    <hyperlink ref="A40" r:id="rId16" xr:uid="{00000000-0004-0000-0C00-00000F000000}"/>
    <hyperlink ref="A41" r:id="rId17" xr:uid="{00000000-0004-0000-0C00-000010000000}"/>
    <hyperlink ref="A42" r:id="rId18" xr:uid="{00000000-0004-0000-0C00-000011000000}"/>
    <hyperlink ref="A43" r:id="rId19" xr:uid="{00000000-0004-0000-0C00-000012000000}"/>
    <hyperlink ref="A44" r:id="rId20" xr:uid="{00000000-0004-0000-0C00-000013000000}"/>
    <hyperlink ref="A45" r:id="rId21" xr:uid="{00000000-0004-0000-0C00-000014000000}"/>
    <hyperlink ref="A46" r:id="rId22" xr:uid="{00000000-0004-0000-0C00-000015000000}"/>
    <hyperlink ref="A47" r:id="rId23" xr:uid="{00000000-0004-0000-0C00-000016000000}"/>
    <hyperlink ref="A48" r:id="rId24" xr:uid="{00000000-0004-0000-0C00-000017000000}"/>
    <hyperlink ref="A49" r:id="rId25" xr:uid="{00000000-0004-0000-0C00-000018000000}"/>
    <hyperlink ref="A50" r:id="rId26" xr:uid="{00000000-0004-0000-0C00-000019000000}"/>
    <hyperlink ref="A51" r:id="rId27" xr:uid="{00000000-0004-0000-0C00-00001A000000}"/>
    <hyperlink ref="A52" r:id="rId28" xr:uid="{00000000-0004-0000-0C00-00001B000000}"/>
    <hyperlink ref="A53" r:id="rId29" xr:uid="{00000000-0004-0000-0C00-00001C000000}"/>
    <hyperlink ref="A54" r:id="rId30" xr:uid="{00000000-0004-0000-0C00-00001D000000}"/>
    <hyperlink ref="A55" r:id="rId31" xr:uid="{00000000-0004-0000-0C00-00001E000000}"/>
    <hyperlink ref="A56" r:id="rId32" xr:uid="{00000000-0004-0000-0C00-00001F000000}"/>
    <hyperlink ref="A57" r:id="rId33" xr:uid="{00000000-0004-0000-0C00-000020000000}"/>
    <hyperlink ref="A58" r:id="rId34" xr:uid="{00000000-0004-0000-0C00-000021000000}"/>
    <hyperlink ref="A59" r:id="rId35" xr:uid="{00000000-0004-0000-0C00-000022000000}"/>
    <hyperlink ref="A60" r:id="rId36" xr:uid="{00000000-0004-0000-0C00-000023000000}"/>
    <hyperlink ref="A61" r:id="rId37" xr:uid="{00000000-0004-0000-0C00-000024000000}"/>
    <hyperlink ref="A62" r:id="rId38" xr:uid="{00000000-0004-0000-0C00-000025000000}"/>
    <hyperlink ref="A63" r:id="rId39" xr:uid="{00000000-0004-0000-0C00-000026000000}"/>
    <hyperlink ref="A64" r:id="rId40" xr:uid="{00000000-0004-0000-0C00-000027000000}"/>
    <hyperlink ref="A65" r:id="rId41" xr:uid="{00000000-0004-0000-0C00-000028000000}"/>
    <hyperlink ref="A66" r:id="rId42" xr:uid="{00000000-0004-0000-0C00-000029000000}"/>
    <hyperlink ref="A67" r:id="rId43" xr:uid="{00000000-0004-0000-0C00-00002A000000}"/>
    <hyperlink ref="A68" r:id="rId44" xr:uid="{00000000-0004-0000-0C00-00002B000000}"/>
    <hyperlink ref="A69" r:id="rId45" xr:uid="{00000000-0004-0000-0C00-00002C000000}"/>
    <hyperlink ref="A70" r:id="rId46" xr:uid="{00000000-0004-0000-0C00-00002D000000}"/>
    <hyperlink ref="A71" r:id="rId47" xr:uid="{00000000-0004-0000-0C00-00002E000000}"/>
    <hyperlink ref="A72" r:id="rId48" xr:uid="{00000000-0004-0000-0C00-00002F000000}"/>
    <hyperlink ref="A73" r:id="rId49" xr:uid="{00000000-0004-0000-0C00-000030000000}"/>
    <hyperlink ref="A74" r:id="rId50" xr:uid="{00000000-0004-0000-0C00-000031000000}"/>
    <hyperlink ref="A75" r:id="rId51" xr:uid="{00000000-0004-0000-0C00-000032000000}"/>
    <hyperlink ref="A76" r:id="rId52" xr:uid="{00000000-0004-0000-0C00-000033000000}"/>
    <hyperlink ref="A77" r:id="rId53" xr:uid="{00000000-0004-0000-0C00-000034000000}"/>
    <hyperlink ref="A78" r:id="rId54" xr:uid="{00000000-0004-0000-0C00-000035000000}"/>
    <hyperlink ref="A79" r:id="rId55" xr:uid="{00000000-0004-0000-0C00-000036000000}"/>
    <hyperlink ref="A80" r:id="rId56" xr:uid="{00000000-0004-0000-0C00-000037000000}"/>
    <hyperlink ref="A81" r:id="rId57" xr:uid="{00000000-0004-0000-0C00-000038000000}"/>
    <hyperlink ref="A82" r:id="rId58" xr:uid="{00000000-0004-0000-0C00-000039000000}"/>
    <hyperlink ref="A83" r:id="rId59" xr:uid="{00000000-0004-0000-0C00-00003A000000}"/>
    <hyperlink ref="A84" r:id="rId60" xr:uid="{00000000-0004-0000-0C00-00003B000000}"/>
    <hyperlink ref="A85" r:id="rId61" xr:uid="{00000000-0004-0000-0C00-00003C000000}"/>
    <hyperlink ref="A86" r:id="rId62" xr:uid="{00000000-0004-0000-0C00-00003D000000}"/>
    <hyperlink ref="A87" r:id="rId63" xr:uid="{00000000-0004-0000-0C00-00003E000000}"/>
    <hyperlink ref="A88" r:id="rId64" xr:uid="{00000000-0004-0000-0C00-00003F000000}"/>
    <hyperlink ref="A89" r:id="rId65" xr:uid="{00000000-0004-0000-0C00-000040000000}"/>
    <hyperlink ref="A90" r:id="rId66" xr:uid="{00000000-0004-0000-0C00-000041000000}"/>
    <hyperlink ref="A91" r:id="rId67" xr:uid="{00000000-0004-0000-0C00-000042000000}"/>
    <hyperlink ref="A92" r:id="rId68" xr:uid="{00000000-0004-0000-0C00-000043000000}"/>
    <hyperlink ref="A93" r:id="rId69" xr:uid="{00000000-0004-0000-0C00-000044000000}"/>
    <hyperlink ref="A94" r:id="rId70" xr:uid="{00000000-0004-0000-0C00-000045000000}"/>
    <hyperlink ref="A95" r:id="rId71" xr:uid="{00000000-0004-0000-0C00-000046000000}"/>
    <hyperlink ref="A96" r:id="rId72" xr:uid="{00000000-0004-0000-0C00-000047000000}"/>
    <hyperlink ref="A97" r:id="rId73" xr:uid="{00000000-0004-0000-0C00-000048000000}"/>
    <hyperlink ref="A98" r:id="rId74" xr:uid="{00000000-0004-0000-0C00-000049000000}"/>
    <hyperlink ref="A99" r:id="rId75" xr:uid="{00000000-0004-0000-0C00-00004A000000}"/>
    <hyperlink ref="A100" r:id="rId76" xr:uid="{00000000-0004-0000-0C00-00004B000000}"/>
    <hyperlink ref="A101" r:id="rId77" xr:uid="{00000000-0004-0000-0C00-00004C000000}"/>
    <hyperlink ref="A102" r:id="rId78" xr:uid="{00000000-0004-0000-0C00-00004D000000}"/>
    <hyperlink ref="A103" r:id="rId79" xr:uid="{00000000-0004-0000-0C00-00004E000000}"/>
    <hyperlink ref="A104" r:id="rId80" xr:uid="{00000000-0004-0000-0C00-00004F000000}"/>
    <hyperlink ref="A105" r:id="rId81" xr:uid="{00000000-0004-0000-0C00-000050000000}"/>
    <hyperlink ref="A106" r:id="rId82" xr:uid="{00000000-0004-0000-0C00-000051000000}"/>
    <hyperlink ref="A107" r:id="rId83" xr:uid="{00000000-0004-0000-0C00-000052000000}"/>
    <hyperlink ref="A108" r:id="rId84" xr:uid="{00000000-0004-0000-0C00-000053000000}"/>
    <hyperlink ref="A109" r:id="rId85" xr:uid="{00000000-0004-0000-0C00-000054000000}"/>
    <hyperlink ref="A110" r:id="rId86" xr:uid="{00000000-0004-0000-0C00-000055000000}"/>
    <hyperlink ref="A111" r:id="rId87" xr:uid="{00000000-0004-0000-0C00-000056000000}"/>
    <hyperlink ref="A112" r:id="rId88" xr:uid="{00000000-0004-0000-0C00-000057000000}"/>
    <hyperlink ref="A113" r:id="rId89" xr:uid="{00000000-0004-0000-0C00-000058000000}"/>
    <hyperlink ref="A114" r:id="rId90" xr:uid="{00000000-0004-0000-0C00-000059000000}"/>
    <hyperlink ref="A115" r:id="rId91" xr:uid="{00000000-0004-0000-0C00-00005A000000}"/>
    <hyperlink ref="A116" r:id="rId92" xr:uid="{00000000-0004-0000-0C00-00005B000000}"/>
    <hyperlink ref="A117" r:id="rId93" xr:uid="{00000000-0004-0000-0C00-00005C000000}"/>
    <hyperlink ref="A118" r:id="rId94" xr:uid="{00000000-0004-0000-0C00-00005D000000}"/>
    <hyperlink ref="A119" r:id="rId95" xr:uid="{00000000-0004-0000-0C00-00005E000000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A252"/>
  <sheetViews>
    <sheetView workbookViewId="0"/>
  </sheetViews>
  <sheetFormatPr defaultColWidth="14.42578125" defaultRowHeight="15.75" customHeight="1"/>
  <cols>
    <col min="1" max="1" width="33" customWidth="1"/>
    <col min="5" max="5" width="20.42578125" customWidth="1"/>
    <col min="6" max="6" width="18.85546875" customWidth="1"/>
    <col min="7" max="7" width="16" customWidth="1"/>
    <col min="8" max="8" width="22.140625" customWidth="1"/>
    <col min="9" max="9" width="29.140625" customWidth="1"/>
    <col min="10" max="10" width="28.7109375" customWidth="1"/>
  </cols>
  <sheetData>
    <row r="1" spans="1:27" ht="15.75" customHeight="1">
      <c r="A1" s="49" t="s">
        <v>641</v>
      </c>
      <c r="B1" s="91" t="s">
        <v>642</v>
      </c>
      <c r="C1" s="90"/>
      <c r="D1" s="90"/>
      <c r="E1" s="49" t="s">
        <v>643</v>
      </c>
      <c r="F1" s="49" t="s">
        <v>644</v>
      </c>
      <c r="G1" s="49" t="s">
        <v>645</v>
      </c>
      <c r="H1" s="49" t="s">
        <v>646</v>
      </c>
      <c r="I1" s="49"/>
      <c r="J1" s="49" t="s">
        <v>647</v>
      </c>
      <c r="K1" s="50"/>
      <c r="L1" s="50"/>
      <c r="M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</row>
    <row r="2" spans="1:27" ht="15.75" customHeight="1">
      <c r="A2" s="51" t="s">
        <v>82</v>
      </c>
      <c r="B2" s="89" t="s">
        <v>648</v>
      </c>
      <c r="C2" s="90"/>
      <c r="D2" s="90"/>
      <c r="E2" s="10">
        <v>42959</v>
      </c>
      <c r="F2" s="1">
        <v>2055</v>
      </c>
      <c r="G2" s="1">
        <v>1400</v>
      </c>
      <c r="H2">
        <f t="shared" ref="H2:H20" si="0">F2-G2</f>
        <v>655</v>
      </c>
      <c r="I2" s="1"/>
      <c r="L2" s="1"/>
      <c r="M2" s="1"/>
      <c r="O2" s="1">
        <v>1</v>
      </c>
      <c r="P2" s="1">
        <v>1400</v>
      </c>
      <c r="R2" s="1">
        <v>1</v>
      </c>
      <c r="S2" s="1">
        <v>2000</v>
      </c>
    </row>
    <row r="3" spans="1:27" ht="15.75" customHeight="1">
      <c r="A3" s="51" t="s">
        <v>235</v>
      </c>
      <c r="B3" s="89" t="s">
        <v>649</v>
      </c>
      <c r="C3" s="90"/>
      <c r="D3" s="90"/>
      <c r="E3" s="10">
        <v>42959</v>
      </c>
      <c r="F3" s="1">
        <v>1518</v>
      </c>
      <c r="G3" s="1">
        <v>1000</v>
      </c>
      <c r="H3">
        <f t="shared" si="0"/>
        <v>518</v>
      </c>
      <c r="J3" s="1">
        <v>700</v>
      </c>
      <c r="K3">
        <f>G3+J3</f>
        <v>1700</v>
      </c>
      <c r="L3" s="1"/>
      <c r="M3" s="1"/>
      <c r="O3" s="1">
        <v>2</v>
      </c>
      <c r="P3" s="1">
        <v>1700</v>
      </c>
      <c r="R3" s="1">
        <v>2</v>
      </c>
      <c r="S3" s="1">
        <v>2000</v>
      </c>
    </row>
    <row r="4" spans="1:27" ht="15.75" customHeight="1">
      <c r="A4" s="51" t="s">
        <v>54</v>
      </c>
      <c r="B4" s="89" t="s">
        <v>650</v>
      </c>
      <c r="C4" s="90"/>
      <c r="D4" s="90"/>
      <c r="E4" s="10">
        <v>42959</v>
      </c>
      <c r="F4" s="1">
        <v>1856</v>
      </c>
      <c r="G4" s="1">
        <v>1500</v>
      </c>
      <c r="H4">
        <f t="shared" si="0"/>
        <v>356</v>
      </c>
      <c r="K4">
        <f>G4+1500</f>
        <v>3000</v>
      </c>
      <c r="L4" s="1"/>
      <c r="M4" s="1"/>
      <c r="O4" s="1">
        <v>3</v>
      </c>
      <c r="P4" s="1">
        <v>1500</v>
      </c>
      <c r="R4" s="1">
        <v>3</v>
      </c>
      <c r="S4" s="1">
        <v>2000</v>
      </c>
    </row>
    <row r="5" spans="1:27" ht="15.75" customHeight="1">
      <c r="A5" s="51" t="s">
        <v>81</v>
      </c>
      <c r="B5" s="89" t="s">
        <v>651</v>
      </c>
      <c r="C5" s="90"/>
      <c r="D5" s="90"/>
      <c r="E5" s="10">
        <v>42959</v>
      </c>
      <c r="F5" s="1">
        <v>1531</v>
      </c>
      <c r="G5" s="1">
        <v>1200</v>
      </c>
      <c r="H5">
        <f t="shared" si="0"/>
        <v>331</v>
      </c>
      <c r="I5" s="1"/>
      <c r="L5" s="1"/>
      <c r="M5" s="1"/>
      <c r="O5" s="1">
        <v>4</v>
      </c>
      <c r="P5" s="1">
        <v>1200</v>
      </c>
      <c r="R5" s="1">
        <v>4</v>
      </c>
      <c r="S5" s="1">
        <v>2000</v>
      </c>
    </row>
    <row r="6" spans="1:27" ht="15.75" customHeight="1">
      <c r="A6" s="51" t="s">
        <v>234</v>
      </c>
      <c r="B6" s="89" t="s">
        <v>652</v>
      </c>
      <c r="C6" s="90"/>
      <c r="D6" s="90"/>
      <c r="E6" s="10">
        <v>42959</v>
      </c>
      <c r="F6" s="1">
        <v>1623</v>
      </c>
      <c r="G6" s="1">
        <v>1300</v>
      </c>
      <c r="H6">
        <f t="shared" si="0"/>
        <v>323</v>
      </c>
      <c r="L6" s="1"/>
      <c r="M6" s="1"/>
      <c r="O6" s="1">
        <v>5</v>
      </c>
      <c r="P6" s="1">
        <v>1300</v>
      </c>
      <c r="R6" s="1">
        <v>5</v>
      </c>
      <c r="S6" s="1">
        <v>2000</v>
      </c>
    </row>
    <row r="7" spans="1:27" ht="15.75" customHeight="1">
      <c r="A7" s="51" t="s">
        <v>238</v>
      </c>
      <c r="B7" s="89" t="s">
        <v>653</v>
      </c>
      <c r="C7" s="90"/>
      <c r="D7" s="90"/>
      <c r="E7" s="10">
        <v>42959</v>
      </c>
      <c r="F7" s="1">
        <v>1446</v>
      </c>
      <c r="G7" s="1">
        <v>1125</v>
      </c>
      <c r="H7">
        <f t="shared" si="0"/>
        <v>321</v>
      </c>
      <c r="J7" s="1">
        <v>375</v>
      </c>
      <c r="K7">
        <f>G7+J7</f>
        <v>1500</v>
      </c>
      <c r="L7" s="1"/>
      <c r="M7" s="1"/>
      <c r="O7" s="1">
        <v>6</v>
      </c>
      <c r="P7" s="1">
        <v>1500</v>
      </c>
      <c r="R7" s="1">
        <v>6</v>
      </c>
      <c r="S7" s="1">
        <v>2000</v>
      </c>
    </row>
    <row r="8" spans="1:27" ht="15.75" customHeight="1">
      <c r="A8" s="51" t="s">
        <v>45</v>
      </c>
      <c r="B8" s="89" t="s">
        <v>655</v>
      </c>
      <c r="C8" s="90"/>
      <c r="D8" s="90"/>
      <c r="E8" s="10">
        <v>42959</v>
      </c>
      <c r="F8" s="1">
        <v>1359</v>
      </c>
      <c r="G8" s="1">
        <v>1080</v>
      </c>
      <c r="H8">
        <f t="shared" si="0"/>
        <v>279</v>
      </c>
      <c r="K8">
        <f>G8+1500</f>
        <v>2580</v>
      </c>
      <c r="L8" s="1"/>
      <c r="M8" s="1"/>
      <c r="O8" s="1">
        <v>7</v>
      </c>
      <c r="P8" s="1">
        <v>1080</v>
      </c>
      <c r="R8" s="1">
        <v>7</v>
      </c>
      <c r="S8" s="1">
        <v>2000</v>
      </c>
    </row>
    <row r="9" spans="1:27" ht="15.75" customHeight="1">
      <c r="A9" s="51" t="s">
        <v>208</v>
      </c>
      <c r="B9" s="89" t="s">
        <v>656</v>
      </c>
      <c r="C9" s="90"/>
      <c r="D9" s="90"/>
      <c r="E9" s="10">
        <v>42959</v>
      </c>
      <c r="F9" s="1">
        <v>1465</v>
      </c>
      <c r="G9" s="1">
        <v>1200</v>
      </c>
      <c r="H9">
        <f t="shared" si="0"/>
        <v>265</v>
      </c>
      <c r="L9" s="1"/>
      <c r="M9" s="1"/>
      <c r="O9" s="1">
        <v>8</v>
      </c>
      <c r="P9" s="1">
        <v>1200</v>
      </c>
      <c r="R9" s="1">
        <v>8</v>
      </c>
      <c r="S9" s="1">
        <v>2000</v>
      </c>
    </row>
    <row r="10" spans="1:27" ht="15.75" customHeight="1">
      <c r="A10" s="51" t="s">
        <v>216</v>
      </c>
      <c r="B10" s="89" t="s">
        <v>657</v>
      </c>
      <c r="C10" s="90"/>
      <c r="D10" s="90"/>
      <c r="E10" s="10">
        <v>42959</v>
      </c>
      <c r="F10" s="1">
        <v>1262</v>
      </c>
      <c r="G10" s="1">
        <v>1050</v>
      </c>
      <c r="H10">
        <f t="shared" si="0"/>
        <v>212</v>
      </c>
      <c r="L10" s="1"/>
      <c r="M10" s="1"/>
      <c r="O10" s="1">
        <v>9</v>
      </c>
      <c r="P10" s="1">
        <v>1050</v>
      </c>
      <c r="R10" s="1">
        <v>9</v>
      </c>
      <c r="S10" s="1">
        <v>2000</v>
      </c>
    </row>
    <row r="11" spans="1:27" ht="15.75" customHeight="1">
      <c r="A11" s="51" t="s">
        <v>225</v>
      </c>
      <c r="B11" s="89" t="s">
        <v>658</v>
      </c>
      <c r="C11" s="90"/>
      <c r="D11" s="90"/>
      <c r="E11" s="10">
        <v>42959</v>
      </c>
      <c r="F11" s="1">
        <v>1348</v>
      </c>
      <c r="G11" s="1">
        <v>1175</v>
      </c>
      <c r="H11">
        <f t="shared" si="0"/>
        <v>173</v>
      </c>
      <c r="J11" s="1">
        <v>325</v>
      </c>
      <c r="K11">
        <f>G11+J11</f>
        <v>1500</v>
      </c>
      <c r="L11" s="1"/>
      <c r="M11" s="1"/>
      <c r="O11" s="1">
        <v>10</v>
      </c>
      <c r="P11" s="1">
        <v>1500</v>
      </c>
      <c r="R11" s="1">
        <v>10</v>
      </c>
      <c r="S11" s="1">
        <v>2000</v>
      </c>
    </row>
    <row r="12" spans="1:27" ht="15.75" customHeight="1">
      <c r="A12" s="51" t="s">
        <v>78</v>
      </c>
      <c r="B12" s="89" t="s">
        <v>659</v>
      </c>
      <c r="C12" s="90"/>
      <c r="D12" s="90"/>
      <c r="E12" s="10">
        <v>42959</v>
      </c>
      <c r="F12" s="1">
        <v>1405</v>
      </c>
      <c r="G12" s="1">
        <v>1300</v>
      </c>
      <c r="H12">
        <f t="shared" si="0"/>
        <v>105</v>
      </c>
      <c r="L12" s="1"/>
      <c r="M12" s="1"/>
      <c r="O12" s="1">
        <v>11</v>
      </c>
      <c r="P12" s="1">
        <v>1300</v>
      </c>
      <c r="R12" s="1">
        <v>11</v>
      </c>
      <c r="S12" s="1">
        <v>2000</v>
      </c>
    </row>
    <row r="13" spans="1:27" ht="15.75" customHeight="1">
      <c r="A13" s="51" t="s">
        <v>148</v>
      </c>
      <c r="B13" s="89" t="s">
        <v>660</v>
      </c>
      <c r="C13" s="90"/>
      <c r="D13" s="90"/>
      <c r="E13" s="10">
        <v>42959</v>
      </c>
      <c r="F13" s="1">
        <v>1603</v>
      </c>
      <c r="G13" s="1">
        <v>1525</v>
      </c>
      <c r="H13">
        <f t="shared" si="0"/>
        <v>78</v>
      </c>
      <c r="I13" s="1"/>
      <c r="L13" s="1"/>
      <c r="M13" s="1"/>
      <c r="O13" s="1">
        <v>12</v>
      </c>
      <c r="P13" s="1">
        <v>1525</v>
      </c>
      <c r="R13" s="1">
        <v>12</v>
      </c>
      <c r="S13" s="1">
        <v>2000</v>
      </c>
    </row>
    <row r="14" spans="1:27" ht="15.75" customHeight="1">
      <c r="A14" s="51" t="s">
        <v>212</v>
      </c>
      <c r="B14" s="89" t="s">
        <v>662</v>
      </c>
      <c r="C14" s="90"/>
      <c r="D14" s="90"/>
      <c r="E14" s="10">
        <v>42959</v>
      </c>
      <c r="F14" s="1">
        <v>1215</v>
      </c>
      <c r="G14" s="1">
        <v>1200</v>
      </c>
      <c r="H14">
        <f t="shared" si="0"/>
        <v>15</v>
      </c>
      <c r="L14" s="1"/>
      <c r="M14" s="1"/>
      <c r="O14" s="1">
        <v>13</v>
      </c>
      <c r="P14" s="1">
        <v>1200</v>
      </c>
      <c r="R14" s="1">
        <v>13</v>
      </c>
      <c r="S14" s="1">
        <v>2000</v>
      </c>
    </row>
    <row r="15" spans="1:27" ht="15.75" customHeight="1">
      <c r="A15" s="51" t="s">
        <v>59</v>
      </c>
      <c r="B15" s="89" t="s">
        <v>663</v>
      </c>
      <c r="C15" s="90"/>
      <c r="D15" s="90"/>
      <c r="E15" s="10">
        <v>42959</v>
      </c>
      <c r="F15" s="1">
        <v>1206</v>
      </c>
      <c r="G15" s="1">
        <v>1200</v>
      </c>
      <c r="H15">
        <f t="shared" si="0"/>
        <v>6</v>
      </c>
      <c r="L15" s="1"/>
      <c r="M15" s="1"/>
      <c r="O15" s="1">
        <v>14</v>
      </c>
      <c r="P15" s="1">
        <v>1200</v>
      </c>
      <c r="R15" s="1">
        <v>14</v>
      </c>
      <c r="S15" s="1">
        <v>2000</v>
      </c>
    </row>
    <row r="16" spans="1:27" ht="15.75" customHeight="1">
      <c r="A16" s="51" t="s">
        <v>205</v>
      </c>
      <c r="B16" s="89" t="s">
        <v>664</v>
      </c>
      <c r="C16" s="90"/>
      <c r="D16" s="90"/>
      <c r="E16" s="10">
        <v>42959</v>
      </c>
      <c r="F16" s="1">
        <v>1347</v>
      </c>
      <c r="G16" s="1">
        <v>1400</v>
      </c>
      <c r="H16">
        <f t="shared" si="0"/>
        <v>-53</v>
      </c>
      <c r="L16" s="1"/>
      <c r="M16" s="1"/>
      <c r="O16" s="1">
        <v>15</v>
      </c>
      <c r="P16" s="1">
        <v>1400</v>
      </c>
      <c r="R16" s="1">
        <v>15</v>
      </c>
      <c r="S16" s="1">
        <v>2000</v>
      </c>
    </row>
    <row r="17" spans="1:19" ht="15.75" customHeight="1">
      <c r="A17" s="51" t="s">
        <v>220</v>
      </c>
      <c r="B17" s="89" t="s">
        <v>665</v>
      </c>
      <c r="C17" s="90"/>
      <c r="D17" s="90"/>
      <c r="E17" s="10">
        <v>42959</v>
      </c>
      <c r="F17" s="1">
        <v>1395</v>
      </c>
      <c r="G17" s="1">
        <v>1450</v>
      </c>
      <c r="H17">
        <f t="shared" si="0"/>
        <v>-55</v>
      </c>
      <c r="L17" s="1"/>
      <c r="M17" s="1"/>
      <c r="O17" s="1">
        <v>16</v>
      </c>
      <c r="P17" s="1">
        <v>1450</v>
      </c>
      <c r="R17" s="1">
        <v>16</v>
      </c>
      <c r="S17" s="1">
        <v>2000</v>
      </c>
    </row>
    <row r="18" spans="1:19" ht="15.75" customHeight="1">
      <c r="A18" s="51" t="s">
        <v>232</v>
      </c>
      <c r="B18" s="89" t="s">
        <v>666</v>
      </c>
      <c r="C18" s="90"/>
      <c r="D18" s="90"/>
      <c r="E18" s="10">
        <v>42959</v>
      </c>
      <c r="F18" s="1">
        <v>1237</v>
      </c>
      <c r="G18" s="1">
        <v>1400</v>
      </c>
      <c r="H18">
        <f t="shared" si="0"/>
        <v>-163</v>
      </c>
      <c r="L18" s="1"/>
      <c r="M18" s="1"/>
      <c r="O18" s="1">
        <v>17</v>
      </c>
      <c r="P18" s="1">
        <v>1400</v>
      </c>
      <c r="R18" s="1">
        <v>17</v>
      </c>
      <c r="S18" s="1">
        <v>2000</v>
      </c>
    </row>
    <row r="19" spans="1:19" ht="15.75" customHeight="1">
      <c r="A19" s="51" t="s">
        <v>228</v>
      </c>
      <c r="B19" s="89" t="s">
        <v>667</v>
      </c>
      <c r="C19" s="90"/>
      <c r="D19" s="90"/>
      <c r="E19" s="10">
        <v>42959</v>
      </c>
      <c r="F19" s="1">
        <v>1308</v>
      </c>
      <c r="G19" s="1">
        <v>1500</v>
      </c>
      <c r="H19">
        <f t="shared" si="0"/>
        <v>-192</v>
      </c>
      <c r="L19" s="1"/>
      <c r="M19" s="1"/>
      <c r="O19" s="1">
        <v>18</v>
      </c>
      <c r="P19" s="1">
        <v>1500</v>
      </c>
      <c r="R19" s="1">
        <v>18</v>
      </c>
      <c r="S19" s="1">
        <v>2000</v>
      </c>
    </row>
    <row r="20" spans="1:19" ht="15.75" customHeight="1">
      <c r="A20" s="51" t="s">
        <v>222</v>
      </c>
      <c r="B20" s="89" t="s">
        <v>669</v>
      </c>
      <c r="C20" s="90"/>
      <c r="D20" s="90"/>
      <c r="E20" s="10">
        <v>42959</v>
      </c>
      <c r="F20" s="1">
        <v>1121</v>
      </c>
      <c r="G20" s="1">
        <v>1400</v>
      </c>
      <c r="H20">
        <f t="shared" si="0"/>
        <v>-279</v>
      </c>
      <c r="L20" s="1"/>
      <c r="M20" s="1"/>
      <c r="O20" s="1">
        <v>19</v>
      </c>
      <c r="P20" s="1">
        <v>1400</v>
      </c>
      <c r="R20" s="1">
        <v>19</v>
      </c>
      <c r="S20" s="1">
        <v>2000</v>
      </c>
    </row>
    <row r="21" spans="1:19" ht="15.75" customHeight="1">
      <c r="A21" s="5" t="s">
        <v>529</v>
      </c>
      <c r="B21" s="89"/>
      <c r="C21" s="90"/>
      <c r="D21" s="90"/>
      <c r="F21" s="5">
        <f t="shared" ref="F21:H21" si="1">SUM(F2:F20)</f>
        <v>27300</v>
      </c>
      <c r="G21" s="5">
        <f t="shared" si="1"/>
        <v>24405</v>
      </c>
      <c r="H21" s="5">
        <f t="shared" si="1"/>
        <v>2895</v>
      </c>
      <c r="L21" s="1"/>
      <c r="O21" s="1">
        <v>20</v>
      </c>
      <c r="P21" s="1">
        <v>1500</v>
      </c>
      <c r="R21" s="1">
        <v>20</v>
      </c>
      <c r="S21" s="1">
        <v>2000</v>
      </c>
    </row>
    <row r="22" spans="1:19" ht="15.75" customHeight="1">
      <c r="B22" s="89"/>
      <c r="C22" s="90"/>
      <c r="D22" s="90"/>
      <c r="L22" s="1"/>
      <c r="O22" s="1">
        <v>21</v>
      </c>
      <c r="P22" s="1">
        <v>1500</v>
      </c>
      <c r="R22" s="1">
        <v>21</v>
      </c>
      <c r="S22" s="1">
        <v>2000</v>
      </c>
    </row>
    <row r="23" spans="1:19" ht="15.75" customHeight="1">
      <c r="A23" s="51" t="s">
        <v>670</v>
      </c>
      <c r="B23" s="89" t="s">
        <v>671</v>
      </c>
      <c r="C23" s="90"/>
      <c r="D23" s="90"/>
      <c r="E23" s="10">
        <v>43020</v>
      </c>
      <c r="F23" s="1">
        <v>177</v>
      </c>
      <c r="G23" s="1" t="s">
        <v>672</v>
      </c>
      <c r="J23" s="5" t="s">
        <v>673</v>
      </c>
      <c r="K23" s="5" t="s">
        <v>498</v>
      </c>
      <c r="L23" s="5" t="s">
        <v>500</v>
      </c>
    </row>
    <row r="24" spans="1:19" ht="15.75" customHeight="1">
      <c r="A24" s="51" t="s">
        <v>674</v>
      </c>
      <c r="B24" s="89" t="s">
        <v>675</v>
      </c>
      <c r="C24" s="90"/>
      <c r="D24" s="90"/>
      <c r="E24" s="10">
        <v>43020</v>
      </c>
      <c r="F24" s="1">
        <v>151</v>
      </c>
      <c r="G24" s="1" t="s">
        <v>672</v>
      </c>
      <c r="J24" s="6" t="s">
        <v>45</v>
      </c>
      <c r="K24" s="1">
        <v>1</v>
      </c>
      <c r="L24" s="1">
        <v>2580</v>
      </c>
      <c r="N24" s="1">
        <v>1</v>
      </c>
      <c r="O24" s="1">
        <v>3400</v>
      </c>
    </row>
    <row r="25" spans="1:19" ht="15.75" customHeight="1">
      <c r="A25" s="51" t="s">
        <v>676</v>
      </c>
      <c r="B25" s="89" t="s">
        <v>677</v>
      </c>
      <c r="C25" s="90"/>
      <c r="D25" s="90"/>
      <c r="E25" s="10">
        <v>43020</v>
      </c>
      <c r="F25" s="1">
        <v>149</v>
      </c>
      <c r="G25" s="1" t="s">
        <v>672</v>
      </c>
      <c r="J25" s="6" t="s">
        <v>54</v>
      </c>
      <c r="K25" s="1">
        <v>2</v>
      </c>
      <c r="L25" s="1">
        <v>3000</v>
      </c>
      <c r="N25" s="1">
        <v>2</v>
      </c>
      <c r="O25" s="1">
        <v>3400</v>
      </c>
    </row>
    <row r="26" spans="1:19" ht="15.75" customHeight="1">
      <c r="A26" s="51" t="s">
        <v>679</v>
      </c>
      <c r="B26" s="89" t="s">
        <v>680</v>
      </c>
      <c r="C26" s="90"/>
      <c r="D26" s="90"/>
      <c r="E26" s="10">
        <v>42959</v>
      </c>
      <c r="F26" s="1">
        <v>176</v>
      </c>
      <c r="G26" s="1" t="s">
        <v>672</v>
      </c>
      <c r="J26" s="6" t="s">
        <v>59</v>
      </c>
      <c r="K26" s="1">
        <v>3</v>
      </c>
      <c r="L26" s="1">
        <v>1200</v>
      </c>
      <c r="N26" s="1">
        <v>3</v>
      </c>
      <c r="O26" s="1">
        <v>1700</v>
      </c>
    </row>
    <row r="27" spans="1:19" ht="15.75" customHeight="1">
      <c r="A27" s="51" t="s">
        <v>681</v>
      </c>
      <c r="B27" s="89" t="s">
        <v>682</v>
      </c>
      <c r="C27" s="90"/>
      <c r="D27" s="90"/>
      <c r="E27" s="10">
        <v>43020</v>
      </c>
      <c r="F27" s="1">
        <v>142</v>
      </c>
      <c r="G27" s="1" t="s">
        <v>672</v>
      </c>
      <c r="J27" s="6" t="s">
        <v>78</v>
      </c>
      <c r="K27" s="1">
        <v>4</v>
      </c>
      <c r="L27" s="1">
        <v>1300</v>
      </c>
      <c r="N27" s="1">
        <v>4</v>
      </c>
      <c r="O27" s="1">
        <v>1700</v>
      </c>
    </row>
    <row r="28" spans="1:19" ht="15.75" customHeight="1">
      <c r="A28" s="51" t="s">
        <v>683</v>
      </c>
      <c r="B28" s="89" t="s">
        <v>684</v>
      </c>
      <c r="C28" s="90"/>
      <c r="D28" s="90"/>
      <c r="E28" s="10">
        <v>43020</v>
      </c>
      <c r="F28" s="1">
        <v>235</v>
      </c>
      <c r="G28" s="1" t="s">
        <v>672</v>
      </c>
      <c r="J28" s="6" t="s">
        <v>81</v>
      </c>
      <c r="K28" s="1">
        <v>5</v>
      </c>
      <c r="L28" s="1">
        <v>1200</v>
      </c>
      <c r="N28" s="1">
        <v>5</v>
      </c>
      <c r="O28" s="1">
        <v>1700</v>
      </c>
    </row>
    <row r="29" spans="1:19" ht="15.75" customHeight="1">
      <c r="B29" s="89"/>
      <c r="C29" s="90"/>
      <c r="D29" s="90"/>
      <c r="J29" s="6" t="s">
        <v>82</v>
      </c>
      <c r="K29" s="1">
        <v>6</v>
      </c>
      <c r="L29" s="1">
        <v>1400</v>
      </c>
      <c r="N29" s="1">
        <v>6</v>
      </c>
      <c r="O29" s="1">
        <v>1700</v>
      </c>
    </row>
    <row r="30" spans="1:19" ht="15.75" customHeight="1">
      <c r="B30" s="89"/>
      <c r="C30" s="90"/>
      <c r="D30" s="90"/>
      <c r="J30" s="6" t="s">
        <v>148</v>
      </c>
      <c r="K30" s="1">
        <v>7</v>
      </c>
      <c r="L30" s="1">
        <v>1525</v>
      </c>
      <c r="N30" s="1">
        <v>7</v>
      </c>
      <c r="O30" s="1">
        <v>1700</v>
      </c>
    </row>
    <row r="31" spans="1:19" ht="15.75" customHeight="1">
      <c r="A31" s="53" t="s">
        <v>685</v>
      </c>
      <c r="B31" s="89" t="s">
        <v>686</v>
      </c>
      <c r="C31" s="90"/>
      <c r="D31" s="90"/>
      <c r="E31" s="54" t="s">
        <v>687</v>
      </c>
      <c r="F31" s="1">
        <v>804</v>
      </c>
      <c r="G31" s="1">
        <v>605</v>
      </c>
      <c r="H31">
        <f t="shared" ref="H31:H126" si="2">F31-G31</f>
        <v>199</v>
      </c>
      <c r="J31" s="6" t="s">
        <v>205</v>
      </c>
      <c r="K31" s="1">
        <v>8</v>
      </c>
      <c r="L31" s="1">
        <v>1400</v>
      </c>
      <c r="M31" s="1"/>
      <c r="N31" s="1">
        <v>8</v>
      </c>
      <c r="O31" s="1">
        <v>1700</v>
      </c>
    </row>
    <row r="32" spans="1:19" ht="15.75" customHeight="1">
      <c r="A32" s="53" t="s">
        <v>689</v>
      </c>
      <c r="B32" s="89" t="s">
        <v>690</v>
      </c>
      <c r="C32" s="90"/>
      <c r="D32" s="90"/>
      <c r="E32" s="54" t="s">
        <v>687</v>
      </c>
      <c r="F32" s="1">
        <v>678</v>
      </c>
      <c r="G32" s="1">
        <v>510</v>
      </c>
      <c r="H32">
        <f t="shared" si="2"/>
        <v>168</v>
      </c>
      <c r="J32" s="6" t="s">
        <v>208</v>
      </c>
      <c r="K32" s="1">
        <v>9</v>
      </c>
      <c r="L32" s="1">
        <v>1200</v>
      </c>
      <c r="M32" s="1"/>
      <c r="N32" s="1">
        <v>9</v>
      </c>
      <c r="O32" s="1">
        <v>1700</v>
      </c>
    </row>
    <row r="33" spans="1:15" ht="15.75" customHeight="1">
      <c r="A33" s="53" t="s">
        <v>691</v>
      </c>
      <c r="B33" s="89" t="s">
        <v>692</v>
      </c>
      <c r="C33" s="90"/>
      <c r="D33" s="90"/>
      <c r="E33" s="54" t="s">
        <v>687</v>
      </c>
      <c r="F33" s="1">
        <v>690</v>
      </c>
      <c r="G33" s="1">
        <v>530</v>
      </c>
      <c r="H33">
        <f t="shared" si="2"/>
        <v>160</v>
      </c>
      <c r="J33" s="6" t="s">
        <v>212</v>
      </c>
      <c r="K33" s="1">
        <v>10</v>
      </c>
      <c r="L33" s="1">
        <v>1200</v>
      </c>
      <c r="M33" s="1"/>
      <c r="N33" s="1">
        <v>10</v>
      </c>
      <c r="O33" s="1">
        <v>1700</v>
      </c>
    </row>
    <row r="34" spans="1:15" ht="15.75" customHeight="1">
      <c r="A34" s="53" t="s">
        <v>693</v>
      </c>
      <c r="B34" s="89" t="s">
        <v>694</v>
      </c>
      <c r="C34" s="90"/>
      <c r="D34" s="90"/>
      <c r="E34" s="54" t="s">
        <v>687</v>
      </c>
      <c r="F34" s="1">
        <v>579</v>
      </c>
      <c r="G34" s="1">
        <v>450</v>
      </c>
      <c r="H34">
        <f t="shared" si="2"/>
        <v>129</v>
      </c>
      <c r="J34" s="6" t="s">
        <v>216</v>
      </c>
      <c r="K34" s="1">
        <v>11</v>
      </c>
      <c r="L34" s="1">
        <v>1050</v>
      </c>
      <c r="M34" s="1"/>
      <c r="N34" s="1">
        <v>11</v>
      </c>
      <c r="O34" s="1">
        <v>1700</v>
      </c>
    </row>
    <row r="35" spans="1:15" ht="15.75" customHeight="1">
      <c r="A35" s="53" t="s">
        <v>696</v>
      </c>
      <c r="B35" s="89" t="s">
        <v>697</v>
      </c>
      <c r="C35" s="90"/>
      <c r="D35" s="90"/>
      <c r="E35" s="54" t="s">
        <v>687</v>
      </c>
      <c r="F35" s="1">
        <v>595</v>
      </c>
      <c r="G35" s="1">
        <v>480</v>
      </c>
      <c r="H35">
        <f t="shared" si="2"/>
        <v>115</v>
      </c>
      <c r="J35" s="6" t="s">
        <v>220</v>
      </c>
      <c r="K35" s="1">
        <v>12</v>
      </c>
      <c r="L35" s="1">
        <v>1450</v>
      </c>
      <c r="M35" s="1"/>
      <c r="N35" s="1">
        <v>12</v>
      </c>
      <c r="O35" s="1">
        <v>1700</v>
      </c>
    </row>
    <row r="36" spans="1:15" ht="12.75">
      <c r="A36" s="53" t="s">
        <v>698</v>
      </c>
      <c r="B36" s="89" t="s">
        <v>699</v>
      </c>
      <c r="C36" s="90"/>
      <c r="D36" s="90"/>
      <c r="E36" s="54" t="s">
        <v>687</v>
      </c>
      <c r="F36" s="1">
        <v>644</v>
      </c>
      <c r="G36" s="1">
        <v>530</v>
      </c>
      <c r="H36">
        <f t="shared" si="2"/>
        <v>114</v>
      </c>
      <c r="J36" s="6" t="s">
        <v>222</v>
      </c>
      <c r="K36" s="1">
        <v>13</v>
      </c>
      <c r="L36" s="1">
        <v>1400</v>
      </c>
      <c r="M36" s="1"/>
      <c r="N36" s="1">
        <v>13</v>
      </c>
      <c r="O36" s="1">
        <v>1700</v>
      </c>
    </row>
    <row r="37" spans="1:15" ht="12.75">
      <c r="A37" s="53" t="s">
        <v>700</v>
      </c>
      <c r="B37" s="89" t="s">
        <v>701</v>
      </c>
      <c r="C37" s="90"/>
      <c r="D37" s="90"/>
      <c r="E37" s="54" t="s">
        <v>687</v>
      </c>
      <c r="F37" s="1">
        <v>461</v>
      </c>
      <c r="G37" s="1">
        <v>365</v>
      </c>
      <c r="H37">
        <f t="shared" si="2"/>
        <v>96</v>
      </c>
      <c r="J37" s="6" t="s">
        <v>225</v>
      </c>
      <c r="K37" s="1">
        <v>14</v>
      </c>
      <c r="L37" s="1">
        <v>1500</v>
      </c>
      <c r="M37" s="1"/>
      <c r="N37" s="1">
        <v>14</v>
      </c>
      <c r="O37" s="1">
        <v>1700</v>
      </c>
    </row>
    <row r="38" spans="1:15" ht="12.75">
      <c r="A38" s="53" t="s">
        <v>702</v>
      </c>
      <c r="B38" s="89" t="s">
        <v>703</v>
      </c>
      <c r="C38" s="90"/>
      <c r="D38" s="90"/>
      <c r="E38" s="54" t="s">
        <v>687</v>
      </c>
      <c r="F38" s="1">
        <v>400</v>
      </c>
      <c r="G38" s="1">
        <v>315</v>
      </c>
      <c r="H38">
        <f t="shared" si="2"/>
        <v>85</v>
      </c>
      <c r="J38" s="6" t="s">
        <v>228</v>
      </c>
      <c r="K38" s="1">
        <v>15</v>
      </c>
      <c r="L38" s="1">
        <v>1500</v>
      </c>
      <c r="M38" s="1"/>
      <c r="N38" s="1">
        <v>15</v>
      </c>
      <c r="O38" s="1">
        <v>1700</v>
      </c>
    </row>
    <row r="39" spans="1:15" ht="12.75">
      <c r="A39" s="53" t="s">
        <v>705</v>
      </c>
      <c r="B39" s="89" t="s">
        <v>706</v>
      </c>
      <c r="C39" s="90"/>
      <c r="D39" s="90"/>
      <c r="E39" s="54" t="s">
        <v>687</v>
      </c>
      <c r="F39" s="1">
        <v>614</v>
      </c>
      <c r="G39" s="1">
        <v>530</v>
      </c>
      <c r="H39">
        <f t="shared" si="2"/>
        <v>84</v>
      </c>
      <c r="J39" s="6" t="s">
        <v>232</v>
      </c>
      <c r="K39" s="1">
        <v>16</v>
      </c>
      <c r="L39" s="1">
        <v>1400</v>
      </c>
      <c r="M39" s="1"/>
      <c r="N39" s="1">
        <v>16</v>
      </c>
      <c r="O39" s="1">
        <v>1700</v>
      </c>
    </row>
    <row r="40" spans="1:15" ht="12.75">
      <c r="A40" s="53" t="s">
        <v>707</v>
      </c>
      <c r="B40" s="89" t="s">
        <v>708</v>
      </c>
      <c r="C40" s="90"/>
      <c r="D40" s="90"/>
      <c r="E40" s="54" t="s">
        <v>687</v>
      </c>
      <c r="F40" s="1">
        <v>663</v>
      </c>
      <c r="G40" s="1">
        <v>580</v>
      </c>
      <c r="H40">
        <f t="shared" si="2"/>
        <v>83</v>
      </c>
      <c r="J40" s="6" t="s">
        <v>234</v>
      </c>
      <c r="K40" s="1">
        <v>17</v>
      </c>
      <c r="L40" s="1">
        <v>1300</v>
      </c>
      <c r="M40" s="1"/>
      <c r="N40" s="1">
        <v>17</v>
      </c>
      <c r="O40" s="1">
        <v>1700</v>
      </c>
    </row>
    <row r="41" spans="1:15" ht="12.75">
      <c r="A41" s="53" t="s">
        <v>709</v>
      </c>
      <c r="B41" s="89" t="s">
        <v>710</v>
      </c>
      <c r="C41" s="90"/>
      <c r="D41" s="90"/>
      <c r="E41" s="54" t="s">
        <v>687</v>
      </c>
      <c r="F41" s="1">
        <v>557</v>
      </c>
      <c r="G41" s="1">
        <v>475</v>
      </c>
      <c r="H41">
        <f t="shared" si="2"/>
        <v>82</v>
      </c>
      <c r="J41" s="6" t="s">
        <v>235</v>
      </c>
      <c r="K41" s="1">
        <v>18</v>
      </c>
      <c r="L41" s="1">
        <v>1700</v>
      </c>
      <c r="M41" s="1"/>
      <c r="N41" s="1">
        <v>18</v>
      </c>
      <c r="O41" s="1">
        <v>1700</v>
      </c>
    </row>
    <row r="42" spans="1:15" ht="12.75">
      <c r="A42" s="53" t="s">
        <v>711</v>
      </c>
      <c r="B42" s="89" t="s">
        <v>712</v>
      </c>
      <c r="C42" s="90"/>
      <c r="D42" s="90"/>
      <c r="E42" s="54" t="s">
        <v>687</v>
      </c>
      <c r="F42" s="1">
        <v>536</v>
      </c>
      <c r="G42" s="1">
        <v>465</v>
      </c>
      <c r="H42">
        <f t="shared" si="2"/>
        <v>71</v>
      </c>
      <c r="J42" s="6" t="s">
        <v>238</v>
      </c>
      <c r="K42" s="1">
        <v>19</v>
      </c>
      <c r="L42" s="1">
        <v>1500</v>
      </c>
      <c r="M42" s="1"/>
      <c r="N42" s="1">
        <v>19</v>
      </c>
      <c r="O42" s="1">
        <v>1700</v>
      </c>
    </row>
    <row r="43" spans="1:15" ht="12.75">
      <c r="A43" s="53" t="s">
        <v>713</v>
      </c>
      <c r="B43" s="89" t="s">
        <v>715</v>
      </c>
      <c r="C43" s="90"/>
      <c r="D43" s="90"/>
      <c r="E43" s="54" t="s">
        <v>687</v>
      </c>
      <c r="F43" s="1">
        <v>283</v>
      </c>
      <c r="G43" s="1">
        <v>215</v>
      </c>
      <c r="H43">
        <f t="shared" si="2"/>
        <v>68</v>
      </c>
      <c r="L43" s="1">
        <f>SUM(L24:L42)</f>
        <v>28805</v>
      </c>
      <c r="M43" s="1"/>
    </row>
    <row r="44" spans="1:15" ht="12.75">
      <c r="A44" s="53" t="s">
        <v>716</v>
      </c>
      <c r="B44" s="89" t="s">
        <v>717</v>
      </c>
      <c r="C44" s="90"/>
      <c r="D44" s="90"/>
      <c r="E44" s="54" t="s">
        <v>687</v>
      </c>
      <c r="F44" s="1">
        <v>223</v>
      </c>
      <c r="G44" s="1">
        <v>160</v>
      </c>
      <c r="H44">
        <f t="shared" si="2"/>
        <v>63</v>
      </c>
      <c r="J44">
        <f>525-G44</f>
        <v>365</v>
      </c>
      <c r="K44">
        <f>G44+J44</f>
        <v>525</v>
      </c>
      <c r="L44" s="1"/>
      <c r="M44" s="1"/>
    </row>
    <row r="45" spans="1:15" ht="12.75">
      <c r="A45" s="53" t="s">
        <v>718</v>
      </c>
      <c r="B45" s="89" t="s">
        <v>719</v>
      </c>
      <c r="C45" s="90"/>
      <c r="D45" s="90"/>
      <c r="E45" s="54" t="s">
        <v>687</v>
      </c>
      <c r="F45" s="1">
        <v>325</v>
      </c>
      <c r="G45" s="1">
        <v>265</v>
      </c>
      <c r="H45">
        <f t="shared" si="2"/>
        <v>60</v>
      </c>
      <c r="L45" s="1"/>
      <c r="M45" s="1"/>
    </row>
    <row r="46" spans="1:15" ht="12.75">
      <c r="A46" s="53" t="s">
        <v>721</v>
      </c>
      <c r="B46" s="89" t="s">
        <v>722</v>
      </c>
      <c r="C46" s="90"/>
      <c r="D46" s="90"/>
      <c r="E46" s="54" t="s">
        <v>687</v>
      </c>
      <c r="F46" s="1">
        <v>348</v>
      </c>
      <c r="G46" s="1">
        <v>290</v>
      </c>
      <c r="H46">
        <f t="shared" si="2"/>
        <v>58</v>
      </c>
      <c r="L46" s="1"/>
      <c r="M46" s="1"/>
    </row>
    <row r="47" spans="1:15" ht="12.75">
      <c r="A47" s="53" t="s">
        <v>723</v>
      </c>
      <c r="B47" s="89" t="s">
        <v>724</v>
      </c>
      <c r="C47" s="90"/>
      <c r="D47" s="90"/>
      <c r="E47" s="54" t="s">
        <v>687</v>
      </c>
      <c r="F47" s="1">
        <v>455</v>
      </c>
      <c r="G47" s="1">
        <v>405</v>
      </c>
      <c r="H47">
        <f t="shared" si="2"/>
        <v>50</v>
      </c>
      <c r="L47" s="1"/>
      <c r="M47" s="1"/>
    </row>
    <row r="48" spans="1:15" ht="12.75">
      <c r="A48" s="53" t="s">
        <v>725</v>
      </c>
      <c r="B48" s="89" t="s">
        <v>726</v>
      </c>
      <c r="C48" s="90"/>
      <c r="D48" s="90"/>
      <c r="E48" s="54" t="s">
        <v>687</v>
      </c>
      <c r="F48" s="1">
        <v>593</v>
      </c>
      <c r="G48" s="1">
        <v>555</v>
      </c>
      <c r="H48">
        <f t="shared" si="2"/>
        <v>38</v>
      </c>
      <c r="L48" s="1"/>
      <c r="M48" s="1"/>
    </row>
    <row r="49" spans="1:13" ht="12.75">
      <c r="A49" s="53" t="s">
        <v>727</v>
      </c>
      <c r="B49" s="89" t="s">
        <v>728</v>
      </c>
      <c r="C49" s="90"/>
      <c r="D49" s="90"/>
      <c r="E49" s="54" t="s">
        <v>687</v>
      </c>
      <c r="F49" s="1">
        <v>546</v>
      </c>
      <c r="G49" s="1">
        <v>510</v>
      </c>
      <c r="H49">
        <f t="shared" si="2"/>
        <v>36</v>
      </c>
      <c r="L49" s="1"/>
      <c r="M49" s="1"/>
    </row>
    <row r="50" spans="1:13" ht="12.75">
      <c r="A50" s="53" t="s">
        <v>729</v>
      </c>
      <c r="B50" s="89" t="s">
        <v>730</v>
      </c>
      <c r="C50" s="90"/>
      <c r="D50" s="90"/>
      <c r="E50" s="54" t="s">
        <v>687</v>
      </c>
      <c r="F50" s="1">
        <v>450</v>
      </c>
      <c r="G50" s="1">
        <v>415</v>
      </c>
      <c r="H50">
        <f t="shared" si="2"/>
        <v>35</v>
      </c>
      <c r="L50" s="1"/>
      <c r="M50" s="1"/>
    </row>
    <row r="51" spans="1:13" ht="12.75">
      <c r="A51" s="53" t="s">
        <v>732</v>
      </c>
      <c r="B51" s="89" t="s">
        <v>733</v>
      </c>
      <c r="C51" s="90"/>
      <c r="D51" s="90"/>
      <c r="E51" s="54" t="s">
        <v>687</v>
      </c>
      <c r="F51" s="1">
        <v>328</v>
      </c>
      <c r="G51" s="1">
        <v>295</v>
      </c>
      <c r="H51">
        <f t="shared" si="2"/>
        <v>33</v>
      </c>
      <c r="L51" s="1"/>
      <c r="M51" s="1"/>
    </row>
    <row r="52" spans="1:13" ht="12.75">
      <c r="A52" s="53" t="s">
        <v>734</v>
      </c>
      <c r="B52" s="89" t="s">
        <v>735</v>
      </c>
      <c r="C52" s="90"/>
      <c r="D52" s="90"/>
      <c r="E52" s="54" t="s">
        <v>687</v>
      </c>
      <c r="F52" s="1">
        <v>686</v>
      </c>
      <c r="G52" s="1">
        <v>655</v>
      </c>
      <c r="H52">
        <f t="shared" si="2"/>
        <v>31</v>
      </c>
      <c r="L52" s="1"/>
      <c r="M52" s="1"/>
    </row>
    <row r="53" spans="1:13" ht="12.75">
      <c r="A53" s="53" t="s">
        <v>736</v>
      </c>
      <c r="B53" s="89" t="s">
        <v>737</v>
      </c>
      <c r="C53" s="90"/>
      <c r="D53" s="90"/>
      <c r="E53" s="54" t="s">
        <v>687</v>
      </c>
      <c r="F53" s="1">
        <v>520</v>
      </c>
      <c r="G53" s="1">
        <v>490</v>
      </c>
      <c r="H53">
        <f t="shared" si="2"/>
        <v>30</v>
      </c>
      <c r="L53" s="1"/>
      <c r="M53" s="1"/>
    </row>
    <row r="54" spans="1:13" ht="12.75">
      <c r="A54" s="53" t="s">
        <v>661</v>
      </c>
      <c r="B54" s="89" t="s">
        <v>738</v>
      </c>
      <c r="C54" s="90"/>
      <c r="D54" s="90"/>
      <c r="E54" s="54" t="s">
        <v>687</v>
      </c>
      <c r="F54" s="1">
        <v>551</v>
      </c>
      <c r="G54" s="1">
        <v>530</v>
      </c>
      <c r="H54">
        <f t="shared" si="2"/>
        <v>21</v>
      </c>
      <c r="L54" s="1"/>
      <c r="M54" s="1"/>
    </row>
    <row r="55" spans="1:13" ht="12.75">
      <c r="A55" s="53" t="s">
        <v>739</v>
      </c>
      <c r="B55" s="89" t="s">
        <v>740</v>
      </c>
      <c r="C55" s="90"/>
      <c r="D55" s="90"/>
      <c r="E55" s="54" t="s">
        <v>687</v>
      </c>
      <c r="F55" s="1">
        <v>139</v>
      </c>
      <c r="G55" s="1">
        <v>120</v>
      </c>
      <c r="H55">
        <f t="shared" si="2"/>
        <v>19</v>
      </c>
      <c r="L55" s="1"/>
      <c r="M55" s="1"/>
    </row>
    <row r="56" spans="1:13" ht="12.75">
      <c r="A56" s="53" t="s">
        <v>742</v>
      </c>
      <c r="B56" s="89" t="s">
        <v>743</v>
      </c>
      <c r="C56" s="90"/>
      <c r="D56" s="90"/>
      <c r="E56" s="54" t="s">
        <v>687</v>
      </c>
      <c r="F56" s="1">
        <v>347</v>
      </c>
      <c r="G56" s="1">
        <v>330</v>
      </c>
      <c r="H56">
        <f t="shared" si="2"/>
        <v>17</v>
      </c>
      <c r="J56" s="1">
        <v>120</v>
      </c>
      <c r="K56">
        <f>G56+J56</f>
        <v>450</v>
      </c>
      <c r="L56" s="1"/>
      <c r="M56" s="1"/>
    </row>
    <row r="57" spans="1:13" ht="12.75">
      <c r="A57" s="53" t="s">
        <v>744</v>
      </c>
      <c r="B57" s="89" t="s">
        <v>745</v>
      </c>
      <c r="C57" s="90"/>
      <c r="D57" s="90"/>
      <c r="E57" s="54" t="s">
        <v>687</v>
      </c>
      <c r="F57" s="1">
        <v>477</v>
      </c>
      <c r="G57" s="1">
        <v>460</v>
      </c>
      <c r="H57">
        <f t="shared" si="2"/>
        <v>17</v>
      </c>
      <c r="L57" s="1"/>
      <c r="M57" s="1"/>
    </row>
    <row r="58" spans="1:13" ht="12.75">
      <c r="A58" s="53" t="s">
        <v>746</v>
      </c>
      <c r="B58" s="89" t="s">
        <v>747</v>
      </c>
      <c r="C58" s="90"/>
      <c r="D58" s="90"/>
      <c r="E58" s="54" t="s">
        <v>687</v>
      </c>
      <c r="F58" s="1">
        <v>455</v>
      </c>
      <c r="G58" s="1">
        <v>440</v>
      </c>
      <c r="H58">
        <f t="shared" si="2"/>
        <v>15</v>
      </c>
      <c r="L58" s="1"/>
      <c r="M58" s="1"/>
    </row>
    <row r="59" spans="1:13" ht="12.75">
      <c r="A59" s="53" t="s">
        <v>748</v>
      </c>
      <c r="B59" s="89" t="s">
        <v>749</v>
      </c>
      <c r="C59" s="90"/>
      <c r="D59" s="90"/>
      <c r="E59" s="54" t="s">
        <v>687</v>
      </c>
      <c r="F59" s="1">
        <v>258</v>
      </c>
      <c r="G59" s="1">
        <v>245</v>
      </c>
      <c r="H59">
        <f t="shared" si="2"/>
        <v>13</v>
      </c>
      <c r="L59" s="1"/>
      <c r="M59" s="1"/>
    </row>
    <row r="60" spans="1:13" ht="12.75">
      <c r="A60" s="53" t="s">
        <v>751</v>
      </c>
      <c r="B60" s="89" t="s">
        <v>752</v>
      </c>
      <c r="C60" s="90"/>
      <c r="D60" s="90"/>
      <c r="E60" s="54" t="s">
        <v>687</v>
      </c>
      <c r="F60" s="1">
        <v>356</v>
      </c>
      <c r="G60" s="1">
        <v>345</v>
      </c>
      <c r="H60">
        <f t="shared" si="2"/>
        <v>11</v>
      </c>
      <c r="J60" s="1">
        <v>163</v>
      </c>
      <c r="K60">
        <f>G60+J60</f>
        <v>508</v>
      </c>
      <c r="L60" s="1"/>
      <c r="M60" s="1"/>
    </row>
    <row r="61" spans="1:13" ht="12.75">
      <c r="A61" s="53" t="s">
        <v>753</v>
      </c>
      <c r="B61" s="89" t="s">
        <v>754</v>
      </c>
      <c r="C61" s="90"/>
      <c r="D61" s="90"/>
      <c r="E61" s="54" t="s">
        <v>687</v>
      </c>
      <c r="F61" s="1">
        <v>575</v>
      </c>
      <c r="G61" s="1">
        <v>565</v>
      </c>
      <c r="H61">
        <f t="shared" si="2"/>
        <v>10</v>
      </c>
      <c r="L61" s="1"/>
      <c r="M61" s="1"/>
    </row>
    <row r="62" spans="1:13" ht="12.75">
      <c r="A62" s="53" t="s">
        <v>755</v>
      </c>
      <c r="B62" s="89" t="s">
        <v>756</v>
      </c>
      <c r="C62" s="90"/>
      <c r="D62" s="90"/>
      <c r="E62" s="54" t="s">
        <v>687</v>
      </c>
      <c r="F62" s="1">
        <v>463</v>
      </c>
      <c r="G62" s="1">
        <v>455</v>
      </c>
      <c r="H62">
        <f t="shared" si="2"/>
        <v>8</v>
      </c>
      <c r="L62" s="1"/>
      <c r="M62" s="1"/>
    </row>
    <row r="63" spans="1:13" ht="12.75">
      <c r="A63" s="53" t="s">
        <v>654</v>
      </c>
      <c r="B63" s="89" t="s">
        <v>757</v>
      </c>
      <c r="C63" s="90"/>
      <c r="D63" s="90"/>
      <c r="E63" s="54" t="s">
        <v>687</v>
      </c>
      <c r="F63" s="1">
        <v>511</v>
      </c>
      <c r="G63" s="1">
        <v>505</v>
      </c>
      <c r="H63">
        <f t="shared" si="2"/>
        <v>6</v>
      </c>
      <c r="L63" s="1"/>
      <c r="M63" s="1"/>
    </row>
    <row r="64" spans="1:13" ht="12.75">
      <c r="A64" s="53" t="s">
        <v>758</v>
      </c>
      <c r="B64" s="89" t="s">
        <v>759</v>
      </c>
      <c r="C64" s="90"/>
      <c r="D64" s="90"/>
      <c r="E64" s="54" t="s">
        <v>687</v>
      </c>
      <c r="F64" s="1">
        <v>245</v>
      </c>
      <c r="G64" s="1">
        <v>240</v>
      </c>
      <c r="H64">
        <f t="shared" si="2"/>
        <v>5</v>
      </c>
      <c r="L64" s="1"/>
      <c r="M64" s="1"/>
    </row>
    <row r="65" spans="1:13" ht="12.75">
      <c r="A65" s="53" t="s">
        <v>760</v>
      </c>
      <c r="B65" s="89" t="s">
        <v>762</v>
      </c>
      <c r="C65" s="90"/>
      <c r="D65" s="90"/>
      <c r="E65" s="54" t="s">
        <v>687</v>
      </c>
      <c r="F65" s="1">
        <v>544</v>
      </c>
      <c r="G65" s="1">
        <v>540</v>
      </c>
      <c r="H65">
        <f t="shared" si="2"/>
        <v>4</v>
      </c>
      <c r="L65" s="1"/>
      <c r="M65" s="1"/>
    </row>
    <row r="66" spans="1:13" ht="12.75">
      <c r="A66" s="53" t="s">
        <v>668</v>
      </c>
      <c r="B66" s="89" t="s">
        <v>763</v>
      </c>
      <c r="C66" s="90"/>
      <c r="D66" s="90"/>
      <c r="E66" s="54" t="s">
        <v>687</v>
      </c>
      <c r="F66" s="1">
        <v>321</v>
      </c>
      <c r="G66" s="1">
        <v>320</v>
      </c>
      <c r="H66">
        <f t="shared" si="2"/>
        <v>1</v>
      </c>
      <c r="L66" s="1"/>
      <c r="M66" s="1"/>
    </row>
    <row r="67" spans="1:13" ht="12.75">
      <c r="A67" s="53" t="s">
        <v>764</v>
      </c>
      <c r="B67" s="89" t="s">
        <v>765</v>
      </c>
      <c r="C67" s="90"/>
      <c r="D67" s="90"/>
      <c r="E67" s="54" t="s">
        <v>687</v>
      </c>
      <c r="F67" s="1">
        <v>305</v>
      </c>
      <c r="G67" s="1">
        <v>305</v>
      </c>
      <c r="H67">
        <f t="shared" si="2"/>
        <v>0</v>
      </c>
      <c r="L67" s="1"/>
      <c r="M67" s="1"/>
    </row>
    <row r="68" spans="1:13" ht="12.75">
      <c r="A68" s="53" t="s">
        <v>766</v>
      </c>
      <c r="B68" s="89" t="s">
        <v>767</v>
      </c>
      <c r="C68" s="90"/>
      <c r="D68" s="90"/>
      <c r="E68" s="54" t="s">
        <v>687</v>
      </c>
      <c r="F68" s="1">
        <v>288</v>
      </c>
      <c r="G68" s="1">
        <v>295</v>
      </c>
      <c r="H68">
        <f t="shared" si="2"/>
        <v>-7</v>
      </c>
      <c r="J68" s="1">
        <v>162</v>
      </c>
      <c r="K68">
        <f>G68+J68</f>
        <v>457</v>
      </c>
      <c r="L68" s="1"/>
      <c r="M68" s="1"/>
    </row>
    <row r="69" spans="1:13" ht="12.75">
      <c r="A69" s="53" t="s">
        <v>769</v>
      </c>
      <c r="B69" s="89" t="s">
        <v>770</v>
      </c>
      <c r="C69" s="90"/>
      <c r="D69" s="90"/>
      <c r="E69" s="54" t="s">
        <v>687</v>
      </c>
      <c r="F69" s="1">
        <v>428</v>
      </c>
      <c r="G69" s="1">
        <v>435</v>
      </c>
      <c r="H69">
        <f t="shared" si="2"/>
        <v>-7</v>
      </c>
      <c r="L69" s="1"/>
      <c r="M69" s="1"/>
    </row>
    <row r="70" spans="1:13" ht="12.75">
      <c r="A70" s="1" t="s">
        <v>288</v>
      </c>
      <c r="B70" s="89" t="s">
        <v>772</v>
      </c>
      <c r="C70" s="90"/>
      <c r="D70" s="90"/>
      <c r="E70" s="54" t="s">
        <v>687</v>
      </c>
      <c r="F70" s="1">
        <v>398</v>
      </c>
      <c r="G70" s="1">
        <v>410</v>
      </c>
      <c r="H70">
        <f t="shared" si="2"/>
        <v>-12</v>
      </c>
      <c r="L70" s="1"/>
      <c r="M70" s="1"/>
    </row>
    <row r="71" spans="1:13" ht="12.75">
      <c r="A71" s="53" t="s">
        <v>773</v>
      </c>
      <c r="B71" s="89" t="s">
        <v>776</v>
      </c>
      <c r="C71" s="90"/>
      <c r="D71" s="90"/>
      <c r="E71" s="54" t="s">
        <v>687</v>
      </c>
      <c r="F71" s="1">
        <v>300</v>
      </c>
      <c r="G71" s="1">
        <v>315</v>
      </c>
      <c r="H71">
        <f t="shared" si="2"/>
        <v>-15</v>
      </c>
      <c r="L71" s="1"/>
      <c r="M71" s="1"/>
    </row>
    <row r="72" spans="1:13" ht="12.75">
      <c r="A72" s="53" t="s">
        <v>777</v>
      </c>
      <c r="B72" s="89" t="s">
        <v>778</v>
      </c>
      <c r="C72" s="90"/>
      <c r="D72" s="90"/>
      <c r="E72" s="54" t="s">
        <v>687</v>
      </c>
      <c r="F72" s="1">
        <v>348</v>
      </c>
      <c r="G72" s="1">
        <v>365</v>
      </c>
      <c r="H72">
        <f t="shared" si="2"/>
        <v>-17</v>
      </c>
      <c r="L72" s="1"/>
      <c r="M72" s="1"/>
    </row>
    <row r="73" spans="1:13" ht="12.75">
      <c r="A73" s="53" t="s">
        <v>688</v>
      </c>
      <c r="B73" s="89" t="s">
        <v>780</v>
      </c>
      <c r="C73" s="90"/>
      <c r="D73" s="90"/>
      <c r="E73" s="54" t="s">
        <v>687</v>
      </c>
      <c r="F73" s="1">
        <v>495</v>
      </c>
      <c r="G73" s="1">
        <v>515</v>
      </c>
      <c r="H73">
        <f t="shared" si="2"/>
        <v>-20</v>
      </c>
      <c r="L73" s="1"/>
      <c r="M73" s="1"/>
    </row>
    <row r="74" spans="1:13" ht="12.75">
      <c r="A74" s="53" t="s">
        <v>781</v>
      </c>
      <c r="B74" s="89" t="s">
        <v>782</v>
      </c>
      <c r="C74" s="90"/>
      <c r="D74" s="90"/>
      <c r="E74" s="54" t="s">
        <v>687</v>
      </c>
      <c r="F74" s="1">
        <v>590</v>
      </c>
      <c r="G74" s="1">
        <v>610</v>
      </c>
      <c r="H74">
        <f t="shared" si="2"/>
        <v>-20</v>
      </c>
      <c r="L74" s="1"/>
      <c r="M74" s="1"/>
    </row>
    <row r="75" spans="1:13" ht="12.75">
      <c r="A75" s="53" t="s">
        <v>779</v>
      </c>
      <c r="B75" s="89" t="s">
        <v>783</v>
      </c>
      <c r="C75" s="90"/>
      <c r="D75" s="90"/>
      <c r="E75" s="54" t="s">
        <v>687</v>
      </c>
      <c r="F75" s="1">
        <v>349</v>
      </c>
      <c r="G75" s="1">
        <v>370</v>
      </c>
      <c r="H75">
        <f t="shared" si="2"/>
        <v>-21</v>
      </c>
      <c r="L75" s="1"/>
      <c r="M75" s="1"/>
    </row>
    <row r="76" spans="1:13" ht="12.75">
      <c r="A76" s="53" t="s">
        <v>784</v>
      </c>
      <c r="B76" s="89" t="s">
        <v>785</v>
      </c>
      <c r="C76" s="90"/>
      <c r="D76" s="90"/>
      <c r="E76" s="54" t="s">
        <v>687</v>
      </c>
      <c r="F76" s="1">
        <v>644</v>
      </c>
      <c r="G76" s="1">
        <v>665</v>
      </c>
      <c r="H76">
        <f t="shared" si="2"/>
        <v>-21</v>
      </c>
      <c r="L76" s="1"/>
      <c r="M76" s="1"/>
    </row>
    <row r="77" spans="1:13" ht="12.75">
      <c r="A77" s="53" t="s">
        <v>786</v>
      </c>
      <c r="B77" s="89" t="s">
        <v>787</v>
      </c>
      <c r="C77" s="90"/>
      <c r="D77" s="90"/>
      <c r="E77" s="54" t="s">
        <v>687</v>
      </c>
      <c r="F77" s="1">
        <v>308</v>
      </c>
      <c r="G77" s="1">
        <v>330</v>
      </c>
      <c r="H77">
        <f t="shared" si="2"/>
        <v>-22</v>
      </c>
      <c r="L77" s="1"/>
      <c r="M77" s="1"/>
    </row>
    <row r="78" spans="1:13" ht="12.75">
      <c r="A78" s="53" t="s">
        <v>788</v>
      </c>
      <c r="B78" s="89" t="s">
        <v>789</v>
      </c>
      <c r="C78" s="90"/>
      <c r="D78" s="90"/>
      <c r="E78" s="54" t="s">
        <v>687</v>
      </c>
      <c r="F78" s="1">
        <v>268</v>
      </c>
      <c r="G78" s="1">
        <v>295</v>
      </c>
      <c r="H78">
        <f t="shared" si="2"/>
        <v>-27</v>
      </c>
      <c r="L78" s="1"/>
      <c r="M78" s="1"/>
    </row>
    <row r="79" spans="1:13" ht="12.75">
      <c r="A79" s="53" t="s">
        <v>790</v>
      </c>
      <c r="B79" s="89" t="s">
        <v>791</v>
      </c>
      <c r="C79" s="90"/>
      <c r="D79" s="90"/>
      <c r="E79" s="54" t="s">
        <v>687</v>
      </c>
      <c r="F79" s="1">
        <v>409</v>
      </c>
      <c r="G79" s="1">
        <v>440</v>
      </c>
      <c r="H79">
        <f t="shared" si="2"/>
        <v>-31</v>
      </c>
      <c r="L79" s="1"/>
      <c r="M79" s="1"/>
    </row>
    <row r="80" spans="1:13" ht="12.75">
      <c r="A80" s="53" t="s">
        <v>792</v>
      </c>
      <c r="B80" s="89" t="s">
        <v>793</v>
      </c>
      <c r="C80" s="90"/>
      <c r="D80" s="90"/>
      <c r="E80" s="54" t="s">
        <v>687</v>
      </c>
      <c r="F80" s="1">
        <v>434</v>
      </c>
      <c r="G80" s="1">
        <v>465</v>
      </c>
      <c r="H80">
        <f t="shared" si="2"/>
        <v>-31</v>
      </c>
      <c r="L80" s="1"/>
      <c r="M80" s="1"/>
    </row>
    <row r="81" spans="1:13" ht="12.75">
      <c r="A81" s="53" t="s">
        <v>794</v>
      </c>
      <c r="B81" s="89" t="s">
        <v>795</v>
      </c>
      <c r="C81" s="90"/>
      <c r="D81" s="90"/>
      <c r="E81" s="54" t="s">
        <v>687</v>
      </c>
      <c r="F81" s="1">
        <v>482</v>
      </c>
      <c r="G81" s="1">
        <v>515</v>
      </c>
      <c r="H81">
        <f t="shared" si="2"/>
        <v>-33</v>
      </c>
      <c r="L81" s="1"/>
      <c r="M81" s="1"/>
    </row>
    <row r="82" spans="1:13" ht="12.75">
      <c r="A82" s="53" t="s">
        <v>796</v>
      </c>
      <c r="B82" s="89" t="s">
        <v>797</v>
      </c>
      <c r="C82" s="90"/>
      <c r="D82" s="90"/>
      <c r="E82" s="54" t="s">
        <v>687</v>
      </c>
      <c r="F82" s="1">
        <v>136</v>
      </c>
      <c r="G82" s="1">
        <v>170</v>
      </c>
      <c r="H82">
        <f t="shared" si="2"/>
        <v>-34</v>
      </c>
      <c r="L82" s="1"/>
      <c r="M82" s="1"/>
    </row>
    <row r="83" spans="1:13" ht="12.75">
      <c r="A83" s="53" t="s">
        <v>798</v>
      </c>
      <c r="B83" s="89" t="s">
        <v>799</v>
      </c>
      <c r="C83" s="90"/>
      <c r="D83" s="90"/>
      <c r="E83" s="54" t="s">
        <v>687</v>
      </c>
      <c r="F83" s="1">
        <v>355</v>
      </c>
      <c r="G83" s="1">
        <v>390</v>
      </c>
      <c r="H83">
        <f t="shared" si="2"/>
        <v>-35</v>
      </c>
      <c r="L83" s="1"/>
      <c r="M83" s="1"/>
    </row>
    <row r="84" spans="1:13" ht="12.75">
      <c r="A84" s="53" t="s">
        <v>800</v>
      </c>
      <c r="B84" s="89" t="s">
        <v>801</v>
      </c>
      <c r="C84" s="90"/>
      <c r="D84" s="90"/>
      <c r="E84" s="54" t="s">
        <v>687</v>
      </c>
      <c r="F84" s="1">
        <v>529</v>
      </c>
      <c r="G84" s="1">
        <v>565</v>
      </c>
      <c r="H84">
        <f t="shared" si="2"/>
        <v>-36</v>
      </c>
      <c r="L84" s="1"/>
      <c r="M84" s="1"/>
    </row>
    <row r="85" spans="1:13" ht="12.75">
      <c r="A85" s="53" t="s">
        <v>802</v>
      </c>
      <c r="B85" s="89" t="s">
        <v>803</v>
      </c>
      <c r="C85" s="90"/>
      <c r="D85" s="90"/>
      <c r="E85" s="54" t="s">
        <v>687</v>
      </c>
      <c r="F85" s="1">
        <v>454</v>
      </c>
      <c r="G85" s="1">
        <v>490</v>
      </c>
      <c r="H85">
        <f t="shared" si="2"/>
        <v>-36</v>
      </c>
      <c r="L85" s="1"/>
      <c r="M85" s="1"/>
    </row>
    <row r="86" spans="1:13" ht="12.75">
      <c r="A86" s="53" t="s">
        <v>804</v>
      </c>
      <c r="B86" s="89" t="s">
        <v>805</v>
      </c>
      <c r="C86" s="90"/>
      <c r="D86" s="90"/>
      <c r="E86" s="54" t="s">
        <v>687</v>
      </c>
      <c r="F86" s="1">
        <v>589</v>
      </c>
      <c r="G86" s="1">
        <v>635</v>
      </c>
      <c r="H86">
        <f t="shared" si="2"/>
        <v>-46</v>
      </c>
      <c r="L86" s="1"/>
      <c r="M86" s="1"/>
    </row>
    <row r="87" spans="1:13" ht="12.75">
      <c r="A87" s="53" t="s">
        <v>806</v>
      </c>
      <c r="B87" s="89" t="s">
        <v>807</v>
      </c>
      <c r="C87" s="90"/>
      <c r="D87" s="90"/>
      <c r="E87" s="54" t="s">
        <v>687</v>
      </c>
      <c r="F87" s="1">
        <v>367</v>
      </c>
      <c r="G87" s="1">
        <v>415</v>
      </c>
      <c r="H87">
        <f t="shared" si="2"/>
        <v>-48</v>
      </c>
      <c r="L87" s="1"/>
      <c r="M87" s="1"/>
    </row>
    <row r="88" spans="1:13" ht="12.75">
      <c r="A88" s="53" t="s">
        <v>808</v>
      </c>
      <c r="B88" s="89" t="s">
        <v>809</v>
      </c>
      <c r="C88" s="90"/>
      <c r="D88" s="90"/>
      <c r="E88" s="54" t="s">
        <v>687</v>
      </c>
      <c r="F88" s="1">
        <v>396</v>
      </c>
      <c r="G88" s="1">
        <v>444</v>
      </c>
      <c r="H88">
        <f t="shared" si="2"/>
        <v>-48</v>
      </c>
      <c r="L88" s="1"/>
      <c r="M88" s="1"/>
    </row>
    <row r="89" spans="1:13" ht="12.75">
      <c r="A89" s="53" t="s">
        <v>810</v>
      </c>
      <c r="B89" s="89" t="s">
        <v>811</v>
      </c>
      <c r="C89" s="90"/>
      <c r="D89" s="90"/>
      <c r="E89" s="54" t="s">
        <v>687</v>
      </c>
      <c r="F89" s="1">
        <v>460</v>
      </c>
      <c r="G89" s="1">
        <v>515</v>
      </c>
      <c r="H89">
        <f t="shared" si="2"/>
        <v>-55</v>
      </c>
      <c r="L89" s="1"/>
      <c r="M89" s="1"/>
    </row>
    <row r="90" spans="1:13" ht="12.75">
      <c r="A90" s="53" t="s">
        <v>812</v>
      </c>
      <c r="B90" s="89" t="s">
        <v>813</v>
      </c>
      <c r="C90" s="90"/>
      <c r="D90" s="90"/>
      <c r="E90" s="54" t="s">
        <v>687</v>
      </c>
      <c r="F90" s="1">
        <v>108</v>
      </c>
      <c r="G90" s="1">
        <v>170</v>
      </c>
      <c r="H90">
        <f t="shared" si="2"/>
        <v>-62</v>
      </c>
      <c r="L90" s="1"/>
      <c r="M90" s="1"/>
    </row>
    <row r="91" spans="1:13" ht="12.75">
      <c r="A91" s="53" t="s">
        <v>741</v>
      </c>
      <c r="B91" s="89" t="s">
        <v>814</v>
      </c>
      <c r="C91" s="90"/>
      <c r="D91" s="90"/>
      <c r="E91" s="54" t="s">
        <v>687</v>
      </c>
      <c r="F91" s="1">
        <v>154</v>
      </c>
      <c r="G91" s="1">
        <v>220</v>
      </c>
      <c r="H91">
        <f t="shared" si="2"/>
        <v>-66</v>
      </c>
      <c r="L91" s="1"/>
      <c r="M91" s="1"/>
    </row>
    <row r="92" spans="1:13" ht="12.75">
      <c r="A92" s="53" t="s">
        <v>815</v>
      </c>
      <c r="B92" s="89" t="s">
        <v>816</v>
      </c>
      <c r="C92" s="90"/>
      <c r="D92" s="90"/>
      <c r="E92" s="54" t="s">
        <v>687</v>
      </c>
      <c r="F92" s="1">
        <v>374</v>
      </c>
      <c r="G92" s="1">
        <v>440</v>
      </c>
      <c r="H92">
        <f t="shared" si="2"/>
        <v>-66</v>
      </c>
      <c r="L92" s="1"/>
      <c r="M92" s="1"/>
    </row>
    <row r="93" spans="1:13" ht="12.75">
      <c r="A93" s="53" t="s">
        <v>817</v>
      </c>
      <c r="B93" s="89" t="s">
        <v>818</v>
      </c>
      <c r="C93" s="90"/>
      <c r="D93" s="90"/>
      <c r="E93" s="54" t="s">
        <v>687</v>
      </c>
      <c r="F93" s="1">
        <v>521</v>
      </c>
      <c r="G93" s="1">
        <v>590</v>
      </c>
      <c r="H93">
        <f t="shared" si="2"/>
        <v>-69</v>
      </c>
      <c r="L93" s="1"/>
      <c r="M93" s="1"/>
    </row>
    <row r="94" spans="1:13" ht="12.75">
      <c r="A94" s="53" t="s">
        <v>819</v>
      </c>
      <c r="B94" s="89" t="s">
        <v>820</v>
      </c>
      <c r="C94" s="90"/>
      <c r="D94" s="90"/>
      <c r="E94" s="54" t="s">
        <v>687</v>
      </c>
      <c r="F94" s="1">
        <v>515</v>
      </c>
      <c r="G94" s="1">
        <v>585</v>
      </c>
      <c r="H94">
        <f t="shared" si="2"/>
        <v>-70</v>
      </c>
      <c r="L94" s="1"/>
      <c r="M94" s="1"/>
    </row>
    <row r="95" spans="1:13" ht="12.75">
      <c r="A95" s="53" t="s">
        <v>731</v>
      </c>
      <c r="B95" s="89" t="s">
        <v>821</v>
      </c>
      <c r="C95" s="90"/>
      <c r="D95" s="90"/>
      <c r="E95" s="54" t="s">
        <v>687</v>
      </c>
      <c r="F95" s="1">
        <v>268</v>
      </c>
      <c r="G95" s="1">
        <v>340</v>
      </c>
      <c r="H95">
        <f t="shared" si="2"/>
        <v>-72</v>
      </c>
      <c r="L95" s="1"/>
      <c r="M95" s="1"/>
    </row>
    <row r="96" spans="1:13" ht="12.75">
      <c r="A96" s="53" t="s">
        <v>822</v>
      </c>
      <c r="B96" s="89" t="s">
        <v>823</v>
      </c>
      <c r="C96" s="90"/>
      <c r="D96" s="90"/>
      <c r="E96" s="54" t="s">
        <v>687</v>
      </c>
      <c r="F96" s="1">
        <v>417</v>
      </c>
      <c r="G96" s="1">
        <v>490</v>
      </c>
      <c r="H96">
        <f t="shared" si="2"/>
        <v>-73</v>
      </c>
      <c r="L96" s="1"/>
      <c r="M96" s="1"/>
    </row>
    <row r="97" spans="1:13" ht="12.75">
      <c r="A97" s="53" t="s">
        <v>824</v>
      </c>
      <c r="B97" s="89" t="s">
        <v>825</v>
      </c>
      <c r="C97" s="90"/>
      <c r="D97" s="90"/>
      <c r="E97" s="54" t="s">
        <v>687</v>
      </c>
      <c r="F97" s="1">
        <v>239</v>
      </c>
      <c r="G97" s="1">
        <v>320</v>
      </c>
      <c r="H97">
        <f t="shared" si="2"/>
        <v>-81</v>
      </c>
      <c r="L97" s="1"/>
      <c r="M97" s="1"/>
    </row>
    <row r="98" spans="1:13" ht="12.75">
      <c r="A98" s="53" t="s">
        <v>826</v>
      </c>
      <c r="B98" s="89" t="s">
        <v>827</v>
      </c>
      <c r="C98" s="90"/>
      <c r="D98" s="90"/>
      <c r="E98" s="54" t="s">
        <v>687</v>
      </c>
      <c r="F98" s="1">
        <v>35</v>
      </c>
      <c r="G98" s="1">
        <v>120</v>
      </c>
      <c r="H98">
        <f t="shared" si="2"/>
        <v>-85</v>
      </c>
      <c r="L98" s="1"/>
      <c r="M98" s="1"/>
    </row>
    <row r="99" spans="1:13" ht="12.75">
      <c r="A99" s="53" t="s">
        <v>828</v>
      </c>
      <c r="B99" s="89" t="s">
        <v>829</v>
      </c>
      <c r="C99" s="90"/>
      <c r="D99" s="90"/>
      <c r="E99" s="54" t="s">
        <v>687</v>
      </c>
      <c r="F99" s="1">
        <v>310</v>
      </c>
      <c r="G99" s="1">
        <v>395</v>
      </c>
      <c r="H99">
        <f t="shared" si="2"/>
        <v>-85</v>
      </c>
      <c r="L99" s="1"/>
      <c r="M99" s="1"/>
    </row>
    <row r="100" spans="1:13" ht="12.75">
      <c r="A100" s="53" t="s">
        <v>830</v>
      </c>
      <c r="B100" s="89" t="s">
        <v>831</v>
      </c>
      <c r="C100" s="90"/>
      <c r="D100" s="90"/>
      <c r="E100" s="54" t="s">
        <v>687</v>
      </c>
      <c r="F100" s="1">
        <v>528</v>
      </c>
      <c r="G100" s="1">
        <v>615</v>
      </c>
      <c r="H100">
        <f t="shared" si="2"/>
        <v>-87</v>
      </c>
      <c r="L100" s="1"/>
      <c r="M100" s="1"/>
    </row>
    <row r="101" spans="1:13" ht="12.75">
      <c r="A101" s="53" t="s">
        <v>695</v>
      </c>
      <c r="B101" s="89" t="s">
        <v>832</v>
      </c>
      <c r="C101" s="90"/>
      <c r="D101" s="90"/>
      <c r="E101" s="54" t="s">
        <v>687</v>
      </c>
      <c r="F101" s="1">
        <v>451</v>
      </c>
      <c r="G101" s="1">
        <v>540</v>
      </c>
      <c r="H101">
        <f t="shared" si="2"/>
        <v>-89</v>
      </c>
      <c r="L101" s="1"/>
      <c r="M101" s="1"/>
    </row>
    <row r="102" spans="1:13" ht="12.75">
      <c r="A102" s="53" t="s">
        <v>714</v>
      </c>
      <c r="B102" s="89" t="s">
        <v>833</v>
      </c>
      <c r="C102" s="90"/>
      <c r="D102" s="90"/>
      <c r="E102" s="54" t="s">
        <v>687</v>
      </c>
      <c r="F102" s="1">
        <v>499</v>
      </c>
      <c r="G102" s="1">
        <v>590</v>
      </c>
      <c r="H102">
        <f t="shared" si="2"/>
        <v>-91</v>
      </c>
      <c r="L102" s="1"/>
      <c r="M102" s="1"/>
    </row>
    <row r="103" spans="1:13" ht="12.75">
      <c r="A103" s="53" t="s">
        <v>768</v>
      </c>
      <c r="B103" s="89" t="s">
        <v>834</v>
      </c>
      <c r="C103" s="90"/>
      <c r="D103" s="90"/>
      <c r="E103" s="54" t="s">
        <v>687</v>
      </c>
      <c r="F103" s="1">
        <v>374</v>
      </c>
      <c r="G103" s="1">
        <v>465</v>
      </c>
      <c r="H103">
        <f t="shared" si="2"/>
        <v>-91</v>
      </c>
      <c r="L103" s="1"/>
      <c r="M103" s="1"/>
    </row>
    <row r="104" spans="1:13" ht="12.75">
      <c r="A104" s="53" t="s">
        <v>835</v>
      </c>
      <c r="B104" s="89" t="s">
        <v>836</v>
      </c>
      <c r="C104" s="90"/>
      <c r="D104" s="90"/>
      <c r="E104" s="54" t="s">
        <v>687</v>
      </c>
      <c r="F104" s="1">
        <v>396</v>
      </c>
      <c r="G104" s="1">
        <v>490</v>
      </c>
      <c r="H104">
        <f t="shared" si="2"/>
        <v>-94</v>
      </c>
      <c r="L104" s="1"/>
      <c r="M104" s="1"/>
    </row>
    <row r="105" spans="1:13" ht="12.75">
      <c r="A105" s="53" t="s">
        <v>678</v>
      </c>
      <c r="B105" s="89" t="s">
        <v>838</v>
      </c>
      <c r="C105" s="90"/>
      <c r="D105" s="90"/>
      <c r="E105" s="54" t="s">
        <v>687</v>
      </c>
      <c r="F105" s="1">
        <v>495</v>
      </c>
      <c r="G105" s="1">
        <v>590</v>
      </c>
      <c r="H105">
        <f t="shared" si="2"/>
        <v>-95</v>
      </c>
      <c r="L105" s="1"/>
      <c r="M105" s="1"/>
    </row>
    <row r="106" spans="1:13" ht="12.75">
      <c r="A106" s="53" t="s">
        <v>839</v>
      </c>
      <c r="B106" s="89" t="s">
        <v>840</v>
      </c>
      <c r="C106" s="90"/>
      <c r="D106" s="90"/>
      <c r="E106" s="54" t="s">
        <v>687</v>
      </c>
      <c r="F106" s="1">
        <v>515</v>
      </c>
      <c r="G106" s="1">
        <v>610</v>
      </c>
      <c r="H106">
        <f t="shared" si="2"/>
        <v>-95</v>
      </c>
      <c r="L106" s="1"/>
      <c r="M106" s="1"/>
    </row>
    <row r="107" spans="1:13" ht="12.75">
      <c r="A107" s="53" t="s">
        <v>841</v>
      </c>
      <c r="B107" s="89" t="s">
        <v>842</v>
      </c>
      <c r="C107" s="90"/>
      <c r="D107" s="90"/>
      <c r="E107" s="54" t="s">
        <v>687</v>
      </c>
      <c r="F107" s="1">
        <v>343</v>
      </c>
      <c r="G107" s="1">
        <v>440</v>
      </c>
      <c r="H107">
        <f t="shared" si="2"/>
        <v>-97</v>
      </c>
      <c r="L107" s="1"/>
      <c r="M107" s="1"/>
    </row>
    <row r="108" spans="1:13" ht="12.75">
      <c r="A108" s="53" t="s">
        <v>843</v>
      </c>
      <c r="B108" s="89" t="s">
        <v>844</v>
      </c>
      <c r="C108" s="90"/>
      <c r="D108" s="90"/>
      <c r="E108" s="54" t="s">
        <v>687</v>
      </c>
      <c r="F108" s="1">
        <v>416</v>
      </c>
      <c r="G108" s="1">
        <v>515</v>
      </c>
      <c r="H108">
        <f t="shared" si="2"/>
        <v>-99</v>
      </c>
      <c r="L108" s="1"/>
      <c r="M108" s="1"/>
    </row>
    <row r="109" spans="1:13" ht="12.75">
      <c r="A109" s="53" t="s">
        <v>845</v>
      </c>
      <c r="B109" s="89" t="s">
        <v>846</v>
      </c>
      <c r="C109" s="90"/>
      <c r="D109" s="90"/>
      <c r="E109" s="54" t="s">
        <v>687</v>
      </c>
      <c r="F109" s="1">
        <v>416</v>
      </c>
      <c r="G109" s="1">
        <v>515</v>
      </c>
      <c r="H109">
        <f t="shared" si="2"/>
        <v>-99</v>
      </c>
      <c r="L109" s="1"/>
      <c r="M109" s="1"/>
    </row>
    <row r="110" spans="1:13" ht="12.75">
      <c r="A110" s="53" t="s">
        <v>720</v>
      </c>
      <c r="B110" s="89" t="s">
        <v>847</v>
      </c>
      <c r="C110" s="90"/>
      <c r="D110" s="90"/>
      <c r="E110" s="54" t="s">
        <v>687</v>
      </c>
      <c r="F110" s="1">
        <v>211</v>
      </c>
      <c r="G110" s="1">
        <v>315</v>
      </c>
      <c r="H110">
        <f t="shared" si="2"/>
        <v>-104</v>
      </c>
      <c r="L110" s="1"/>
      <c r="M110" s="1"/>
    </row>
    <row r="111" spans="1:13" ht="12.75">
      <c r="A111" s="53" t="s">
        <v>848</v>
      </c>
      <c r="B111" s="89" t="s">
        <v>849</v>
      </c>
      <c r="C111" s="90"/>
      <c r="D111" s="90"/>
      <c r="E111" s="54" t="s">
        <v>687</v>
      </c>
      <c r="F111" s="1">
        <v>359</v>
      </c>
      <c r="G111" s="1">
        <v>465</v>
      </c>
      <c r="H111">
        <f t="shared" si="2"/>
        <v>-106</v>
      </c>
      <c r="L111" s="1"/>
      <c r="M111" s="1"/>
    </row>
    <row r="112" spans="1:13" ht="12.75">
      <c r="A112" s="53" t="s">
        <v>850</v>
      </c>
      <c r="B112" s="89" t="s">
        <v>851</v>
      </c>
      <c r="C112" s="90"/>
      <c r="D112" s="90"/>
      <c r="E112" s="54" t="s">
        <v>687</v>
      </c>
      <c r="F112" s="1">
        <v>406</v>
      </c>
      <c r="G112" s="1">
        <v>515</v>
      </c>
      <c r="H112">
        <f t="shared" si="2"/>
        <v>-109</v>
      </c>
      <c r="L112" s="1"/>
      <c r="M112" s="1"/>
    </row>
    <row r="113" spans="1:13" ht="12.75">
      <c r="A113" s="53" t="s">
        <v>852</v>
      </c>
      <c r="B113" s="89" t="s">
        <v>853</v>
      </c>
      <c r="C113" s="90"/>
      <c r="D113" s="90"/>
      <c r="E113" s="54" t="s">
        <v>687</v>
      </c>
      <c r="F113" s="1">
        <v>323</v>
      </c>
      <c r="G113" s="1">
        <v>440</v>
      </c>
      <c r="H113">
        <f t="shared" si="2"/>
        <v>-117</v>
      </c>
      <c r="L113" s="1"/>
      <c r="M113" s="1"/>
    </row>
    <row r="114" spans="1:13" ht="12.75">
      <c r="A114" s="53" t="s">
        <v>854</v>
      </c>
      <c r="B114" s="89" t="s">
        <v>855</v>
      </c>
      <c r="C114" s="90"/>
      <c r="D114" s="90"/>
      <c r="E114" s="54" t="s">
        <v>687</v>
      </c>
      <c r="F114" s="1">
        <v>364</v>
      </c>
      <c r="G114" s="1">
        <v>490</v>
      </c>
      <c r="H114">
        <f t="shared" si="2"/>
        <v>-126</v>
      </c>
      <c r="L114" s="1"/>
      <c r="M114" s="1"/>
    </row>
    <row r="115" spans="1:13" ht="12.75">
      <c r="A115" s="53" t="s">
        <v>856</v>
      </c>
      <c r="B115" s="89" t="s">
        <v>857</v>
      </c>
      <c r="C115" s="90"/>
      <c r="D115" s="90"/>
      <c r="E115" s="54" t="s">
        <v>687</v>
      </c>
      <c r="F115" s="1">
        <v>436</v>
      </c>
      <c r="G115" s="1">
        <v>565</v>
      </c>
      <c r="H115">
        <f t="shared" si="2"/>
        <v>-129</v>
      </c>
      <c r="L115" s="1"/>
      <c r="M115" s="1"/>
    </row>
    <row r="116" spans="1:13" ht="12.75">
      <c r="A116" s="53" t="s">
        <v>859</v>
      </c>
      <c r="B116" s="89" t="s">
        <v>860</v>
      </c>
      <c r="C116" s="90"/>
      <c r="D116" s="90"/>
      <c r="E116" s="54" t="s">
        <v>687</v>
      </c>
      <c r="F116" s="1">
        <v>481</v>
      </c>
      <c r="G116" s="1">
        <v>610</v>
      </c>
      <c r="H116">
        <f t="shared" si="2"/>
        <v>-129</v>
      </c>
      <c r="L116" s="1"/>
      <c r="M116" s="1"/>
    </row>
    <row r="117" spans="1:13" ht="12.75">
      <c r="A117" s="53" t="s">
        <v>861</v>
      </c>
      <c r="B117" s="89" t="s">
        <v>862</v>
      </c>
      <c r="C117" s="90"/>
      <c r="D117" s="90"/>
      <c r="E117" s="54" t="s">
        <v>687</v>
      </c>
      <c r="F117" s="1">
        <v>361</v>
      </c>
      <c r="G117" s="1">
        <v>490</v>
      </c>
      <c r="H117">
        <f t="shared" si="2"/>
        <v>-129</v>
      </c>
      <c r="L117" s="1"/>
      <c r="M117" s="1"/>
    </row>
    <row r="118" spans="1:13" ht="12.75">
      <c r="A118" s="53" t="s">
        <v>858</v>
      </c>
      <c r="B118" s="89" t="s">
        <v>863</v>
      </c>
      <c r="C118" s="90"/>
      <c r="D118" s="90"/>
      <c r="E118" s="54" t="s">
        <v>687</v>
      </c>
      <c r="F118" s="1">
        <v>356</v>
      </c>
      <c r="G118" s="1">
        <v>490</v>
      </c>
      <c r="H118">
        <f t="shared" si="2"/>
        <v>-134</v>
      </c>
      <c r="L118" s="1"/>
      <c r="M118" s="1"/>
    </row>
    <row r="119" spans="1:13" ht="12.75">
      <c r="A119" s="53" t="s">
        <v>864</v>
      </c>
      <c r="B119" s="89" t="s">
        <v>865</v>
      </c>
      <c r="C119" s="90"/>
      <c r="D119" s="90"/>
      <c r="E119" s="54" t="s">
        <v>687</v>
      </c>
      <c r="F119" s="1">
        <v>281</v>
      </c>
      <c r="G119" s="1">
        <v>415</v>
      </c>
      <c r="H119">
        <f t="shared" si="2"/>
        <v>-134</v>
      </c>
      <c r="L119" s="1"/>
      <c r="M119" s="1"/>
    </row>
    <row r="120" spans="1:13" ht="12.75">
      <c r="A120" s="53" t="s">
        <v>866</v>
      </c>
      <c r="B120" s="89" t="s">
        <v>867</v>
      </c>
      <c r="C120" s="90"/>
      <c r="D120" s="90"/>
      <c r="E120" s="54" t="s">
        <v>687</v>
      </c>
      <c r="F120" s="1">
        <v>428</v>
      </c>
      <c r="G120" s="1">
        <v>565</v>
      </c>
      <c r="H120">
        <f t="shared" si="2"/>
        <v>-137</v>
      </c>
      <c r="L120" s="1"/>
      <c r="M120" s="1"/>
    </row>
    <row r="121" spans="1:13" ht="12.75">
      <c r="A121" s="53" t="s">
        <v>750</v>
      </c>
      <c r="B121" s="89" t="s">
        <v>868</v>
      </c>
      <c r="C121" s="90"/>
      <c r="D121" s="90"/>
      <c r="E121" s="54" t="s">
        <v>687</v>
      </c>
      <c r="F121" s="1">
        <v>351</v>
      </c>
      <c r="G121" s="1">
        <v>490</v>
      </c>
      <c r="H121">
        <f t="shared" si="2"/>
        <v>-139</v>
      </c>
      <c r="L121" s="1"/>
      <c r="M121" s="1"/>
    </row>
    <row r="122" spans="1:13" ht="12.75">
      <c r="A122" s="53" t="s">
        <v>869</v>
      </c>
      <c r="B122" s="89" t="s">
        <v>870</v>
      </c>
      <c r="C122" s="90"/>
      <c r="D122" s="90"/>
      <c r="E122" s="54" t="s">
        <v>687</v>
      </c>
      <c r="F122" s="1">
        <v>384</v>
      </c>
      <c r="G122" s="1">
        <v>540</v>
      </c>
      <c r="H122">
        <f t="shared" si="2"/>
        <v>-156</v>
      </c>
      <c r="L122" s="1"/>
      <c r="M122" s="1"/>
    </row>
    <row r="123" spans="1:13" ht="12.75">
      <c r="A123" s="53" t="s">
        <v>704</v>
      </c>
      <c r="B123" s="89" t="s">
        <v>871</v>
      </c>
      <c r="C123" s="90"/>
      <c r="D123" s="90"/>
      <c r="E123" s="54" t="s">
        <v>687</v>
      </c>
      <c r="F123" s="1">
        <v>378</v>
      </c>
      <c r="G123" s="1">
        <v>540</v>
      </c>
      <c r="H123">
        <f t="shared" si="2"/>
        <v>-162</v>
      </c>
      <c r="L123" s="1"/>
      <c r="M123" s="1"/>
    </row>
    <row r="124" spans="1:13" ht="12.75">
      <c r="A124" s="53" t="s">
        <v>872</v>
      </c>
      <c r="B124" s="89" t="s">
        <v>873</v>
      </c>
      <c r="C124" s="90"/>
      <c r="D124" s="90"/>
      <c r="E124" s="54" t="s">
        <v>687</v>
      </c>
      <c r="F124" s="1">
        <v>426</v>
      </c>
      <c r="G124" s="1">
        <v>590</v>
      </c>
      <c r="H124">
        <f t="shared" si="2"/>
        <v>-164</v>
      </c>
      <c r="L124" s="1"/>
      <c r="M124" s="1"/>
    </row>
    <row r="125" spans="1:13" ht="12.75">
      <c r="A125" s="53" t="s">
        <v>837</v>
      </c>
      <c r="B125" s="89" t="s">
        <v>874</v>
      </c>
      <c r="C125" s="90"/>
      <c r="D125" s="90"/>
      <c r="E125" s="54" t="s">
        <v>687</v>
      </c>
      <c r="F125" s="1">
        <v>373</v>
      </c>
      <c r="G125" s="1">
        <v>590</v>
      </c>
      <c r="H125">
        <f t="shared" si="2"/>
        <v>-217</v>
      </c>
      <c r="L125" s="1"/>
      <c r="M125" s="1"/>
    </row>
    <row r="126" spans="1:13" ht="12.75">
      <c r="A126" s="53" t="s">
        <v>875</v>
      </c>
      <c r="B126" s="89" t="s">
        <v>876</v>
      </c>
      <c r="C126" s="90"/>
      <c r="D126" s="90"/>
      <c r="E126" s="54" t="s">
        <v>687</v>
      </c>
      <c r="F126" s="1">
        <v>172</v>
      </c>
      <c r="G126" s="1">
        <v>390</v>
      </c>
      <c r="H126">
        <f t="shared" si="2"/>
        <v>-218</v>
      </c>
      <c r="L126" s="1"/>
      <c r="M126" s="1"/>
    </row>
    <row r="127" spans="1:13" ht="12.75">
      <c r="A127" s="5" t="s">
        <v>529</v>
      </c>
      <c r="B127" s="90"/>
      <c r="C127" s="90"/>
      <c r="D127" s="90"/>
      <c r="F127" s="5">
        <f t="shared" ref="F127:H127" si="3">SUM(F31:F126)</f>
        <v>40016</v>
      </c>
      <c r="G127" s="5">
        <f t="shared" si="3"/>
        <v>42679</v>
      </c>
      <c r="H127" s="5">
        <f t="shared" si="3"/>
        <v>-2663</v>
      </c>
    </row>
    <row r="129" spans="1:7" ht="12.75">
      <c r="A129" s="5" t="s">
        <v>877</v>
      </c>
      <c r="B129" s="90"/>
      <c r="C129" s="90"/>
      <c r="D129" s="90"/>
      <c r="E129" s="1" t="s">
        <v>878</v>
      </c>
    </row>
    <row r="130" spans="1:7" ht="12.75">
      <c r="A130" s="1" t="s">
        <v>879</v>
      </c>
      <c r="B130" s="92" t="s">
        <v>880</v>
      </c>
      <c r="C130" s="90"/>
      <c r="D130" s="90"/>
      <c r="E130" s="1" t="s">
        <v>881</v>
      </c>
      <c r="G130" s="1">
        <v>525</v>
      </c>
    </row>
    <row r="131" spans="1:7" ht="12.75">
      <c r="A131" s="1" t="s">
        <v>882</v>
      </c>
      <c r="B131" s="92" t="s">
        <v>883</v>
      </c>
      <c r="C131" s="90"/>
      <c r="D131" s="90"/>
      <c r="E131" s="1" t="s">
        <v>881</v>
      </c>
      <c r="G131" s="1">
        <v>525</v>
      </c>
    </row>
    <row r="132" spans="1:7" ht="12.75">
      <c r="A132" s="1" t="s">
        <v>884</v>
      </c>
      <c r="B132" s="92" t="s">
        <v>885</v>
      </c>
      <c r="C132" s="90"/>
      <c r="D132" s="90"/>
      <c r="E132" s="1" t="s">
        <v>886</v>
      </c>
      <c r="F132" s="1"/>
      <c r="G132" s="1">
        <v>525</v>
      </c>
    </row>
    <row r="133" spans="1:7" ht="12.75">
      <c r="A133" s="1" t="s">
        <v>887</v>
      </c>
      <c r="B133" s="1"/>
      <c r="C133" s="1"/>
      <c r="D133" s="1"/>
      <c r="E133" s="1" t="s">
        <v>886</v>
      </c>
      <c r="F133" s="1" t="s">
        <v>888</v>
      </c>
      <c r="G133" s="1">
        <v>525</v>
      </c>
    </row>
    <row r="134" spans="1:7" ht="12.75">
      <c r="A134" s="1" t="s">
        <v>889</v>
      </c>
      <c r="B134" s="93"/>
      <c r="C134" s="90"/>
      <c r="D134" s="90"/>
      <c r="E134" s="1" t="s">
        <v>886</v>
      </c>
      <c r="F134" s="1" t="s">
        <v>888</v>
      </c>
      <c r="G134" s="1">
        <v>525</v>
      </c>
    </row>
    <row r="135" spans="1:7" ht="12.75">
      <c r="A135" s="1" t="s">
        <v>890</v>
      </c>
      <c r="B135" s="92" t="s">
        <v>891</v>
      </c>
      <c r="C135" s="90"/>
      <c r="D135" s="90"/>
      <c r="E135" s="1" t="s">
        <v>886</v>
      </c>
      <c r="G135" s="1">
        <v>525</v>
      </c>
    </row>
    <row r="136" spans="1:7" ht="12.75">
      <c r="A136" s="1" t="s">
        <v>892</v>
      </c>
      <c r="B136" s="92" t="s">
        <v>883</v>
      </c>
      <c r="C136" s="90"/>
      <c r="D136" s="90"/>
      <c r="E136" s="1" t="s">
        <v>886</v>
      </c>
      <c r="F136" s="1" t="s">
        <v>888</v>
      </c>
      <c r="G136" s="1">
        <v>525</v>
      </c>
    </row>
    <row r="137" spans="1:7" ht="12.75">
      <c r="A137" s="1" t="s">
        <v>893</v>
      </c>
      <c r="B137" s="92" t="s">
        <v>883</v>
      </c>
      <c r="C137" s="90"/>
      <c r="D137" s="90"/>
      <c r="E137" s="1" t="s">
        <v>894</v>
      </c>
      <c r="G137" s="1">
        <v>525</v>
      </c>
    </row>
    <row r="138" spans="1:7" ht="12.75">
      <c r="A138" s="1" t="s">
        <v>895</v>
      </c>
      <c r="B138" s="92" t="s">
        <v>883</v>
      </c>
      <c r="C138" s="90"/>
      <c r="D138" s="90"/>
      <c r="E138" s="1" t="s">
        <v>894</v>
      </c>
      <c r="G138" s="1">
        <v>525</v>
      </c>
    </row>
    <row r="139" spans="1:7" ht="12.75">
      <c r="A139" s="1" t="s">
        <v>896</v>
      </c>
      <c r="B139" s="92" t="s">
        <v>883</v>
      </c>
      <c r="C139" s="90"/>
      <c r="D139" s="90"/>
      <c r="E139" s="1" t="s">
        <v>894</v>
      </c>
      <c r="F139" s="1" t="s">
        <v>888</v>
      </c>
      <c r="G139" s="1">
        <v>525</v>
      </c>
    </row>
    <row r="140" spans="1:7" ht="12.75">
      <c r="A140" s="1" t="s">
        <v>897</v>
      </c>
      <c r="B140" s="92" t="s">
        <v>883</v>
      </c>
      <c r="C140" s="90"/>
      <c r="D140" s="90"/>
      <c r="E140" s="1" t="s">
        <v>898</v>
      </c>
      <c r="G140" s="1">
        <v>525</v>
      </c>
    </row>
    <row r="141" spans="1:7" ht="12.75">
      <c r="B141" s="90"/>
      <c r="C141" s="90"/>
      <c r="D141" s="90"/>
      <c r="G141" s="1"/>
    </row>
    <row r="142" spans="1:7" ht="12.75">
      <c r="A142" s="5" t="s">
        <v>899</v>
      </c>
      <c r="B142" s="90"/>
      <c r="C142" s="90"/>
      <c r="D142" s="90"/>
    </row>
    <row r="143" spans="1:7" ht="12.75">
      <c r="A143" s="1" t="s">
        <v>900</v>
      </c>
      <c r="B143" s="93" t="s">
        <v>901</v>
      </c>
      <c r="C143" s="90"/>
      <c r="D143" s="90"/>
      <c r="E143" s="1" t="s">
        <v>881</v>
      </c>
      <c r="G143" s="1">
        <v>1500</v>
      </c>
    </row>
    <row r="144" spans="1:7" ht="12.75">
      <c r="A144" s="1" t="s">
        <v>902</v>
      </c>
      <c r="B144" s="93" t="s">
        <v>903</v>
      </c>
      <c r="C144" s="90"/>
      <c r="D144" s="90"/>
      <c r="E144" s="1" t="s">
        <v>881</v>
      </c>
      <c r="G144" s="1">
        <v>1500</v>
      </c>
    </row>
    <row r="145" spans="1:8" ht="15.75" customHeight="1">
      <c r="B145" s="90"/>
      <c r="C145" s="90"/>
      <c r="D145" s="90"/>
    </row>
    <row r="146" spans="1:8" ht="12.75">
      <c r="A146" s="1" t="s">
        <v>904</v>
      </c>
      <c r="B146" s="92" t="s">
        <v>905</v>
      </c>
      <c r="C146" s="90"/>
      <c r="D146" s="90"/>
    </row>
    <row r="147" spans="1:8" ht="12.75">
      <c r="B147" s="1"/>
      <c r="D147" s="1"/>
      <c r="F147" s="1"/>
    </row>
    <row r="148" spans="1:8" ht="12.75">
      <c r="A148" s="61" t="s">
        <v>288</v>
      </c>
      <c r="B148" s="1">
        <v>1</v>
      </c>
      <c r="C148">
        <v>410</v>
      </c>
      <c r="D148" s="13"/>
      <c r="E148" s="1">
        <v>1</v>
      </c>
      <c r="F148" s="1">
        <v>700</v>
      </c>
      <c r="H148" s="61"/>
    </row>
    <row r="149" spans="1:8" ht="12.75">
      <c r="A149" s="61" t="s">
        <v>291</v>
      </c>
      <c r="B149" s="1">
        <v>2</v>
      </c>
      <c r="C149">
        <v>505</v>
      </c>
      <c r="D149" s="13"/>
      <c r="E149" s="1">
        <v>2</v>
      </c>
      <c r="F149" s="1">
        <v>700</v>
      </c>
      <c r="H149" s="61"/>
    </row>
    <row r="150" spans="1:8" ht="12.75">
      <c r="A150" s="61" t="s">
        <v>294</v>
      </c>
      <c r="B150" s="1">
        <v>3</v>
      </c>
      <c r="C150">
        <v>530</v>
      </c>
      <c r="D150" s="13"/>
      <c r="E150" s="1">
        <v>3</v>
      </c>
      <c r="F150" s="1">
        <v>700</v>
      </c>
      <c r="H150" s="61"/>
    </row>
    <row r="151" spans="1:8" ht="12.75">
      <c r="A151" s="61" t="s">
        <v>296</v>
      </c>
      <c r="B151" s="1">
        <v>4</v>
      </c>
      <c r="C151">
        <v>320</v>
      </c>
      <c r="D151" s="13"/>
      <c r="E151" s="1">
        <v>4</v>
      </c>
      <c r="F151" s="1">
        <v>700</v>
      </c>
      <c r="H151" s="61"/>
    </row>
    <row r="152" spans="1:8" ht="12.75">
      <c r="A152" s="61" t="s">
        <v>297</v>
      </c>
      <c r="B152" s="1">
        <v>5</v>
      </c>
      <c r="C152">
        <v>590</v>
      </c>
      <c r="D152" s="13"/>
      <c r="E152" s="1">
        <v>5</v>
      </c>
      <c r="F152" s="1">
        <v>700</v>
      </c>
      <c r="H152" s="61"/>
    </row>
    <row r="153" spans="1:8" ht="12.75">
      <c r="A153" s="61" t="s">
        <v>298</v>
      </c>
      <c r="B153" s="1">
        <v>6</v>
      </c>
      <c r="C153">
        <v>515</v>
      </c>
      <c r="D153" s="13"/>
      <c r="E153" s="1">
        <v>6</v>
      </c>
      <c r="F153" s="1">
        <v>700</v>
      </c>
      <c r="H153" s="61"/>
    </row>
    <row r="154" spans="1:8" ht="12.75">
      <c r="A154" s="61" t="s">
        <v>301</v>
      </c>
      <c r="B154" s="1">
        <v>7</v>
      </c>
      <c r="C154">
        <v>540</v>
      </c>
      <c r="D154" s="13"/>
      <c r="E154" s="1">
        <v>7</v>
      </c>
      <c r="F154" s="1">
        <v>700</v>
      </c>
      <c r="H154" s="61"/>
    </row>
    <row r="155" spans="1:8" ht="12.75">
      <c r="A155" s="61" t="s">
        <v>303</v>
      </c>
      <c r="B155" s="1">
        <v>8</v>
      </c>
      <c r="C155">
        <v>540</v>
      </c>
      <c r="D155" s="13"/>
      <c r="E155" s="1">
        <v>8</v>
      </c>
      <c r="F155" s="1">
        <v>700</v>
      </c>
      <c r="H155" s="61"/>
    </row>
    <row r="156" spans="1:8" ht="12.75">
      <c r="A156" s="61" t="s">
        <v>304</v>
      </c>
      <c r="B156" s="1">
        <v>9</v>
      </c>
      <c r="C156">
        <v>590</v>
      </c>
      <c r="D156" s="13"/>
      <c r="E156" s="1">
        <v>9</v>
      </c>
      <c r="F156" s="1">
        <v>700</v>
      </c>
      <c r="H156" s="61"/>
    </row>
    <row r="157" spans="1:8" ht="12.75">
      <c r="A157" s="61" t="s">
        <v>311</v>
      </c>
      <c r="B157" s="1">
        <v>10</v>
      </c>
      <c r="C157">
        <v>315</v>
      </c>
      <c r="D157" s="13"/>
      <c r="E157" s="1">
        <v>10</v>
      </c>
      <c r="F157" s="1">
        <v>700</v>
      </c>
      <c r="H157" s="61"/>
    </row>
    <row r="158" spans="1:8" ht="12.75">
      <c r="A158" s="61" t="s">
        <v>313</v>
      </c>
      <c r="B158" s="1">
        <v>11</v>
      </c>
      <c r="C158">
        <v>340</v>
      </c>
      <c r="D158" s="13"/>
      <c r="E158" s="1">
        <v>11</v>
      </c>
      <c r="F158" s="1">
        <v>700</v>
      </c>
      <c r="H158" s="61"/>
    </row>
    <row r="159" spans="1:8" ht="12.75">
      <c r="A159" s="61" t="s">
        <v>314</v>
      </c>
      <c r="B159" s="1">
        <v>12</v>
      </c>
      <c r="C159">
        <v>220</v>
      </c>
      <c r="D159" s="13"/>
      <c r="E159" s="1">
        <v>12</v>
      </c>
      <c r="F159" s="1">
        <v>700</v>
      </c>
      <c r="H159" s="61"/>
    </row>
    <row r="160" spans="1:8" ht="12.75">
      <c r="A160" s="61" t="s">
        <v>315</v>
      </c>
      <c r="B160" s="1">
        <v>13</v>
      </c>
      <c r="C160">
        <v>490</v>
      </c>
      <c r="D160" s="13"/>
      <c r="E160" s="1">
        <v>13</v>
      </c>
      <c r="F160" s="1">
        <v>700</v>
      </c>
      <c r="H160" s="61"/>
    </row>
    <row r="161" spans="1:8" ht="12.75">
      <c r="A161" s="61" t="s">
        <v>316</v>
      </c>
      <c r="B161" s="1">
        <v>14</v>
      </c>
      <c r="C161">
        <f>530+525</f>
        <v>1055</v>
      </c>
      <c r="D161" s="13">
        <v>2</v>
      </c>
      <c r="E161" s="1">
        <v>14</v>
      </c>
      <c r="F161" s="1">
        <v>700</v>
      </c>
      <c r="H161" s="61"/>
    </row>
    <row r="162" spans="1:8" ht="12.75">
      <c r="A162" s="61" t="s">
        <v>317</v>
      </c>
      <c r="B162" s="1">
        <v>15</v>
      </c>
      <c r="C162">
        <v>465</v>
      </c>
      <c r="D162" s="13"/>
      <c r="E162" s="1">
        <v>15</v>
      </c>
      <c r="F162" s="1">
        <v>700</v>
      </c>
      <c r="H162" s="61"/>
    </row>
    <row r="163" spans="1:8" ht="12.75">
      <c r="A163" s="61" t="s">
        <v>318</v>
      </c>
      <c r="B163" s="1">
        <v>16</v>
      </c>
      <c r="C163">
        <v>370</v>
      </c>
      <c r="D163" s="13"/>
      <c r="E163" s="1">
        <v>16</v>
      </c>
      <c r="F163" s="1">
        <v>700</v>
      </c>
      <c r="H163" s="61"/>
    </row>
    <row r="164" spans="1:8" ht="12.75">
      <c r="A164" s="61" t="s">
        <v>319</v>
      </c>
      <c r="B164" s="1">
        <v>17</v>
      </c>
      <c r="C164">
        <v>655</v>
      </c>
      <c r="D164" s="13"/>
      <c r="E164" s="1">
        <v>17</v>
      </c>
      <c r="F164" s="1">
        <v>700</v>
      </c>
      <c r="H164" s="61"/>
    </row>
    <row r="165" spans="1:8" ht="12.75">
      <c r="A165" s="61" t="s">
        <v>320</v>
      </c>
      <c r="B165" s="1">
        <v>18</v>
      </c>
      <c r="C165">
        <v>515</v>
      </c>
      <c r="D165" s="13"/>
      <c r="E165" s="1">
        <v>18</v>
      </c>
      <c r="F165" s="1">
        <v>700</v>
      </c>
      <c r="H165" s="61"/>
    </row>
    <row r="166" spans="1:8" ht="12.75">
      <c r="A166" s="61" t="s">
        <v>321</v>
      </c>
      <c r="B166" s="1">
        <v>19</v>
      </c>
      <c r="C166">
        <v>2100</v>
      </c>
      <c r="D166" s="13">
        <v>4</v>
      </c>
      <c r="E166" s="1">
        <v>19</v>
      </c>
      <c r="F166" s="1">
        <v>2800</v>
      </c>
      <c r="H166" s="61"/>
    </row>
    <row r="167" spans="1:8" ht="12.75">
      <c r="A167" s="61" t="s">
        <v>322</v>
      </c>
      <c r="B167" s="1">
        <v>20</v>
      </c>
      <c r="C167">
        <v>330</v>
      </c>
      <c r="D167" s="13"/>
      <c r="E167" s="1">
        <v>20</v>
      </c>
      <c r="F167" s="1">
        <v>700</v>
      </c>
      <c r="H167" s="61"/>
    </row>
    <row r="168" spans="1:8" ht="12.75">
      <c r="A168" s="61" t="s">
        <v>323</v>
      </c>
      <c r="B168" s="1">
        <v>21</v>
      </c>
      <c r="C168">
        <v>320</v>
      </c>
      <c r="D168" s="13"/>
      <c r="E168" s="1">
        <v>21</v>
      </c>
      <c r="F168" s="1">
        <v>700</v>
      </c>
      <c r="H168" s="61"/>
    </row>
    <row r="169" spans="1:8" ht="12.75">
      <c r="A169" s="61" t="s">
        <v>324</v>
      </c>
      <c r="B169" s="1">
        <v>22</v>
      </c>
      <c r="C169">
        <v>590</v>
      </c>
      <c r="D169" s="13"/>
      <c r="E169" s="1">
        <v>22</v>
      </c>
      <c r="F169" s="1">
        <v>700</v>
      </c>
      <c r="H169" s="61"/>
    </row>
    <row r="170" spans="1:8" ht="12.75">
      <c r="A170" s="61" t="s">
        <v>325</v>
      </c>
      <c r="B170" s="1">
        <v>23</v>
      </c>
      <c r="C170">
        <v>665</v>
      </c>
      <c r="D170" s="13"/>
      <c r="E170" s="1">
        <v>23</v>
      </c>
      <c r="F170" s="1">
        <v>700</v>
      </c>
      <c r="H170" s="61"/>
    </row>
    <row r="171" spans="1:8" ht="12.75">
      <c r="A171" s="61" t="s">
        <v>326</v>
      </c>
      <c r="B171" s="1">
        <v>24</v>
      </c>
      <c r="C171">
        <v>490</v>
      </c>
      <c r="D171" s="13"/>
      <c r="E171" s="1">
        <v>24</v>
      </c>
      <c r="F171" s="1">
        <v>700</v>
      </c>
      <c r="H171" s="61"/>
    </row>
    <row r="172" spans="1:8" ht="12.75">
      <c r="A172" s="61" t="s">
        <v>327</v>
      </c>
      <c r="B172" s="1">
        <v>25</v>
      </c>
      <c r="C172">
        <v>515</v>
      </c>
      <c r="D172" s="13"/>
      <c r="E172" s="1">
        <v>25</v>
      </c>
      <c r="F172" s="1">
        <v>700</v>
      </c>
      <c r="H172" s="61"/>
    </row>
    <row r="173" spans="1:8" ht="12.75">
      <c r="A173" s="61" t="s">
        <v>328</v>
      </c>
      <c r="B173" s="1">
        <v>26</v>
      </c>
      <c r="C173">
        <v>490</v>
      </c>
      <c r="D173" s="13"/>
      <c r="E173" s="1">
        <v>26</v>
      </c>
      <c r="F173" s="1">
        <v>700</v>
      </c>
      <c r="H173" s="61"/>
    </row>
    <row r="174" spans="1:8" ht="12.75">
      <c r="A174" s="61" t="s">
        <v>329</v>
      </c>
      <c r="B174" s="1">
        <v>27</v>
      </c>
      <c r="C174">
        <v>365</v>
      </c>
      <c r="D174" s="13"/>
      <c r="E174" s="1">
        <v>27</v>
      </c>
      <c r="F174" s="1">
        <v>700</v>
      </c>
      <c r="H174" s="61"/>
    </row>
    <row r="175" spans="1:8" ht="12.75">
      <c r="A175" s="61" t="s">
        <v>330</v>
      </c>
      <c r="B175" s="1">
        <v>28</v>
      </c>
      <c r="C175">
        <v>585</v>
      </c>
      <c r="D175" s="13"/>
      <c r="E175" s="1">
        <v>28</v>
      </c>
      <c r="F175" s="1">
        <v>700</v>
      </c>
      <c r="H175" s="61"/>
    </row>
    <row r="176" spans="1:8" ht="12.75">
      <c r="A176" s="61" t="s">
        <v>331</v>
      </c>
      <c r="B176" s="1">
        <v>29</v>
      </c>
      <c r="C176">
        <v>645</v>
      </c>
      <c r="D176" s="13">
        <v>2</v>
      </c>
      <c r="E176" s="1">
        <v>29</v>
      </c>
      <c r="F176" s="1">
        <v>1400</v>
      </c>
      <c r="H176" s="61"/>
    </row>
    <row r="177" spans="1:8" ht="12.75">
      <c r="A177" s="61" t="s">
        <v>332</v>
      </c>
      <c r="B177" s="1">
        <v>30</v>
      </c>
      <c r="C177">
        <v>415</v>
      </c>
      <c r="D177" s="13"/>
      <c r="E177" s="1">
        <v>30</v>
      </c>
      <c r="F177" s="1">
        <v>700</v>
      </c>
      <c r="H177" s="61"/>
    </row>
    <row r="178" spans="1:8" ht="12.75">
      <c r="A178" s="61" t="s">
        <v>333</v>
      </c>
      <c r="B178" s="1">
        <v>31</v>
      </c>
      <c r="C178">
        <v>365</v>
      </c>
      <c r="D178" s="13"/>
      <c r="E178" s="1">
        <v>31</v>
      </c>
      <c r="F178" s="1">
        <v>700</v>
      </c>
      <c r="H178" s="61"/>
    </row>
    <row r="179" spans="1:8" ht="12.75">
      <c r="A179" s="61" t="s">
        <v>334</v>
      </c>
      <c r="B179" s="1">
        <v>32</v>
      </c>
      <c r="C179">
        <v>490</v>
      </c>
      <c r="D179" s="13"/>
      <c r="E179" s="1">
        <v>32</v>
      </c>
      <c r="F179" s="1">
        <v>700</v>
      </c>
      <c r="H179" s="61"/>
    </row>
    <row r="180" spans="1:8" ht="12.75">
      <c r="A180" s="61" t="s">
        <v>335</v>
      </c>
      <c r="B180" s="1">
        <v>33</v>
      </c>
      <c r="C180">
        <v>530</v>
      </c>
      <c r="D180" s="13"/>
      <c r="E180" s="1">
        <v>33</v>
      </c>
      <c r="F180" s="1">
        <v>700</v>
      </c>
      <c r="H180" s="61"/>
    </row>
    <row r="181" spans="1:8" ht="12.75">
      <c r="A181" s="61" t="s">
        <v>336</v>
      </c>
      <c r="B181" s="1">
        <v>34</v>
      </c>
      <c r="C181">
        <v>390</v>
      </c>
      <c r="D181" s="13"/>
      <c r="E181" s="1">
        <v>34</v>
      </c>
      <c r="F181" s="1">
        <v>700</v>
      </c>
      <c r="H181" s="61"/>
    </row>
    <row r="182" spans="1:8" ht="12.75">
      <c r="A182" s="61" t="s">
        <v>337</v>
      </c>
      <c r="B182" s="1">
        <v>35</v>
      </c>
      <c r="C182">
        <v>440</v>
      </c>
      <c r="D182" s="13"/>
      <c r="E182" s="1">
        <v>35</v>
      </c>
      <c r="F182" s="1">
        <v>700</v>
      </c>
      <c r="H182" s="61"/>
    </row>
    <row r="183" spans="1:8" ht="12.75">
      <c r="A183" s="61" t="s">
        <v>338</v>
      </c>
      <c r="B183" s="1">
        <v>36</v>
      </c>
      <c r="C183">
        <v>465</v>
      </c>
      <c r="D183" s="13"/>
      <c r="E183" s="1">
        <v>36</v>
      </c>
      <c r="F183" s="1">
        <v>700</v>
      </c>
      <c r="H183" s="61"/>
    </row>
    <row r="184" spans="1:8" ht="12.75">
      <c r="A184" s="61" t="s">
        <v>339</v>
      </c>
      <c r="B184" s="1">
        <v>37</v>
      </c>
      <c r="C184">
        <v>610</v>
      </c>
      <c r="D184" s="13"/>
      <c r="E184" s="1">
        <v>37</v>
      </c>
      <c r="F184" s="1">
        <v>700</v>
      </c>
      <c r="H184" s="61"/>
    </row>
    <row r="185" spans="1:8" ht="12.75">
      <c r="A185" s="61" t="s">
        <v>340</v>
      </c>
      <c r="B185" s="1">
        <v>38</v>
      </c>
      <c r="C185">
        <v>290</v>
      </c>
      <c r="D185" s="13"/>
      <c r="E185" s="1">
        <v>38</v>
      </c>
      <c r="F185" s="1">
        <v>700</v>
      </c>
      <c r="H185" s="61"/>
    </row>
    <row r="186" spans="1:8" ht="12.75">
      <c r="A186" s="61" t="s">
        <v>341</v>
      </c>
      <c r="B186" s="1">
        <v>39</v>
      </c>
      <c r="C186">
        <v>540</v>
      </c>
      <c r="D186" s="13"/>
      <c r="E186" s="1">
        <v>39</v>
      </c>
      <c r="F186" s="1">
        <v>700</v>
      </c>
      <c r="H186" s="61"/>
    </row>
    <row r="187" spans="1:8" ht="12.75">
      <c r="A187" s="61" t="s">
        <v>342</v>
      </c>
      <c r="B187" s="1">
        <v>40</v>
      </c>
      <c r="C187">
        <v>455</v>
      </c>
      <c r="D187" s="13"/>
      <c r="E187" s="1">
        <v>40</v>
      </c>
      <c r="F187" s="1">
        <v>700</v>
      </c>
      <c r="H187" s="61"/>
    </row>
    <row r="188" spans="1:8" ht="12.75">
      <c r="A188" s="61" t="s">
        <v>343</v>
      </c>
      <c r="B188" s="1">
        <v>41</v>
      </c>
      <c r="C188">
        <v>635</v>
      </c>
      <c r="D188" s="13"/>
      <c r="E188" s="1">
        <v>41</v>
      </c>
      <c r="F188" s="1">
        <v>700</v>
      </c>
      <c r="H188" s="61"/>
    </row>
    <row r="189" spans="1:8" ht="12.75">
      <c r="A189" s="61" t="s">
        <v>344</v>
      </c>
      <c r="B189" s="1">
        <v>42</v>
      </c>
      <c r="C189">
        <v>305</v>
      </c>
      <c r="D189" s="13"/>
      <c r="E189" s="1">
        <v>42</v>
      </c>
      <c r="F189" s="1">
        <v>700</v>
      </c>
      <c r="H189" s="61"/>
    </row>
    <row r="190" spans="1:8" ht="12.75">
      <c r="A190" s="61" t="s">
        <v>345</v>
      </c>
      <c r="B190" s="1">
        <v>43</v>
      </c>
      <c r="C190">
        <v>510</v>
      </c>
      <c r="D190" s="13"/>
      <c r="E190" s="1">
        <v>43</v>
      </c>
      <c r="F190" s="1">
        <v>700</v>
      </c>
      <c r="H190" s="61"/>
    </row>
    <row r="191" spans="1:8" ht="12.75">
      <c r="A191" s="61" t="s">
        <v>349</v>
      </c>
      <c r="B191" s="1">
        <v>44</v>
      </c>
      <c r="C191">
        <v>170</v>
      </c>
      <c r="D191" s="13"/>
      <c r="E191" s="1">
        <v>44</v>
      </c>
      <c r="F191" s="1">
        <v>700</v>
      </c>
      <c r="H191" s="61"/>
    </row>
    <row r="192" spans="1:8" ht="12.75">
      <c r="A192" s="61" t="s">
        <v>350</v>
      </c>
      <c r="B192" s="1">
        <v>45</v>
      </c>
      <c r="C192">
        <v>457</v>
      </c>
      <c r="D192" s="13"/>
      <c r="E192" s="1">
        <v>45</v>
      </c>
      <c r="F192" s="1">
        <v>700</v>
      </c>
      <c r="H192" s="61"/>
    </row>
    <row r="193" spans="1:8" ht="12.75">
      <c r="A193" s="61" t="s">
        <v>351</v>
      </c>
      <c r="B193" s="1">
        <v>46</v>
      </c>
      <c r="C193">
        <v>440</v>
      </c>
      <c r="D193" s="13"/>
      <c r="E193" s="1">
        <v>46</v>
      </c>
      <c r="F193" s="1">
        <v>700</v>
      </c>
      <c r="H193" s="61"/>
    </row>
    <row r="194" spans="1:8" ht="12.75">
      <c r="A194" s="61" t="s">
        <v>352</v>
      </c>
      <c r="B194" s="1">
        <v>47</v>
      </c>
      <c r="C194">
        <v>590</v>
      </c>
      <c r="D194" s="13"/>
      <c r="E194" s="1">
        <v>47</v>
      </c>
      <c r="F194" s="1">
        <v>700</v>
      </c>
      <c r="H194" s="61"/>
    </row>
    <row r="195" spans="1:8" ht="12.75">
      <c r="A195" s="61" t="s">
        <v>353</v>
      </c>
      <c r="B195" s="1">
        <v>48</v>
      </c>
      <c r="C195">
        <v>555</v>
      </c>
      <c r="D195" s="13"/>
      <c r="E195" s="1">
        <v>48</v>
      </c>
      <c r="F195" s="1">
        <v>700</v>
      </c>
      <c r="H195" s="61"/>
    </row>
    <row r="196" spans="1:8" ht="12.75">
      <c r="A196" s="61" t="s">
        <v>354</v>
      </c>
      <c r="B196" s="1">
        <v>49</v>
      </c>
      <c r="C196">
        <v>615</v>
      </c>
      <c r="D196" s="13"/>
      <c r="E196" s="1">
        <v>49</v>
      </c>
      <c r="F196" s="1">
        <v>700</v>
      </c>
      <c r="H196" s="61"/>
    </row>
    <row r="197" spans="1:8" ht="12.75">
      <c r="A197" s="61" t="s">
        <v>355</v>
      </c>
      <c r="B197" s="1">
        <v>50</v>
      </c>
      <c r="C197">
        <v>245</v>
      </c>
      <c r="D197" s="13"/>
      <c r="E197" s="1">
        <v>50</v>
      </c>
      <c r="F197" s="1">
        <v>700</v>
      </c>
      <c r="H197" s="61"/>
    </row>
    <row r="198" spans="1:8" ht="12.75">
      <c r="A198" s="61" t="s">
        <v>356</v>
      </c>
      <c r="B198" s="1">
        <v>51</v>
      </c>
      <c r="C198">
        <v>645</v>
      </c>
      <c r="D198" s="13">
        <v>2</v>
      </c>
      <c r="E198" s="1">
        <v>51</v>
      </c>
      <c r="F198" s="1">
        <v>1400</v>
      </c>
      <c r="H198" s="61"/>
    </row>
    <row r="199" spans="1:8" ht="12.75">
      <c r="A199" s="61" t="s">
        <v>357</v>
      </c>
      <c r="B199" s="1">
        <v>52</v>
      </c>
      <c r="C199">
        <v>565</v>
      </c>
      <c r="D199" s="13"/>
      <c r="E199" s="1">
        <v>52</v>
      </c>
      <c r="F199" s="1">
        <v>700</v>
      </c>
      <c r="H199" s="61"/>
    </row>
    <row r="200" spans="1:8" ht="12.75">
      <c r="A200" s="61" t="s">
        <v>358</v>
      </c>
      <c r="B200" s="1">
        <v>53</v>
      </c>
      <c r="C200">
        <v>530</v>
      </c>
      <c r="D200" s="13"/>
      <c r="E200" s="1">
        <v>53</v>
      </c>
      <c r="F200" s="1">
        <v>700</v>
      </c>
      <c r="H200" s="61"/>
    </row>
    <row r="201" spans="1:8" ht="12.75">
      <c r="A201" s="61" t="s">
        <v>359</v>
      </c>
      <c r="B201" s="1">
        <v>54</v>
      </c>
      <c r="C201">
        <v>480</v>
      </c>
      <c r="D201" s="13"/>
      <c r="E201" s="1">
        <v>54</v>
      </c>
      <c r="F201" s="1">
        <v>700</v>
      </c>
      <c r="H201" s="61"/>
    </row>
    <row r="202" spans="1:8" ht="12.75">
      <c r="A202" s="61" t="s">
        <v>360</v>
      </c>
      <c r="B202" s="1">
        <v>55</v>
      </c>
      <c r="C202">
        <v>240</v>
      </c>
      <c r="D202" s="13"/>
      <c r="E202" s="1">
        <v>55</v>
      </c>
      <c r="F202" s="1">
        <v>700</v>
      </c>
      <c r="H202" s="61"/>
    </row>
    <row r="203" spans="1:8" ht="12.75">
      <c r="A203" s="61" t="s">
        <v>361</v>
      </c>
      <c r="B203" s="1">
        <v>56</v>
      </c>
      <c r="C203">
        <v>565</v>
      </c>
      <c r="D203" s="13"/>
      <c r="E203" s="1">
        <v>56</v>
      </c>
      <c r="F203" s="1">
        <v>700</v>
      </c>
      <c r="H203" s="61"/>
    </row>
    <row r="204" spans="1:8" ht="12.75">
      <c r="A204" s="61" t="s">
        <v>362</v>
      </c>
      <c r="B204" s="1">
        <v>57</v>
      </c>
      <c r="C204">
        <v>440</v>
      </c>
      <c r="D204" s="13"/>
      <c r="E204" s="1">
        <v>57</v>
      </c>
      <c r="F204" s="1">
        <v>700</v>
      </c>
      <c r="H204" s="61"/>
    </row>
    <row r="205" spans="1:8" ht="12.75">
      <c r="A205" s="61" t="s">
        <v>363</v>
      </c>
      <c r="B205" s="1">
        <v>58</v>
      </c>
      <c r="C205">
        <v>295</v>
      </c>
      <c r="D205" s="13"/>
      <c r="E205" s="1">
        <v>58</v>
      </c>
      <c r="F205" s="1">
        <v>700</v>
      </c>
      <c r="H205" s="61"/>
    </row>
    <row r="206" spans="1:8" ht="12.75">
      <c r="A206" s="61" t="s">
        <v>364</v>
      </c>
      <c r="B206" s="1">
        <v>59</v>
      </c>
      <c r="C206">
        <v>515</v>
      </c>
      <c r="D206" s="13"/>
      <c r="E206" s="1">
        <v>59</v>
      </c>
      <c r="F206" s="1">
        <v>700</v>
      </c>
      <c r="H206" s="61"/>
    </row>
    <row r="207" spans="1:8" ht="12.75">
      <c r="A207" s="61" t="s">
        <v>365</v>
      </c>
      <c r="B207" s="1">
        <v>60</v>
      </c>
      <c r="C207">
        <v>415</v>
      </c>
      <c r="D207" s="13"/>
      <c r="E207" s="1">
        <v>60</v>
      </c>
      <c r="F207" s="1">
        <v>700</v>
      </c>
      <c r="H207" s="61"/>
    </row>
    <row r="208" spans="1:8" ht="12.75">
      <c r="A208" s="61" t="s">
        <v>366</v>
      </c>
      <c r="B208" s="1">
        <v>61</v>
      </c>
      <c r="C208">
        <v>605</v>
      </c>
      <c r="D208" s="13"/>
      <c r="E208" s="1">
        <v>61</v>
      </c>
      <c r="F208" s="1">
        <v>700</v>
      </c>
      <c r="H208" s="61"/>
    </row>
    <row r="209" spans="1:8" ht="12.75">
      <c r="A209" s="61" t="s">
        <v>367</v>
      </c>
      <c r="B209" s="1">
        <v>62</v>
      </c>
      <c r="C209">
        <v>315</v>
      </c>
      <c r="D209" s="13"/>
      <c r="E209" s="1">
        <v>62</v>
      </c>
      <c r="F209" s="1">
        <v>700</v>
      </c>
      <c r="H209" s="61"/>
    </row>
    <row r="210" spans="1:8" ht="12.75">
      <c r="A210" s="61" t="s">
        <v>368</v>
      </c>
      <c r="B210" s="1">
        <v>63</v>
      </c>
      <c r="C210">
        <v>490</v>
      </c>
      <c r="D210" s="13"/>
      <c r="E210" s="1">
        <v>63</v>
      </c>
      <c r="F210" s="1">
        <v>700</v>
      </c>
      <c r="H210" s="61"/>
    </row>
    <row r="211" spans="1:8" ht="12.75">
      <c r="A211" s="61" t="s">
        <v>369</v>
      </c>
      <c r="B211" s="1">
        <v>64</v>
      </c>
      <c r="C211">
        <v>515</v>
      </c>
      <c r="D211" s="13"/>
      <c r="E211" s="1">
        <v>64</v>
      </c>
      <c r="F211" s="1">
        <v>700</v>
      </c>
      <c r="H211" s="61"/>
    </row>
    <row r="212" spans="1:8" ht="12.75">
      <c r="A212" s="61" t="s">
        <v>370</v>
      </c>
      <c r="B212" s="1">
        <v>65</v>
      </c>
      <c r="C212">
        <v>610</v>
      </c>
      <c r="D212" s="13"/>
      <c r="E212" s="1">
        <v>65</v>
      </c>
      <c r="F212" s="1">
        <v>700</v>
      </c>
      <c r="H212" s="61"/>
    </row>
    <row r="213" spans="1:8" ht="12.75">
      <c r="A213" s="61" t="s">
        <v>371</v>
      </c>
      <c r="B213" s="1">
        <v>66</v>
      </c>
      <c r="C213">
        <v>565</v>
      </c>
      <c r="D213" s="13"/>
      <c r="E213" s="1">
        <v>66</v>
      </c>
      <c r="F213" s="1">
        <v>700</v>
      </c>
      <c r="H213" s="61"/>
    </row>
    <row r="214" spans="1:8" ht="12.75">
      <c r="A214" s="61" t="s">
        <v>372</v>
      </c>
      <c r="B214" s="1">
        <v>67</v>
      </c>
      <c r="C214">
        <v>490</v>
      </c>
      <c r="D214" s="13"/>
      <c r="E214" s="1">
        <v>67</v>
      </c>
      <c r="F214" s="1">
        <v>700</v>
      </c>
      <c r="H214" s="61"/>
    </row>
    <row r="215" spans="1:8" ht="12.75">
      <c r="A215" s="61" t="s">
        <v>373</v>
      </c>
      <c r="B215" s="1">
        <v>68</v>
      </c>
      <c r="C215">
        <v>465</v>
      </c>
      <c r="D215" s="13"/>
      <c r="E215" s="1">
        <v>68</v>
      </c>
      <c r="F215" s="1">
        <v>700</v>
      </c>
      <c r="H215" s="61"/>
    </row>
    <row r="216" spans="1:8" ht="12.75">
      <c r="A216" s="61" t="s">
        <v>374</v>
      </c>
      <c r="B216" s="1">
        <v>69</v>
      </c>
      <c r="C216">
        <v>440</v>
      </c>
      <c r="D216" s="13"/>
      <c r="E216" s="1">
        <v>69</v>
      </c>
      <c r="F216" s="1">
        <v>700</v>
      </c>
      <c r="H216" s="61"/>
    </row>
    <row r="217" spans="1:8" ht="12.75">
      <c r="A217" s="61" t="s">
        <v>375</v>
      </c>
      <c r="B217" s="1">
        <v>70</v>
      </c>
      <c r="C217">
        <v>435</v>
      </c>
      <c r="D217" s="13"/>
      <c r="E217" s="1">
        <v>70</v>
      </c>
      <c r="F217" s="1">
        <v>700</v>
      </c>
      <c r="H217" s="61"/>
    </row>
    <row r="218" spans="1:8" ht="12.75">
      <c r="A218" s="61" t="s">
        <v>376</v>
      </c>
      <c r="B218" s="1">
        <v>71</v>
      </c>
      <c r="C218">
        <v>590</v>
      </c>
      <c r="D218" s="13"/>
      <c r="E218" s="1">
        <v>71</v>
      </c>
      <c r="F218" s="1">
        <v>700</v>
      </c>
      <c r="H218" s="61"/>
    </row>
    <row r="219" spans="1:8" ht="12.75">
      <c r="A219" s="61" t="s">
        <v>377</v>
      </c>
      <c r="B219" s="1">
        <v>72</v>
      </c>
      <c r="C219">
        <v>444</v>
      </c>
      <c r="D219" s="13"/>
      <c r="E219" s="1">
        <v>72</v>
      </c>
      <c r="F219" s="1">
        <v>700</v>
      </c>
      <c r="H219" s="61"/>
    </row>
    <row r="220" spans="1:8" ht="12.75">
      <c r="A220" s="61" t="s">
        <v>378</v>
      </c>
      <c r="B220" s="1">
        <v>73</v>
      </c>
      <c r="C220">
        <v>415</v>
      </c>
      <c r="D220" s="13"/>
      <c r="E220" s="1">
        <v>73</v>
      </c>
      <c r="F220" s="1">
        <v>700</v>
      </c>
      <c r="H220" s="61"/>
    </row>
    <row r="221" spans="1:8" ht="12.75">
      <c r="A221" s="61" t="s">
        <v>379</v>
      </c>
      <c r="B221" s="1">
        <v>74</v>
      </c>
      <c r="C221">
        <v>975</v>
      </c>
      <c r="D221" s="13">
        <v>2</v>
      </c>
      <c r="E221" s="1">
        <v>74</v>
      </c>
      <c r="F221" s="1">
        <v>1400</v>
      </c>
      <c r="H221" s="61"/>
    </row>
    <row r="222" spans="1:8" ht="12.75">
      <c r="A222" s="61" t="s">
        <v>380</v>
      </c>
      <c r="B222" s="1">
        <v>75</v>
      </c>
      <c r="C222">
        <v>315</v>
      </c>
      <c r="D222" s="13"/>
      <c r="E222" s="1">
        <v>75</v>
      </c>
      <c r="F222" s="1">
        <v>700</v>
      </c>
      <c r="H222" s="61"/>
    </row>
    <row r="223" spans="1:8" ht="12.75">
      <c r="A223" s="61" t="s">
        <v>381</v>
      </c>
      <c r="B223" s="1">
        <v>76</v>
      </c>
      <c r="C223">
        <v>1220</v>
      </c>
      <c r="D223" s="13">
        <v>3</v>
      </c>
      <c r="E223" s="1">
        <v>76</v>
      </c>
      <c r="F223" s="1">
        <v>2100</v>
      </c>
      <c r="H223" s="61"/>
    </row>
    <row r="224" spans="1:8" ht="12.75">
      <c r="A224" s="61" t="s">
        <v>382</v>
      </c>
      <c r="B224" s="1">
        <v>77</v>
      </c>
      <c r="C224">
        <v>440</v>
      </c>
      <c r="D224" s="13"/>
      <c r="E224" s="1">
        <v>77</v>
      </c>
      <c r="F224" s="1">
        <v>700</v>
      </c>
      <c r="H224" s="61"/>
    </row>
    <row r="225" spans="1:8" ht="12.75">
      <c r="A225" s="61" t="s">
        <v>383</v>
      </c>
      <c r="B225" s="1">
        <v>78</v>
      </c>
      <c r="C225">
        <v>395</v>
      </c>
      <c r="D225" s="13"/>
      <c r="E225" s="1">
        <v>78</v>
      </c>
      <c r="F225" s="1">
        <v>700</v>
      </c>
      <c r="H225" s="61"/>
    </row>
    <row r="226" spans="1:8" ht="12.75">
      <c r="A226" s="61" t="s">
        <v>384</v>
      </c>
      <c r="B226" s="1">
        <v>79</v>
      </c>
      <c r="C226">
        <v>510</v>
      </c>
      <c r="D226" s="13"/>
      <c r="E226" s="1">
        <v>79</v>
      </c>
      <c r="F226" s="1">
        <v>700</v>
      </c>
      <c r="H226" s="61"/>
    </row>
    <row r="227" spans="1:8" ht="12.75">
      <c r="A227" s="61" t="s">
        <v>385</v>
      </c>
      <c r="B227" s="1">
        <v>80</v>
      </c>
      <c r="C227">
        <v>390</v>
      </c>
      <c r="D227" s="13"/>
      <c r="E227" s="1">
        <v>80</v>
      </c>
      <c r="F227" s="1">
        <v>700</v>
      </c>
      <c r="H227" s="61"/>
    </row>
    <row r="228" spans="1:8" ht="12.75">
      <c r="A228" s="61" t="s">
        <v>386</v>
      </c>
      <c r="B228" s="1">
        <v>81</v>
      </c>
      <c r="C228">
        <v>295</v>
      </c>
      <c r="D228" s="13"/>
      <c r="E228" s="1">
        <v>81</v>
      </c>
      <c r="F228" s="1">
        <v>700</v>
      </c>
      <c r="H228" s="61"/>
    </row>
    <row r="229" spans="1:8" ht="12.75">
      <c r="A229" s="61" t="s">
        <v>387</v>
      </c>
      <c r="B229" s="1">
        <v>82</v>
      </c>
      <c r="C229">
        <v>540</v>
      </c>
      <c r="D229" s="13"/>
      <c r="E229" s="1">
        <v>82</v>
      </c>
      <c r="F229" s="1">
        <v>700</v>
      </c>
      <c r="H229" s="61"/>
    </row>
    <row r="230" spans="1:8" ht="12.75">
      <c r="A230" s="61" t="s">
        <v>388</v>
      </c>
      <c r="B230" s="1">
        <v>83</v>
      </c>
      <c r="C230">
        <v>990</v>
      </c>
      <c r="D230" s="13">
        <v>2</v>
      </c>
      <c r="E230" s="1">
        <v>83</v>
      </c>
      <c r="F230" s="1">
        <v>1400</v>
      </c>
      <c r="H230" s="61"/>
    </row>
    <row r="231" spans="1:8" ht="12.75">
      <c r="A231" s="61" t="s">
        <v>389</v>
      </c>
      <c r="B231" s="1">
        <v>84</v>
      </c>
      <c r="C231">
        <v>265</v>
      </c>
      <c r="D231" s="13"/>
      <c r="E231" s="1">
        <v>84</v>
      </c>
      <c r="F231" s="1">
        <v>700</v>
      </c>
      <c r="H231" s="61"/>
    </row>
    <row r="232" spans="1:8" ht="12.75">
      <c r="A232" s="61" t="s">
        <v>390</v>
      </c>
      <c r="B232" s="1">
        <v>85</v>
      </c>
      <c r="C232">
        <v>610</v>
      </c>
      <c r="D232" s="13"/>
      <c r="E232" s="1">
        <v>85</v>
      </c>
      <c r="F232" s="1">
        <v>700</v>
      </c>
      <c r="H232" s="61"/>
    </row>
    <row r="233" spans="1:8" ht="12.75">
      <c r="A233" s="61" t="s">
        <v>391</v>
      </c>
      <c r="B233" s="1">
        <v>86</v>
      </c>
      <c r="C233">
        <v>215</v>
      </c>
      <c r="D233" s="13"/>
      <c r="E233" s="1">
        <v>86</v>
      </c>
      <c r="F233" s="1">
        <v>700</v>
      </c>
      <c r="H233" s="61"/>
    </row>
    <row r="234" spans="1:8" ht="12.75">
      <c r="A234" s="61" t="s">
        <v>392</v>
      </c>
      <c r="B234" s="1">
        <v>87</v>
      </c>
      <c r="C234">
        <v>450</v>
      </c>
      <c r="D234" s="13"/>
      <c r="E234" s="1">
        <v>87</v>
      </c>
      <c r="F234" s="1">
        <v>700</v>
      </c>
      <c r="H234" s="61"/>
    </row>
    <row r="235" spans="1:8" ht="12.75">
      <c r="A235" s="61" t="s">
        <v>393</v>
      </c>
      <c r="B235" s="1">
        <v>88</v>
      </c>
      <c r="C235">
        <v>405</v>
      </c>
      <c r="D235" s="13"/>
      <c r="E235" s="1">
        <v>88</v>
      </c>
      <c r="F235" s="1">
        <v>700</v>
      </c>
      <c r="H235" s="61"/>
    </row>
    <row r="236" spans="1:8" ht="12.75">
      <c r="A236" s="61" t="s">
        <v>394</v>
      </c>
      <c r="B236" s="1">
        <v>89</v>
      </c>
      <c r="C236">
        <v>475</v>
      </c>
      <c r="D236" s="13"/>
      <c r="E236" s="1">
        <v>89</v>
      </c>
      <c r="F236" s="1">
        <v>700</v>
      </c>
      <c r="H236" s="61"/>
    </row>
    <row r="237" spans="1:8" ht="12.75">
      <c r="A237" s="61" t="s">
        <v>395</v>
      </c>
      <c r="B237" s="1">
        <v>90</v>
      </c>
      <c r="C237">
        <v>490</v>
      </c>
      <c r="D237" s="13"/>
      <c r="E237" s="1">
        <v>90</v>
      </c>
      <c r="F237" s="1">
        <v>700</v>
      </c>
      <c r="H237" s="61"/>
    </row>
    <row r="238" spans="1:8" ht="12.75">
      <c r="A238" s="61" t="s">
        <v>396</v>
      </c>
      <c r="B238" s="1">
        <v>91</v>
      </c>
      <c r="C238">
        <v>580</v>
      </c>
      <c r="D238" s="13"/>
      <c r="E238" s="1">
        <v>91</v>
      </c>
      <c r="F238" s="1">
        <v>700</v>
      </c>
      <c r="H238" s="61"/>
    </row>
    <row r="239" spans="1:8" ht="12.75">
      <c r="A239" s="61" t="s">
        <v>397</v>
      </c>
      <c r="B239" s="1">
        <v>92</v>
      </c>
      <c r="C239">
        <v>515</v>
      </c>
      <c r="D239" s="13"/>
      <c r="E239" s="1">
        <v>92</v>
      </c>
      <c r="F239" s="1">
        <v>700</v>
      </c>
      <c r="H239" s="61"/>
    </row>
    <row r="240" spans="1:8" ht="12.75">
      <c r="A240" s="61" t="s">
        <v>398</v>
      </c>
      <c r="B240" s="1">
        <v>93</v>
      </c>
      <c r="C240">
        <v>460</v>
      </c>
      <c r="D240" s="13"/>
      <c r="E240" s="1">
        <v>93</v>
      </c>
      <c r="F240" s="1">
        <v>700</v>
      </c>
      <c r="H240" s="61"/>
    </row>
    <row r="241" spans="1:8" ht="12.75">
      <c r="A241" s="61" t="s">
        <v>399</v>
      </c>
      <c r="B241" s="1">
        <v>94</v>
      </c>
      <c r="C241">
        <v>565</v>
      </c>
      <c r="D241" s="13"/>
      <c r="E241" s="1">
        <v>94</v>
      </c>
      <c r="F241" s="1">
        <v>700</v>
      </c>
      <c r="H241" s="61"/>
    </row>
    <row r="242" spans="1:8" ht="12.75">
      <c r="A242" s="61" t="s">
        <v>400</v>
      </c>
      <c r="B242" s="1">
        <v>95</v>
      </c>
      <c r="C242">
        <v>508</v>
      </c>
      <c r="D242" s="13"/>
      <c r="E242" s="1">
        <v>95</v>
      </c>
      <c r="F242" s="1">
        <v>700</v>
      </c>
      <c r="H242" s="61"/>
    </row>
    <row r="243" spans="1:8" ht="12.75">
      <c r="A243" s="61" t="s">
        <v>401</v>
      </c>
      <c r="B243" s="1">
        <v>96</v>
      </c>
      <c r="C243">
        <v>490</v>
      </c>
      <c r="D243" s="13"/>
      <c r="E243" s="1">
        <v>96</v>
      </c>
      <c r="F243" s="1">
        <v>700</v>
      </c>
      <c r="H243" s="61"/>
    </row>
    <row r="244" spans="1:8" ht="12.75">
      <c r="C244" s="1"/>
    </row>
    <row r="245" spans="1:8" ht="12.75">
      <c r="C245" s="1"/>
    </row>
    <row r="246" spans="1:8" ht="12.75">
      <c r="C246" s="1"/>
    </row>
    <row r="247" spans="1:8" ht="12.75">
      <c r="C247" s="1"/>
    </row>
    <row r="248" spans="1:8" ht="12.75">
      <c r="C248" s="1"/>
    </row>
    <row r="249" spans="1:8" ht="12.75">
      <c r="C249" s="1"/>
    </row>
    <row r="250" spans="1:8" ht="12.75">
      <c r="C250" s="1"/>
    </row>
    <row r="251" spans="1:8" ht="12.75">
      <c r="C251" s="1"/>
    </row>
    <row r="252" spans="1:8" ht="12.75">
      <c r="C252" s="1"/>
    </row>
  </sheetData>
  <mergeCells count="144">
    <mergeCell ref="B146:D146"/>
    <mergeCell ref="B138:D138"/>
    <mergeCell ref="B136:D136"/>
    <mergeCell ref="B137:D137"/>
    <mergeCell ref="B135:D135"/>
    <mergeCell ref="B134:D134"/>
    <mergeCell ref="B36:D36"/>
    <mergeCell ref="B139:D139"/>
    <mergeCell ref="B141:D141"/>
    <mergeCell ref="B140:D140"/>
    <mergeCell ref="B145:D145"/>
    <mergeCell ref="B142:D142"/>
    <mergeCell ref="B143:D143"/>
    <mergeCell ref="B144:D144"/>
    <mergeCell ref="B131:D131"/>
    <mergeCell ref="B132:D132"/>
    <mergeCell ref="B82:D82"/>
    <mergeCell ref="B81:D81"/>
    <mergeCell ref="B53:D53"/>
    <mergeCell ref="B48:D48"/>
    <mergeCell ref="B6:D6"/>
    <mergeCell ref="B7:D7"/>
    <mergeCell ref="B31:D31"/>
    <mergeCell ref="B28:D28"/>
    <mergeCell ref="B30:D30"/>
    <mergeCell ref="B54:D54"/>
    <mergeCell ref="B34:D34"/>
    <mergeCell ref="B42:D42"/>
    <mergeCell ref="B41:D41"/>
    <mergeCell ref="B43:D43"/>
    <mergeCell ref="B40:D40"/>
    <mergeCell ref="B32:D32"/>
    <mergeCell ref="B33:D33"/>
    <mergeCell ref="B49:D49"/>
    <mergeCell ref="B50:D50"/>
    <mergeCell ref="B46:D46"/>
    <mergeCell ref="B47:D47"/>
    <mergeCell ref="B44:D44"/>
    <mergeCell ref="B45:D45"/>
    <mergeCell ref="B35:D35"/>
    <mergeCell ref="B52:D52"/>
    <mergeCell ref="B51:D51"/>
    <mergeCell ref="B59:D59"/>
    <mergeCell ref="B58:D58"/>
    <mergeCell ref="B76:D76"/>
    <mergeCell ref="B75:D75"/>
    <mergeCell ref="B77:D77"/>
    <mergeCell ref="B78:D78"/>
    <mergeCell ref="B73:D73"/>
    <mergeCell ref="B60:D60"/>
    <mergeCell ref="B64:D64"/>
    <mergeCell ref="B68:D68"/>
    <mergeCell ref="B67:D67"/>
    <mergeCell ref="B71:D71"/>
    <mergeCell ref="B72:D72"/>
    <mergeCell ref="B2:D2"/>
    <mergeCell ref="B8:D8"/>
    <mergeCell ref="B5:D5"/>
    <mergeCell ref="B4:D4"/>
    <mergeCell ref="B3:D3"/>
    <mergeCell ref="B26:D26"/>
    <mergeCell ref="B25:D25"/>
    <mergeCell ref="B24:D24"/>
    <mergeCell ref="B17:D17"/>
    <mergeCell ref="B20:D20"/>
    <mergeCell ref="B14:D14"/>
    <mergeCell ref="B15:D15"/>
    <mergeCell ref="B12:D12"/>
    <mergeCell ref="B13:D13"/>
    <mergeCell ref="B11:D11"/>
    <mergeCell ref="B10:D10"/>
    <mergeCell ref="B23:D23"/>
    <mergeCell ref="B21:D21"/>
    <mergeCell ref="B22:D22"/>
    <mergeCell ref="B18:D18"/>
    <mergeCell ref="B19:D19"/>
    <mergeCell ref="B100:D100"/>
    <mergeCell ref="B97:D97"/>
    <mergeCell ref="B96:D96"/>
    <mergeCell ref="B94:D94"/>
    <mergeCell ref="B113:D113"/>
    <mergeCell ref="B112:D112"/>
    <mergeCell ref="B106:D106"/>
    <mergeCell ref="B114:D114"/>
    <mergeCell ref="B109:D109"/>
    <mergeCell ref="B98:D98"/>
    <mergeCell ref="B95:D95"/>
    <mergeCell ref="B129:D129"/>
    <mergeCell ref="B127:D127"/>
    <mergeCell ref="B119:D119"/>
    <mergeCell ref="B120:D120"/>
    <mergeCell ref="B118:D118"/>
    <mergeCell ref="B125:D125"/>
    <mergeCell ref="B130:D130"/>
    <mergeCell ref="B121:D121"/>
    <mergeCell ref="B126:D126"/>
    <mergeCell ref="B87:D87"/>
    <mergeCell ref="B86:D86"/>
    <mergeCell ref="B90:D90"/>
    <mergeCell ref="B92:D92"/>
    <mergeCell ref="B93:D93"/>
    <mergeCell ref="B88:D88"/>
    <mergeCell ref="B89:D89"/>
    <mergeCell ref="B91:D91"/>
    <mergeCell ref="B124:D124"/>
    <mergeCell ref="B122:D122"/>
    <mergeCell ref="B123:D123"/>
    <mergeCell ref="B108:D108"/>
    <mergeCell ref="B107:D107"/>
    <mergeCell ref="B117:D117"/>
    <mergeCell ref="B116:D116"/>
    <mergeCell ref="B115:D115"/>
    <mergeCell ref="B111:D111"/>
    <mergeCell ref="B110:D110"/>
    <mergeCell ref="B105:D105"/>
    <mergeCell ref="B102:D102"/>
    <mergeCell ref="B103:D103"/>
    <mergeCell ref="B104:D104"/>
    <mergeCell ref="B101:D101"/>
    <mergeCell ref="B99:D99"/>
    <mergeCell ref="B74:D74"/>
    <mergeCell ref="B57:D57"/>
    <mergeCell ref="B37:D37"/>
    <mergeCell ref="B39:D39"/>
    <mergeCell ref="B38:D38"/>
    <mergeCell ref="B27:D27"/>
    <mergeCell ref="B29:D29"/>
    <mergeCell ref="B85:D85"/>
    <mergeCell ref="B1:D1"/>
    <mergeCell ref="B83:D83"/>
    <mergeCell ref="B84:D84"/>
    <mergeCell ref="B9:D9"/>
    <mergeCell ref="B79:D79"/>
    <mergeCell ref="B80:D80"/>
    <mergeCell ref="B62:D62"/>
    <mergeCell ref="B63:D63"/>
    <mergeCell ref="B56:D56"/>
    <mergeCell ref="B55:D55"/>
    <mergeCell ref="B70:D70"/>
    <mergeCell ref="B69:D69"/>
    <mergeCell ref="B61:D61"/>
    <mergeCell ref="B65:D65"/>
    <mergeCell ref="B66:D66"/>
    <mergeCell ref="B16:D16"/>
  </mergeCells>
  <hyperlinks>
    <hyperlink ref="A31" r:id="rId1" xr:uid="{00000000-0004-0000-0D00-000000000000}"/>
    <hyperlink ref="A32" r:id="rId2" xr:uid="{00000000-0004-0000-0D00-000001000000}"/>
    <hyperlink ref="A33" r:id="rId3" xr:uid="{00000000-0004-0000-0D00-000002000000}"/>
    <hyperlink ref="A34" r:id="rId4" xr:uid="{00000000-0004-0000-0D00-000003000000}"/>
    <hyperlink ref="A35" r:id="rId5" xr:uid="{00000000-0004-0000-0D00-000004000000}"/>
    <hyperlink ref="A36" r:id="rId6" xr:uid="{00000000-0004-0000-0D00-000005000000}"/>
    <hyperlink ref="A37" r:id="rId7" xr:uid="{00000000-0004-0000-0D00-000006000000}"/>
    <hyperlink ref="A38" r:id="rId8" xr:uid="{00000000-0004-0000-0D00-000007000000}"/>
    <hyperlink ref="A39" r:id="rId9" xr:uid="{00000000-0004-0000-0D00-000008000000}"/>
    <hyperlink ref="A40" r:id="rId10" xr:uid="{00000000-0004-0000-0D00-000009000000}"/>
    <hyperlink ref="A41" r:id="rId11" xr:uid="{00000000-0004-0000-0D00-00000A000000}"/>
    <hyperlink ref="A42" r:id="rId12" xr:uid="{00000000-0004-0000-0D00-00000B000000}"/>
    <hyperlink ref="A43" r:id="rId13" xr:uid="{00000000-0004-0000-0D00-00000C000000}"/>
    <hyperlink ref="A44" r:id="rId14" xr:uid="{00000000-0004-0000-0D00-00000D000000}"/>
    <hyperlink ref="A45" r:id="rId15" xr:uid="{00000000-0004-0000-0D00-00000E000000}"/>
    <hyperlink ref="A46" r:id="rId16" xr:uid="{00000000-0004-0000-0D00-00000F000000}"/>
    <hyperlink ref="A47" r:id="rId17" xr:uid="{00000000-0004-0000-0D00-000010000000}"/>
    <hyperlink ref="A48" r:id="rId18" xr:uid="{00000000-0004-0000-0D00-000011000000}"/>
    <hyperlink ref="A49" r:id="rId19" xr:uid="{00000000-0004-0000-0D00-000012000000}"/>
    <hyperlink ref="A50" r:id="rId20" xr:uid="{00000000-0004-0000-0D00-000013000000}"/>
    <hyperlink ref="A51" r:id="rId21" xr:uid="{00000000-0004-0000-0D00-000014000000}"/>
    <hyperlink ref="A52" r:id="rId22" xr:uid="{00000000-0004-0000-0D00-000015000000}"/>
    <hyperlink ref="A53" r:id="rId23" xr:uid="{00000000-0004-0000-0D00-000016000000}"/>
    <hyperlink ref="A54" r:id="rId24" xr:uid="{00000000-0004-0000-0D00-000017000000}"/>
    <hyperlink ref="A55" r:id="rId25" xr:uid="{00000000-0004-0000-0D00-000018000000}"/>
    <hyperlink ref="A56" r:id="rId26" xr:uid="{00000000-0004-0000-0D00-000019000000}"/>
    <hyperlink ref="A57" r:id="rId27" xr:uid="{00000000-0004-0000-0D00-00001A000000}"/>
    <hyperlink ref="A58" r:id="rId28" xr:uid="{00000000-0004-0000-0D00-00001B000000}"/>
    <hyperlink ref="A59" r:id="rId29" xr:uid="{00000000-0004-0000-0D00-00001C000000}"/>
    <hyperlink ref="A60" r:id="rId30" xr:uid="{00000000-0004-0000-0D00-00001D000000}"/>
    <hyperlink ref="A61" r:id="rId31" xr:uid="{00000000-0004-0000-0D00-00001E000000}"/>
    <hyperlink ref="A62" r:id="rId32" xr:uid="{00000000-0004-0000-0D00-00001F000000}"/>
    <hyperlink ref="A63" r:id="rId33" xr:uid="{00000000-0004-0000-0D00-000020000000}"/>
    <hyperlink ref="A64" r:id="rId34" xr:uid="{00000000-0004-0000-0D00-000021000000}"/>
    <hyperlink ref="A65" r:id="rId35" xr:uid="{00000000-0004-0000-0D00-000022000000}"/>
    <hyperlink ref="A66" r:id="rId36" xr:uid="{00000000-0004-0000-0D00-000023000000}"/>
    <hyperlink ref="A67" r:id="rId37" xr:uid="{00000000-0004-0000-0D00-000024000000}"/>
    <hyperlink ref="A68" r:id="rId38" xr:uid="{00000000-0004-0000-0D00-000025000000}"/>
    <hyperlink ref="A69" r:id="rId39" xr:uid="{00000000-0004-0000-0D00-000026000000}"/>
    <hyperlink ref="A71" r:id="rId40" xr:uid="{00000000-0004-0000-0D00-000027000000}"/>
    <hyperlink ref="A72" r:id="rId41" xr:uid="{00000000-0004-0000-0D00-000028000000}"/>
    <hyperlink ref="A73" r:id="rId42" xr:uid="{00000000-0004-0000-0D00-000029000000}"/>
    <hyperlink ref="A74" r:id="rId43" xr:uid="{00000000-0004-0000-0D00-00002A000000}"/>
    <hyperlink ref="A75" r:id="rId44" xr:uid="{00000000-0004-0000-0D00-00002B000000}"/>
    <hyperlink ref="A76" r:id="rId45" xr:uid="{00000000-0004-0000-0D00-00002C000000}"/>
    <hyperlink ref="A77" r:id="rId46" xr:uid="{00000000-0004-0000-0D00-00002D000000}"/>
    <hyperlink ref="A78" r:id="rId47" xr:uid="{00000000-0004-0000-0D00-00002E000000}"/>
    <hyperlink ref="A79" r:id="rId48" xr:uid="{00000000-0004-0000-0D00-00002F000000}"/>
    <hyperlink ref="A80" r:id="rId49" xr:uid="{00000000-0004-0000-0D00-000030000000}"/>
    <hyperlink ref="A81" r:id="rId50" xr:uid="{00000000-0004-0000-0D00-000031000000}"/>
    <hyperlink ref="A82" r:id="rId51" xr:uid="{00000000-0004-0000-0D00-000032000000}"/>
    <hyperlink ref="A83" r:id="rId52" xr:uid="{00000000-0004-0000-0D00-000033000000}"/>
    <hyperlink ref="A84" r:id="rId53" xr:uid="{00000000-0004-0000-0D00-000034000000}"/>
    <hyperlink ref="A85" r:id="rId54" xr:uid="{00000000-0004-0000-0D00-000035000000}"/>
    <hyperlink ref="A86" r:id="rId55" xr:uid="{00000000-0004-0000-0D00-000036000000}"/>
    <hyperlink ref="A87" r:id="rId56" xr:uid="{00000000-0004-0000-0D00-000037000000}"/>
    <hyperlink ref="A88" r:id="rId57" xr:uid="{00000000-0004-0000-0D00-000038000000}"/>
    <hyperlink ref="A89" r:id="rId58" xr:uid="{00000000-0004-0000-0D00-000039000000}"/>
    <hyperlink ref="A90" r:id="rId59" xr:uid="{00000000-0004-0000-0D00-00003A000000}"/>
    <hyperlink ref="A91" r:id="rId60" xr:uid="{00000000-0004-0000-0D00-00003B000000}"/>
    <hyperlink ref="A92" r:id="rId61" xr:uid="{00000000-0004-0000-0D00-00003C000000}"/>
    <hyperlink ref="A93" r:id="rId62" xr:uid="{00000000-0004-0000-0D00-00003D000000}"/>
    <hyperlink ref="A94" r:id="rId63" xr:uid="{00000000-0004-0000-0D00-00003E000000}"/>
    <hyperlink ref="A95" r:id="rId64" xr:uid="{00000000-0004-0000-0D00-00003F000000}"/>
    <hyperlink ref="A96" r:id="rId65" xr:uid="{00000000-0004-0000-0D00-000040000000}"/>
    <hyperlink ref="A97" r:id="rId66" xr:uid="{00000000-0004-0000-0D00-000041000000}"/>
    <hyperlink ref="A98" r:id="rId67" xr:uid="{00000000-0004-0000-0D00-000042000000}"/>
    <hyperlink ref="A99" r:id="rId68" xr:uid="{00000000-0004-0000-0D00-000043000000}"/>
    <hyperlink ref="A100" r:id="rId69" xr:uid="{00000000-0004-0000-0D00-000044000000}"/>
    <hyperlink ref="A101" r:id="rId70" xr:uid="{00000000-0004-0000-0D00-000045000000}"/>
    <hyperlink ref="A102" r:id="rId71" xr:uid="{00000000-0004-0000-0D00-000046000000}"/>
    <hyperlink ref="A103" r:id="rId72" xr:uid="{00000000-0004-0000-0D00-000047000000}"/>
    <hyperlink ref="A104" r:id="rId73" xr:uid="{00000000-0004-0000-0D00-000048000000}"/>
    <hyperlink ref="A105" r:id="rId74" xr:uid="{00000000-0004-0000-0D00-000049000000}"/>
    <hyperlink ref="A106" r:id="rId75" xr:uid="{00000000-0004-0000-0D00-00004A000000}"/>
    <hyperlink ref="A107" r:id="rId76" xr:uid="{00000000-0004-0000-0D00-00004B000000}"/>
    <hyperlink ref="A108" r:id="rId77" xr:uid="{00000000-0004-0000-0D00-00004C000000}"/>
    <hyperlink ref="A109" r:id="rId78" xr:uid="{00000000-0004-0000-0D00-00004D000000}"/>
    <hyperlink ref="A110" r:id="rId79" xr:uid="{00000000-0004-0000-0D00-00004E000000}"/>
    <hyperlink ref="A111" r:id="rId80" xr:uid="{00000000-0004-0000-0D00-00004F000000}"/>
    <hyperlink ref="A112" r:id="rId81" xr:uid="{00000000-0004-0000-0D00-000050000000}"/>
    <hyperlink ref="A113" r:id="rId82" xr:uid="{00000000-0004-0000-0D00-000051000000}"/>
    <hyperlink ref="A114" r:id="rId83" xr:uid="{00000000-0004-0000-0D00-000052000000}"/>
    <hyperlink ref="A115" r:id="rId84" xr:uid="{00000000-0004-0000-0D00-000053000000}"/>
    <hyperlink ref="A116" r:id="rId85" xr:uid="{00000000-0004-0000-0D00-000054000000}"/>
    <hyperlink ref="A117" r:id="rId86" xr:uid="{00000000-0004-0000-0D00-000055000000}"/>
    <hyperlink ref="A118" r:id="rId87" xr:uid="{00000000-0004-0000-0D00-000056000000}"/>
    <hyperlink ref="A119" r:id="rId88" xr:uid="{00000000-0004-0000-0D00-000057000000}"/>
    <hyperlink ref="A120" r:id="rId89" xr:uid="{00000000-0004-0000-0D00-000058000000}"/>
    <hyperlink ref="A121" r:id="rId90" xr:uid="{00000000-0004-0000-0D00-000059000000}"/>
    <hyperlink ref="A122" r:id="rId91" xr:uid="{00000000-0004-0000-0D00-00005A000000}"/>
    <hyperlink ref="A123" r:id="rId92" xr:uid="{00000000-0004-0000-0D00-00005B000000}"/>
    <hyperlink ref="A124" r:id="rId93" xr:uid="{00000000-0004-0000-0D00-00005C000000}"/>
    <hyperlink ref="A125" r:id="rId94" xr:uid="{00000000-0004-0000-0D00-00005D000000}"/>
    <hyperlink ref="A126" r:id="rId95" xr:uid="{00000000-0004-0000-0D00-00005E000000}"/>
    <hyperlink ref="B130" r:id="rId96" xr:uid="{00000000-0004-0000-0D00-00005F000000}"/>
    <hyperlink ref="B131" r:id="rId97" xr:uid="{00000000-0004-0000-0D00-000060000000}"/>
    <hyperlink ref="B132" r:id="rId98" xr:uid="{00000000-0004-0000-0D00-000061000000}"/>
    <hyperlink ref="B135" r:id="rId99" xr:uid="{00000000-0004-0000-0D00-000062000000}"/>
    <hyperlink ref="B136" r:id="rId100" xr:uid="{00000000-0004-0000-0D00-000063000000}"/>
    <hyperlink ref="B137" r:id="rId101" xr:uid="{00000000-0004-0000-0D00-000064000000}"/>
    <hyperlink ref="B138" r:id="rId102" xr:uid="{00000000-0004-0000-0D00-000065000000}"/>
    <hyperlink ref="B139" r:id="rId103" xr:uid="{00000000-0004-0000-0D00-000066000000}"/>
    <hyperlink ref="B140" r:id="rId104" xr:uid="{00000000-0004-0000-0D00-000067000000}"/>
    <hyperlink ref="B146" r:id="rId105" xr:uid="{00000000-0004-0000-0D00-000068000000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Z198"/>
  <sheetViews>
    <sheetView workbookViewId="0"/>
  </sheetViews>
  <sheetFormatPr defaultColWidth="14.42578125" defaultRowHeight="15.75" customHeight="1"/>
  <cols>
    <col min="1" max="1" width="27.7109375" customWidth="1"/>
  </cols>
  <sheetData>
    <row r="1" spans="1:26">
      <c r="B1" s="56" t="s">
        <v>761</v>
      </c>
      <c r="C1" s="56" t="s">
        <v>515</v>
      </c>
      <c r="D1" s="56" t="s">
        <v>516</v>
      </c>
      <c r="E1" s="57" t="s">
        <v>761</v>
      </c>
      <c r="F1" s="57" t="s">
        <v>515</v>
      </c>
      <c r="G1" s="57" t="s">
        <v>516</v>
      </c>
      <c r="H1" s="58" t="s">
        <v>761</v>
      </c>
      <c r="I1" s="58" t="s">
        <v>515</v>
      </c>
      <c r="J1" s="58" t="s">
        <v>516</v>
      </c>
      <c r="K1" s="59" t="s">
        <v>761</v>
      </c>
      <c r="L1" s="59" t="s">
        <v>515</v>
      </c>
      <c r="M1" s="59" t="s">
        <v>516</v>
      </c>
      <c r="N1" s="60" t="s">
        <v>771</v>
      </c>
      <c r="P1" s="1" t="s">
        <v>774</v>
      </c>
      <c r="Q1" s="1" t="s">
        <v>775</v>
      </c>
      <c r="S1" s="1" t="s">
        <v>774</v>
      </c>
      <c r="T1" s="1" t="s">
        <v>775</v>
      </c>
      <c r="V1" s="1" t="s">
        <v>774</v>
      </c>
      <c r="W1" s="1" t="s">
        <v>775</v>
      </c>
      <c r="Y1" s="1" t="s">
        <v>774</v>
      </c>
      <c r="Z1" s="1" t="s">
        <v>775</v>
      </c>
    </row>
    <row r="2" spans="1:26">
      <c r="A2" s="61" t="s">
        <v>355</v>
      </c>
      <c r="B2" s="56">
        <v>170.03</v>
      </c>
      <c r="C2" s="56">
        <v>0.25</v>
      </c>
      <c r="D2" s="56">
        <v>21</v>
      </c>
      <c r="E2" s="57">
        <v>170.04</v>
      </c>
      <c r="F2" s="57">
        <v>0.25</v>
      </c>
      <c r="G2" s="57">
        <v>87</v>
      </c>
      <c r="H2" s="58">
        <v>181.11</v>
      </c>
      <c r="I2" s="58">
        <v>1</v>
      </c>
      <c r="J2" s="58">
        <v>226</v>
      </c>
      <c r="K2" s="59">
        <v>181.1</v>
      </c>
      <c r="L2" s="59">
        <v>0.5</v>
      </c>
      <c r="M2" s="59">
        <v>167</v>
      </c>
      <c r="N2" s="60">
        <f t="shared" ref="N2:N97" si="0">$D2+$G2+$J2+$M2</f>
        <v>501</v>
      </c>
      <c r="O2" s="11">
        <v>170.03</v>
      </c>
      <c r="P2">
        <v>85</v>
      </c>
      <c r="Q2">
        <v>86</v>
      </c>
      <c r="R2" s="11">
        <v>170.04</v>
      </c>
      <c r="S2">
        <v>347</v>
      </c>
      <c r="T2">
        <v>273</v>
      </c>
      <c r="U2" s="11">
        <v>181.11</v>
      </c>
      <c r="V2">
        <v>226</v>
      </c>
      <c r="W2">
        <v>222</v>
      </c>
      <c r="X2" s="11">
        <v>181.1</v>
      </c>
      <c r="Y2">
        <v>333</v>
      </c>
      <c r="Z2">
        <v>306</v>
      </c>
    </row>
    <row r="3" spans="1:26">
      <c r="A3" s="61" t="s">
        <v>341</v>
      </c>
      <c r="B3" s="56">
        <v>170.07</v>
      </c>
      <c r="C3" s="56">
        <v>0.5</v>
      </c>
      <c r="D3" s="56">
        <v>167</v>
      </c>
      <c r="E3" s="57">
        <v>170.08</v>
      </c>
      <c r="F3" s="57">
        <v>0.5</v>
      </c>
      <c r="G3" s="57">
        <v>102</v>
      </c>
      <c r="H3" s="58"/>
      <c r="I3" s="58"/>
      <c r="J3" s="58">
        <v>0</v>
      </c>
      <c r="K3" s="59"/>
      <c r="L3" s="59"/>
      <c r="M3" s="59">
        <v>0</v>
      </c>
      <c r="N3" s="60">
        <f t="shared" si="0"/>
        <v>269</v>
      </c>
      <c r="O3" s="11">
        <v>170.07</v>
      </c>
      <c r="P3">
        <v>333</v>
      </c>
      <c r="Q3">
        <v>225</v>
      </c>
      <c r="R3" s="11">
        <v>170.08</v>
      </c>
      <c r="S3">
        <v>203</v>
      </c>
      <c r="T3">
        <v>162</v>
      </c>
    </row>
    <row r="4" spans="1:26">
      <c r="A4" s="61" t="s">
        <v>398</v>
      </c>
      <c r="B4" s="56">
        <v>170.08</v>
      </c>
      <c r="C4" s="56">
        <v>0.5</v>
      </c>
      <c r="D4" s="56">
        <v>102</v>
      </c>
      <c r="E4" s="57">
        <v>170.07</v>
      </c>
      <c r="F4" s="57">
        <v>0.5</v>
      </c>
      <c r="G4" s="57">
        <v>167</v>
      </c>
      <c r="H4" s="58">
        <v>170.05</v>
      </c>
      <c r="I4" s="58">
        <v>1</v>
      </c>
      <c r="J4" s="58">
        <v>73</v>
      </c>
      <c r="K4" s="59">
        <v>170.03</v>
      </c>
      <c r="L4" s="59">
        <v>0.75</v>
      </c>
      <c r="M4" s="59">
        <v>64</v>
      </c>
      <c r="N4" s="60">
        <f t="shared" si="0"/>
        <v>406</v>
      </c>
      <c r="O4" s="11">
        <v>170.08</v>
      </c>
      <c r="P4">
        <v>203</v>
      </c>
      <c r="Q4">
        <v>162</v>
      </c>
      <c r="R4" s="11">
        <v>170.07</v>
      </c>
      <c r="S4">
        <v>333</v>
      </c>
      <c r="T4">
        <v>225</v>
      </c>
      <c r="U4" s="11">
        <v>170.05</v>
      </c>
      <c r="V4">
        <v>73</v>
      </c>
      <c r="W4">
        <v>54</v>
      </c>
      <c r="X4" s="11">
        <v>170.03</v>
      </c>
      <c r="Y4">
        <v>85</v>
      </c>
      <c r="Z4">
        <v>86</v>
      </c>
    </row>
    <row r="5" spans="1:26">
      <c r="A5" s="61" t="s">
        <v>384</v>
      </c>
      <c r="B5" s="56">
        <v>180.01</v>
      </c>
      <c r="C5" s="56">
        <v>0.5</v>
      </c>
      <c r="D5" s="56">
        <v>676</v>
      </c>
      <c r="E5" s="57"/>
      <c r="F5" s="57"/>
      <c r="G5" s="57">
        <v>0</v>
      </c>
      <c r="H5" s="58"/>
      <c r="I5" s="58"/>
      <c r="J5" s="58">
        <v>0</v>
      </c>
      <c r="K5" s="59"/>
      <c r="L5" s="59"/>
      <c r="M5" s="59">
        <v>0</v>
      </c>
      <c r="N5" s="60">
        <f t="shared" si="0"/>
        <v>676</v>
      </c>
      <c r="O5" s="11">
        <v>180.01</v>
      </c>
      <c r="P5">
        <v>1351</v>
      </c>
      <c r="Q5">
        <v>742</v>
      </c>
    </row>
    <row r="6" spans="1:26">
      <c r="A6" s="61" t="s">
        <v>356</v>
      </c>
      <c r="B6" s="56">
        <v>180.03</v>
      </c>
      <c r="C6" s="56">
        <v>0.25</v>
      </c>
      <c r="D6" s="56">
        <v>247</v>
      </c>
      <c r="E6" s="57"/>
      <c r="F6" s="57"/>
      <c r="G6" s="57">
        <v>0</v>
      </c>
      <c r="H6" s="58"/>
      <c r="I6" s="58"/>
      <c r="J6" s="58">
        <v>0</v>
      </c>
      <c r="K6" s="59"/>
      <c r="L6" s="59"/>
      <c r="M6" s="59">
        <v>0</v>
      </c>
      <c r="N6" s="60">
        <f t="shared" si="0"/>
        <v>247</v>
      </c>
      <c r="O6" s="11">
        <v>180.03</v>
      </c>
      <c r="P6">
        <v>987</v>
      </c>
      <c r="Q6">
        <v>747</v>
      </c>
    </row>
    <row r="7" spans="1:26">
      <c r="A7" s="61" t="s">
        <v>379</v>
      </c>
      <c r="B7" s="56">
        <v>180.03</v>
      </c>
      <c r="C7" s="56">
        <v>0.5</v>
      </c>
      <c r="D7" s="56">
        <v>494</v>
      </c>
      <c r="E7" s="57"/>
      <c r="F7" s="57"/>
      <c r="G7" s="57">
        <v>0</v>
      </c>
      <c r="H7" s="58"/>
      <c r="I7" s="58"/>
      <c r="J7" s="58">
        <v>0</v>
      </c>
      <c r="K7" s="59"/>
      <c r="L7" s="59"/>
      <c r="M7" s="59">
        <v>0</v>
      </c>
      <c r="N7" s="60">
        <f t="shared" si="0"/>
        <v>494</v>
      </c>
      <c r="O7" s="11">
        <v>180.03</v>
      </c>
      <c r="P7">
        <v>987</v>
      </c>
      <c r="Q7">
        <v>747</v>
      </c>
    </row>
    <row r="8" spans="1:26">
      <c r="A8" s="61" t="s">
        <v>331</v>
      </c>
      <c r="B8" s="56">
        <v>180.03</v>
      </c>
      <c r="C8" s="56">
        <v>0.25</v>
      </c>
      <c r="D8" s="56">
        <v>247</v>
      </c>
      <c r="E8" s="57"/>
      <c r="F8" s="57"/>
      <c r="G8" s="57">
        <v>0</v>
      </c>
      <c r="H8" s="58"/>
      <c r="I8" s="58"/>
      <c r="J8" s="58">
        <v>0</v>
      </c>
      <c r="K8" s="59"/>
      <c r="L8" s="59"/>
      <c r="M8" s="59">
        <v>0</v>
      </c>
      <c r="N8" s="60">
        <f t="shared" si="0"/>
        <v>247</v>
      </c>
      <c r="O8" s="11">
        <v>180.03</v>
      </c>
      <c r="P8">
        <v>987</v>
      </c>
      <c r="Q8">
        <v>747</v>
      </c>
    </row>
    <row r="9" spans="1:26">
      <c r="A9" s="61" t="s">
        <v>392</v>
      </c>
      <c r="B9" s="56">
        <v>180.04</v>
      </c>
      <c r="C9" s="56">
        <v>1</v>
      </c>
      <c r="D9" s="56">
        <v>1058</v>
      </c>
      <c r="E9" s="57"/>
      <c r="F9" s="57"/>
      <c r="G9" s="57">
        <v>0</v>
      </c>
      <c r="H9" s="58"/>
      <c r="I9" s="58"/>
      <c r="J9" s="58">
        <v>0</v>
      </c>
      <c r="K9" s="59"/>
      <c r="L9" s="59"/>
      <c r="M9" s="59">
        <v>0</v>
      </c>
      <c r="N9" s="60">
        <f t="shared" si="0"/>
        <v>1058</v>
      </c>
      <c r="O9" s="11">
        <v>180.04</v>
      </c>
      <c r="P9">
        <v>1058</v>
      </c>
      <c r="Q9">
        <v>803</v>
      </c>
    </row>
    <row r="10" spans="1:26">
      <c r="A10" s="61" t="s">
        <v>332</v>
      </c>
      <c r="B10" s="56">
        <v>181.03</v>
      </c>
      <c r="C10" s="56">
        <v>0.5</v>
      </c>
      <c r="D10" s="56">
        <v>244</v>
      </c>
      <c r="E10" s="57"/>
      <c r="F10" s="57"/>
      <c r="G10" s="57">
        <v>0</v>
      </c>
      <c r="H10" s="58"/>
      <c r="I10" s="58"/>
      <c r="J10" s="58">
        <v>0</v>
      </c>
      <c r="K10" s="59"/>
      <c r="L10" s="59"/>
      <c r="M10" s="59">
        <v>0</v>
      </c>
      <c r="N10" s="60">
        <f t="shared" si="0"/>
        <v>244</v>
      </c>
      <c r="O10" s="11">
        <v>181.03</v>
      </c>
      <c r="P10">
        <v>488</v>
      </c>
      <c r="Q10">
        <v>410</v>
      </c>
    </row>
    <row r="11" spans="1:26">
      <c r="A11" s="61" t="s">
        <v>340</v>
      </c>
      <c r="B11" s="56">
        <v>181.07</v>
      </c>
      <c r="C11" s="56">
        <v>1</v>
      </c>
      <c r="D11" s="56">
        <v>336</v>
      </c>
      <c r="E11" s="57"/>
      <c r="F11" s="57"/>
      <c r="G11" s="57">
        <v>0</v>
      </c>
      <c r="H11" s="58"/>
      <c r="I11" s="58"/>
      <c r="J11" s="58">
        <v>0</v>
      </c>
      <c r="K11" s="59"/>
      <c r="L11" s="59"/>
      <c r="M11" s="59">
        <v>0</v>
      </c>
      <c r="N11" s="60">
        <f t="shared" si="0"/>
        <v>336</v>
      </c>
      <c r="O11" s="11">
        <v>181.07</v>
      </c>
      <c r="P11">
        <v>336</v>
      </c>
      <c r="Q11">
        <v>266</v>
      </c>
    </row>
    <row r="12" spans="1:26">
      <c r="A12" s="61" t="s">
        <v>383</v>
      </c>
      <c r="B12" s="56">
        <v>181.08</v>
      </c>
      <c r="C12" s="56">
        <v>1</v>
      </c>
      <c r="D12" s="56">
        <v>248</v>
      </c>
      <c r="E12" s="57">
        <v>181.09</v>
      </c>
      <c r="F12" s="57">
        <v>1</v>
      </c>
      <c r="G12" s="57">
        <v>614</v>
      </c>
      <c r="H12" s="58"/>
      <c r="I12" s="58"/>
      <c r="J12" s="58">
        <v>0</v>
      </c>
      <c r="K12" s="59"/>
      <c r="L12" s="59"/>
      <c r="M12" s="59">
        <v>0</v>
      </c>
      <c r="N12" s="60">
        <f t="shared" si="0"/>
        <v>862</v>
      </c>
      <c r="O12" s="11">
        <v>181.08</v>
      </c>
      <c r="P12">
        <v>248</v>
      </c>
      <c r="Q12">
        <v>169</v>
      </c>
      <c r="R12" s="11">
        <v>181.09</v>
      </c>
      <c r="S12">
        <v>614</v>
      </c>
      <c r="T12">
        <v>540</v>
      </c>
    </row>
    <row r="13" spans="1:26">
      <c r="A13" s="61" t="s">
        <v>296</v>
      </c>
      <c r="B13" s="56">
        <v>181.1</v>
      </c>
      <c r="C13" s="56">
        <v>0.5</v>
      </c>
      <c r="D13" s="56">
        <v>167</v>
      </c>
      <c r="E13" s="57">
        <v>170.04</v>
      </c>
      <c r="F13" s="57">
        <v>0.75</v>
      </c>
      <c r="G13" s="57">
        <v>260</v>
      </c>
      <c r="H13" s="58"/>
      <c r="I13" s="58"/>
      <c r="J13" s="58">
        <v>0</v>
      </c>
      <c r="K13" s="59"/>
      <c r="L13" s="59"/>
      <c r="M13" s="59">
        <v>0</v>
      </c>
      <c r="N13" s="60">
        <f t="shared" si="0"/>
        <v>427</v>
      </c>
      <c r="O13" s="11">
        <v>181.1</v>
      </c>
      <c r="P13">
        <v>333</v>
      </c>
      <c r="Q13">
        <v>306</v>
      </c>
      <c r="R13" s="11">
        <v>170.04</v>
      </c>
      <c r="S13">
        <v>347</v>
      </c>
      <c r="T13">
        <v>273</v>
      </c>
    </row>
    <row r="14" spans="1:26">
      <c r="A14" s="61" t="s">
        <v>318</v>
      </c>
      <c r="B14" s="56">
        <v>181.12</v>
      </c>
      <c r="C14" s="56">
        <v>0.5</v>
      </c>
      <c r="D14" s="56">
        <v>156</v>
      </c>
      <c r="E14" s="57">
        <v>181.03</v>
      </c>
      <c r="F14" s="57">
        <v>0.5</v>
      </c>
      <c r="G14" s="57">
        <v>244</v>
      </c>
      <c r="H14" s="58"/>
      <c r="I14" s="58"/>
      <c r="J14" s="58">
        <v>0</v>
      </c>
      <c r="K14" s="59"/>
      <c r="L14" s="59"/>
      <c r="M14" s="59">
        <v>0</v>
      </c>
      <c r="N14" s="60">
        <f t="shared" si="0"/>
        <v>400</v>
      </c>
      <c r="O14" s="11">
        <v>181.12</v>
      </c>
      <c r="P14">
        <v>311</v>
      </c>
      <c r="Q14">
        <v>237</v>
      </c>
      <c r="R14" s="11">
        <v>181.03</v>
      </c>
      <c r="S14">
        <v>488</v>
      </c>
      <c r="T14">
        <v>410</v>
      </c>
    </row>
    <row r="15" spans="1:26">
      <c r="A15" s="61" t="s">
        <v>386</v>
      </c>
      <c r="B15" s="56">
        <v>181.13</v>
      </c>
      <c r="C15" s="56">
        <v>1</v>
      </c>
      <c r="D15" s="56">
        <v>341</v>
      </c>
      <c r="E15" s="57">
        <v>181.12</v>
      </c>
      <c r="F15" s="57">
        <v>0.5</v>
      </c>
      <c r="G15" s="57">
        <v>156</v>
      </c>
      <c r="H15" s="58">
        <v>181.14</v>
      </c>
      <c r="I15" s="58">
        <v>0.5</v>
      </c>
      <c r="J15" s="58">
        <v>196</v>
      </c>
      <c r="K15" s="59"/>
      <c r="L15" s="59"/>
      <c r="M15" s="59">
        <v>0</v>
      </c>
      <c r="N15" s="60">
        <f t="shared" si="0"/>
        <v>693</v>
      </c>
      <c r="O15" s="11">
        <v>181.13</v>
      </c>
      <c r="P15">
        <v>341</v>
      </c>
      <c r="Q15">
        <v>275</v>
      </c>
      <c r="R15" s="11">
        <v>181.12</v>
      </c>
      <c r="S15">
        <v>311</v>
      </c>
      <c r="T15">
        <v>237</v>
      </c>
      <c r="U15" s="11">
        <v>181.14</v>
      </c>
      <c r="V15">
        <v>391</v>
      </c>
      <c r="W15">
        <v>281</v>
      </c>
    </row>
    <row r="16" spans="1:26">
      <c r="A16" s="61" t="s">
        <v>337</v>
      </c>
      <c r="B16" s="56">
        <v>181.14</v>
      </c>
      <c r="C16" s="56">
        <v>0.5</v>
      </c>
      <c r="D16" s="56">
        <v>196</v>
      </c>
      <c r="E16" s="57">
        <v>181.05</v>
      </c>
      <c r="F16" s="57">
        <v>1</v>
      </c>
      <c r="G16" s="57">
        <v>524</v>
      </c>
      <c r="H16" s="58"/>
      <c r="I16" s="58"/>
      <c r="J16" s="58">
        <v>0</v>
      </c>
      <c r="K16" s="59"/>
      <c r="L16" s="59"/>
      <c r="M16" s="59">
        <v>0</v>
      </c>
      <c r="N16" s="60">
        <f t="shared" si="0"/>
        <v>720</v>
      </c>
      <c r="O16" s="11">
        <v>181.14</v>
      </c>
      <c r="P16">
        <v>391</v>
      </c>
      <c r="Q16">
        <v>281</v>
      </c>
      <c r="R16" s="11">
        <v>181.05</v>
      </c>
      <c r="S16">
        <v>524</v>
      </c>
      <c r="T16">
        <v>399</v>
      </c>
    </row>
    <row r="17" spans="1:23">
      <c r="A17" s="61" t="s">
        <v>389</v>
      </c>
      <c r="B17" s="56">
        <v>181.16</v>
      </c>
      <c r="C17" s="56">
        <v>1</v>
      </c>
      <c r="D17" s="56">
        <v>270</v>
      </c>
      <c r="E17" s="57">
        <v>181.15</v>
      </c>
      <c r="F17" s="57">
        <v>1</v>
      </c>
      <c r="G17" s="57">
        <v>524</v>
      </c>
      <c r="H17" s="58"/>
      <c r="I17" s="58"/>
      <c r="J17" s="58">
        <v>0</v>
      </c>
      <c r="K17" s="59"/>
      <c r="L17" s="59"/>
      <c r="M17" s="59">
        <v>0</v>
      </c>
      <c r="N17" s="60">
        <f t="shared" si="0"/>
        <v>794</v>
      </c>
      <c r="O17" s="11">
        <v>181.16</v>
      </c>
      <c r="P17">
        <v>270</v>
      </c>
      <c r="Q17">
        <v>200</v>
      </c>
      <c r="R17" s="11">
        <v>181.05</v>
      </c>
      <c r="S17">
        <v>524</v>
      </c>
      <c r="T17">
        <v>399</v>
      </c>
    </row>
    <row r="18" spans="1:23">
      <c r="A18" s="61" t="s">
        <v>344</v>
      </c>
      <c r="B18" s="56">
        <v>182.01</v>
      </c>
      <c r="C18" s="56">
        <v>0.25</v>
      </c>
      <c r="D18" s="56">
        <v>163</v>
      </c>
      <c r="E18" s="57">
        <v>183.07</v>
      </c>
      <c r="F18" s="57">
        <v>0.3</v>
      </c>
      <c r="G18" s="57">
        <v>194</v>
      </c>
      <c r="H18" s="58"/>
      <c r="I18" s="58"/>
      <c r="J18" s="58">
        <v>0</v>
      </c>
      <c r="K18" s="59"/>
      <c r="L18" s="59"/>
      <c r="M18" s="59">
        <v>0</v>
      </c>
      <c r="N18" s="60">
        <f t="shared" si="0"/>
        <v>357</v>
      </c>
      <c r="O18" s="11">
        <v>182.01</v>
      </c>
      <c r="P18">
        <v>652</v>
      </c>
      <c r="Q18">
        <v>462</v>
      </c>
      <c r="R18" s="11">
        <v>183.07</v>
      </c>
      <c r="S18">
        <v>646</v>
      </c>
      <c r="T18">
        <v>482</v>
      </c>
    </row>
    <row r="19" spans="1:23">
      <c r="A19" s="61" t="s">
        <v>375</v>
      </c>
      <c r="B19" s="56">
        <v>182.01</v>
      </c>
      <c r="C19" s="56">
        <v>0.25</v>
      </c>
      <c r="D19" s="56">
        <v>163</v>
      </c>
      <c r="E19" s="57">
        <v>180.01</v>
      </c>
      <c r="F19" s="57">
        <v>0.5</v>
      </c>
      <c r="G19" s="57">
        <v>676</v>
      </c>
      <c r="H19" s="58"/>
      <c r="I19" s="58"/>
      <c r="J19" s="58">
        <v>0</v>
      </c>
      <c r="K19" s="59"/>
      <c r="L19" s="59"/>
      <c r="M19" s="59">
        <v>0</v>
      </c>
      <c r="N19" s="60">
        <f t="shared" si="0"/>
        <v>839</v>
      </c>
      <c r="O19" s="11">
        <v>182.01</v>
      </c>
      <c r="P19">
        <v>652</v>
      </c>
      <c r="Q19">
        <v>462</v>
      </c>
      <c r="R19" s="11">
        <v>180.01</v>
      </c>
      <c r="S19">
        <v>1351</v>
      </c>
      <c r="T19">
        <v>742</v>
      </c>
    </row>
    <row r="20" spans="1:23">
      <c r="A20" s="61" t="s">
        <v>393</v>
      </c>
      <c r="B20" s="56">
        <v>182.02</v>
      </c>
      <c r="C20" s="56">
        <v>0.5</v>
      </c>
      <c r="D20" s="56">
        <v>816</v>
      </c>
      <c r="E20" s="57"/>
      <c r="F20" s="57"/>
      <c r="G20" s="57">
        <v>0</v>
      </c>
      <c r="H20" s="58"/>
      <c r="I20" s="58"/>
      <c r="J20" s="58">
        <v>0</v>
      </c>
      <c r="K20" s="59"/>
      <c r="L20" s="59"/>
      <c r="M20" s="59">
        <v>0</v>
      </c>
      <c r="N20" s="60">
        <f t="shared" si="0"/>
        <v>816</v>
      </c>
      <c r="O20" s="11">
        <v>182.02</v>
      </c>
      <c r="P20">
        <v>1632</v>
      </c>
      <c r="Q20">
        <v>741</v>
      </c>
    </row>
    <row r="21" spans="1:23">
      <c r="A21" s="61" t="s">
        <v>291</v>
      </c>
      <c r="B21" s="56">
        <v>182.02</v>
      </c>
      <c r="C21" s="56">
        <v>0.5</v>
      </c>
      <c r="D21" s="56">
        <v>816</v>
      </c>
      <c r="E21" s="57"/>
      <c r="F21" s="57"/>
      <c r="G21" s="57">
        <v>0</v>
      </c>
      <c r="H21" s="58"/>
      <c r="I21" s="58"/>
      <c r="J21" s="58">
        <v>0</v>
      </c>
      <c r="K21" s="59"/>
      <c r="L21" s="59"/>
      <c r="M21" s="59">
        <v>0</v>
      </c>
      <c r="N21" s="60">
        <f t="shared" si="0"/>
        <v>816</v>
      </c>
      <c r="O21" s="11">
        <v>182.02</v>
      </c>
      <c r="P21">
        <v>1632</v>
      </c>
      <c r="Q21">
        <v>741</v>
      </c>
    </row>
    <row r="22" spans="1:23">
      <c r="A22" s="61" t="s">
        <v>400</v>
      </c>
      <c r="B22" s="56">
        <v>182.04</v>
      </c>
      <c r="C22" s="56">
        <v>1</v>
      </c>
      <c r="D22" s="56">
        <v>208</v>
      </c>
      <c r="E22" s="57">
        <v>187.16</v>
      </c>
      <c r="F22" s="57">
        <v>0.66700000000000004</v>
      </c>
      <c r="G22" s="57">
        <v>266</v>
      </c>
      <c r="H22" s="58"/>
      <c r="I22" s="58"/>
      <c r="J22" s="58">
        <v>0</v>
      </c>
      <c r="K22" s="59"/>
      <c r="L22" s="59"/>
      <c r="M22" s="59">
        <v>0</v>
      </c>
      <c r="N22" s="60">
        <f t="shared" si="0"/>
        <v>474</v>
      </c>
      <c r="O22" s="11">
        <v>182.04</v>
      </c>
      <c r="P22">
        <v>208</v>
      </c>
      <c r="Q22">
        <v>182</v>
      </c>
      <c r="R22" s="11">
        <v>187.16</v>
      </c>
      <c r="S22">
        <v>399</v>
      </c>
      <c r="T22">
        <v>298</v>
      </c>
    </row>
    <row r="23" spans="1:23">
      <c r="A23" s="61" t="s">
        <v>322</v>
      </c>
      <c r="B23" s="56">
        <v>182.05</v>
      </c>
      <c r="C23" s="56">
        <v>1</v>
      </c>
      <c r="D23" s="56">
        <v>1010</v>
      </c>
      <c r="E23" s="57"/>
      <c r="F23" s="57"/>
      <c r="G23" s="57">
        <v>0</v>
      </c>
      <c r="H23" s="58"/>
      <c r="I23" s="58"/>
      <c r="J23" s="58">
        <v>0</v>
      </c>
      <c r="K23" s="59"/>
      <c r="L23" s="59"/>
      <c r="M23" s="59">
        <v>0</v>
      </c>
      <c r="N23" s="60">
        <f t="shared" si="0"/>
        <v>1010</v>
      </c>
      <c r="O23" s="11">
        <v>182.05</v>
      </c>
      <c r="P23">
        <v>1010</v>
      </c>
      <c r="Q23">
        <v>686</v>
      </c>
    </row>
    <row r="24" spans="1:23">
      <c r="A24" s="61" t="s">
        <v>351</v>
      </c>
      <c r="B24" s="56">
        <v>183.01</v>
      </c>
      <c r="C24" s="56">
        <v>1</v>
      </c>
      <c r="D24" s="56">
        <v>771</v>
      </c>
      <c r="E24" s="57"/>
      <c r="F24" s="57"/>
      <c r="G24" s="57">
        <v>0</v>
      </c>
      <c r="H24" s="58"/>
      <c r="I24" s="58"/>
      <c r="J24" s="58">
        <v>0</v>
      </c>
      <c r="K24" s="59"/>
      <c r="L24" s="59"/>
      <c r="M24" s="59">
        <v>0</v>
      </c>
      <c r="N24" s="60">
        <f t="shared" si="0"/>
        <v>771</v>
      </c>
      <c r="O24" s="11">
        <v>183.01</v>
      </c>
      <c r="P24">
        <v>771</v>
      </c>
      <c r="Q24">
        <v>533</v>
      </c>
    </row>
    <row r="25" spans="1:23">
      <c r="A25" s="61" t="s">
        <v>329</v>
      </c>
      <c r="B25" s="56">
        <v>183.03</v>
      </c>
      <c r="C25" s="56">
        <v>0.5</v>
      </c>
      <c r="D25" s="56">
        <v>287</v>
      </c>
      <c r="E25" s="57">
        <v>183.07</v>
      </c>
      <c r="F25" s="57">
        <v>0.2</v>
      </c>
      <c r="G25" s="57">
        <v>129</v>
      </c>
      <c r="H25" s="58"/>
      <c r="I25" s="58"/>
      <c r="J25" s="58">
        <v>0</v>
      </c>
      <c r="K25" s="59"/>
      <c r="L25" s="59"/>
      <c r="M25" s="59">
        <v>0</v>
      </c>
      <c r="N25" s="60">
        <f t="shared" si="0"/>
        <v>416</v>
      </c>
      <c r="O25" s="11">
        <v>183.03</v>
      </c>
      <c r="P25">
        <v>573</v>
      </c>
      <c r="Q25">
        <v>398</v>
      </c>
      <c r="R25" s="11">
        <v>183.07</v>
      </c>
      <c r="S25">
        <v>646</v>
      </c>
      <c r="T25">
        <v>482</v>
      </c>
    </row>
    <row r="26" spans="1:23">
      <c r="A26" s="61" t="s">
        <v>339</v>
      </c>
      <c r="B26" s="56">
        <v>183.03</v>
      </c>
      <c r="C26" s="56">
        <v>0.5</v>
      </c>
      <c r="D26" s="56">
        <v>287</v>
      </c>
      <c r="E26" s="57">
        <v>183.07</v>
      </c>
      <c r="F26" s="57">
        <v>0.1</v>
      </c>
      <c r="G26" s="57">
        <v>65</v>
      </c>
      <c r="H26" s="58">
        <v>182.01</v>
      </c>
      <c r="I26" s="58">
        <v>0.25</v>
      </c>
      <c r="J26" s="58">
        <v>163</v>
      </c>
      <c r="K26" s="59"/>
      <c r="L26" s="59"/>
      <c r="M26" s="59">
        <v>0</v>
      </c>
      <c r="N26" s="60">
        <f t="shared" si="0"/>
        <v>515</v>
      </c>
      <c r="O26" s="11">
        <v>183.03</v>
      </c>
      <c r="P26">
        <v>573</v>
      </c>
      <c r="Q26">
        <v>398</v>
      </c>
      <c r="R26" s="11">
        <v>183.07</v>
      </c>
      <c r="S26">
        <v>646</v>
      </c>
      <c r="T26">
        <v>482</v>
      </c>
      <c r="U26" s="11">
        <v>182.01</v>
      </c>
      <c r="V26">
        <v>652</v>
      </c>
      <c r="W26">
        <v>462</v>
      </c>
    </row>
    <row r="27" spans="1:23">
      <c r="A27" s="61" t="s">
        <v>359</v>
      </c>
      <c r="B27" s="56">
        <v>183.05</v>
      </c>
      <c r="C27" s="56">
        <v>0.5</v>
      </c>
      <c r="D27" s="56">
        <v>980</v>
      </c>
      <c r="E27" s="57"/>
      <c r="F27" s="57"/>
      <c r="G27" s="57">
        <v>0</v>
      </c>
      <c r="H27" s="58"/>
      <c r="I27" s="58"/>
      <c r="J27" s="58">
        <v>0</v>
      </c>
      <c r="K27" s="59"/>
      <c r="L27" s="59"/>
      <c r="M27" s="59">
        <v>0</v>
      </c>
      <c r="N27" s="60">
        <f t="shared" si="0"/>
        <v>980</v>
      </c>
      <c r="O27" s="11">
        <v>183.05</v>
      </c>
      <c r="P27">
        <v>1960</v>
      </c>
      <c r="Q27">
        <v>1040</v>
      </c>
    </row>
    <row r="28" spans="1:23">
      <c r="A28" s="61" t="s">
        <v>294</v>
      </c>
      <c r="B28" s="56">
        <v>183.05</v>
      </c>
      <c r="C28" s="56">
        <v>0.5</v>
      </c>
      <c r="D28" s="56">
        <v>980</v>
      </c>
      <c r="E28" s="57"/>
      <c r="F28" s="57"/>
      <c r="G28" s="57">
        <v>0</v>
      </c>
      <c r="H28" s="58"/>
      <c r="I28" s="58"/>
      <c r="J28" s="58">
        <v>0</v>
      </c>
      <c r="K28" s="59"/>
      <c r="L28" s="59"/>
      <c r="M28" s="59">
        <v>0</v>
      </c>
      <c r="N28" s="60">
        <f t="shared" si="0"/>
        <v>980</v>
      </c>
      <c r="O28" s="11">
        <v>183.05</v>
      </c>
      <c r="P28">
        <v>1960</v>
      </c>
      <c r="Q28">
        <v>1040</v>
      </c>
    </row>
    <row r="29" spans="1:23">
      <c r="A29" s="61" t="s">
        <v>369</v>
      </c>
      <c r="B29" s="56">
        <v>183.07</v>
      </c>
      <c r="C29" s="56">
        <v>0.4</v>
      </c>
      <c r="D29" s="56">
        <v>258</v>
      </c>
      <c r="E29" s="57">
        <v>183.06</v>
      </c>
      <c r="F29" s="57">
        <v>1</v>
      </c>
      <c r="G29" s="57">
        <v>222</v>
      </c>
      <c r="H29" s="58">
        <v>182.01</v>
      </c>
      <c r="I29" s="58">
        <v>0.25</v>
      </c>
      <c r="J29" s="58">
        <v>163</v>
      </c>
      <c r="K29" s="59"/>
      <c r="L29" s="59"/>
      <c r="M29" s="59">
        <v>0</v>
      </c>
      <c r="N29" s="60">
        <f t="shared" si="0"/>
        <v>643</v>
      </c>
      <c r="O29" s="11">
        <v>183.07</v>
      </c>
      <c r="P29">
        <v>646</v>
      </c>
      <c r="Q29">
        <v>482</v>
      </c>
      <c r="R29" s="11">
        <v>183.06</v>
      </c>
      <c r="S29">
        <v>222</v>
      </c>
      <c r="T29">
        <v>138</v>
      </c>
      <c r="U29" s="11">
        <v>182.01</v>
      </c>
      <c r="V29">
        <v>652</v>
      </c>
      <c r="W29">
        <v>462</v>
      </c>
    </row>
    <row r="30" spans="1:23">
      <c r="A30" s="61" t="s">
        <v>366</v>
      </c>
      <c r="B30" s="56">
        <v>183.08</v>
      </c>
      <c r="C30" s="56">
        <v>1</v>
      </c>
      <c r="D30" s="56">
        <v>1038</v>
      </c>
      <c r="E30" s="57"/>
      <c r="F30" s="57"/>
      <c r="G30" s="57">
        <v>0</v>
      </c>
      <c r="H30" s="58"/>
      <c r="I30" s="58"/>
      <c r="J30" s="58">
        <v>0</v>
      </c>
      <c r="K30" s="59"/>
      <c r="L30" s="59"/>
      <c r="M30" s="59">
        <v>0</v>
      </c>
      <c r="N30" s="60">
        <f t="shared" si="0"/>
        <v>1038</v>
      </c>
      <c r="O30" s="11">
        <v>183.08</v>
      </c>
      <c r="P30">
        <v>1038</v>
      </c>
      <c r="Q30">
        <v>556</v>
      </c>
    </row>
    <row r="31" spans="1:23">
      <c r="A31" s="61" t="s">
        <v>358</v>
      </c>
      <c r="B31" s="56">
        <v>183.09</v>
      </c>
      <c r="C31" s="56">
        <v>0.5</v>
      </c>
      <c r="D31" s="56">
        <v>1187</v>
      </c>
      <c r="E31" s="57"/>
      <c r="F31" s="57"/>
      <c r="G31" s="57">
        <v>0</v>
      </c>
      <c r="H31" s="58"/>
      <c r="I31" s="58"/>
      <c r="J31" s="58">
        <v>0</v>
      </c>
      <c r="K31" s="59"/>
      <c r="L31" s="59"/>
      <c r="M31" s="59">
        <v>0</v>
      </c>
      <c r="N31" s="60">
        <f t="shared" si="0"/>
        <v>1187</v>
      </c>
      <c r="O31" s="21">
        <v>183.09</v>
      </c>
      <c r="P31">
        <v>2374</v>
      </c>
      <c r="Q31">
        <v>1406</v>
      </c>
    </row>
    <row r="32" spans="1:23">
      <c r="A32" s="61" t="s">
        <v>321</v>
      </c>
      <c r="B32" s="56">
        <v>183.09</v>
      </c>
      <c r="C32" s="56">
        <v>0.5</v>
      </c>
      <c r="D32" s="56">
        <v>1187</v>
      </c>
      <c r="E32" s="57"/>
      <c r="F32" s="57"/>
      <c r="G32" s="57">
        <v>0</v>
      </c>
      <c r="H32" s="58"/>
      <c r="I32" s="58"/>
      <c r="J32" s="58">
        <v>0</v>
      </c>
      <c r="K32" s="59"/>
      <c r="L32" s="59"/>
      <c r="M32" s="59">
        <v>0</v>
      </c>
      <c r="N32" s="60">
        <f t="shared" si="0"/>
        <v>1187</v>
      </c>
      <c r="O32" s="21">
        <v>183.09</v>
      </c>
      <c r="P32">
        <v>2374</v>
      </c>
      <c r="Q32">
        <v>1406</v>
      </c>
    </row>
    <row r="33" spans="1:23">
      <c r="A33" s="61" t="s">
        <v>297</v>
      </c>
      <c r="B33" s="56">
        <v>184.02</v>
      </c>
      <c r="C33" s="56">
        <v>1</v>
      </c>
      <c r="D33" s="56">
        <v>869</v>
      </c>
      <c r="E33" s="57">
        <v>184.16</v>
      </c>
      <c r="F33" s="57">
        <v>0.25</v>
      </c>
      <c r="G33" s="57">
        <v>167</v>
      </c>
      <c r="H33" s="58"/>
      <c r="I33" s="58"/>
      <c r="J33" s="58">
        <v>0</v>
      </c>
      <c r="K33" s="59"/>
      <c r="L33" s="59"/>
      <c r="M33" s="59">
        <v>0</v>
      </c>
      <c r="N33" s="60">
        <f t="shared" si="0"/>
        <v>1036</v>
      </c>
      <c r="O33" s="11">
        <v>184.02</v>
      </c>
      <c r="P33">
        <v>869</v>
      </c>
      <c r="Q33">
        <v>521</v>
      </c>
      <c r="R33" s="11">
        <v>184.16</v>
      </c>
      <c r="S33">
        <v>667</v>
      </c>
      <c r="T33">
        <v>457</v>
      </c>
    </row>
    <row r="34" spans="1:23">
      <c r="A34" s="61" t="s">
        <v>394</v>
      </c>
      <c r="B34" s="56">
        <v>184.06</v>
      </c>
      <c r="C34" s="56">
        <v>0.66700000000000004</v>
      </c>
      <c r="D34" s="56">
        <v>1433</v>
      </c>
      <c r="E34" s="57">
        <v>182.03</v>
      </c>
      <c r="F34" s="57">
        <v>0.2</v>
      </c>
      <c r="G34" s="57">
        <v>72</v>
      </c>
      <c r="H34" s="58"/>
      <c r="I34" s="58"/>
      <c r="J34" s="58">
        <v>0</v>
      </c>
      <c r="K34" s="59"/>
      <c r="L34" s="59"/>
      <c r="M34" s="59">
        <v>0</v>
      </c>
      <c r="N34" s="60">
        <f t="shared" si="0"/>
        <v>1505</v>
      </c>
      <c r="O34" s="11">
        <v>184.06</v>
      </c>
      <c r="P34">
        <v>2149</v>
      </c>
      <c r="Q34">
        <v>1146</v>
      </c>
      <c r="R34" s="11">
        <v>182.03</v>
      </c>
      <c r="S34">
        <v>361</v>
      </c>
      <c r="T34">
        <v>357</v>
      </c>
    </row>
    <row r="35" spans="1:23">
      <c r="A35" s="61" t="s">
        <v>352</v>
      </c>
      <c r="B35" s="56">
        <v>184.06</v>
      </c>
      <c r="C35" s="56">
        <v>0.33300000000000002</v>
      </c>
      <c r="D35" s="56">
        <v>716</v>
      </c>
      <c r="E35" s="57">
        <v>184.07</v>
      </c>
      <c r="F35" s="57">
        <v>1</v>
      </c>
      <c r="G35" s="57">
        <v>562</v>
      </c>
      <c r="H35" s="58"/>
      <c r="I35" s="58"/>
      <c r="J35" s="58">
        <v>0</v>
      </c>
      <c r="K35" s="59"/>
      <c r="L35" s="59"/>
      <c r="M35" s="59">
        <v>0</v>
      </c>
      <c r="N35" s="60">
        <f t="shared" si="0"/>
        <v>1278</v>
      </c>
      <c r="O35" s="11">
        <v>184.06</v>
      </c>
      <c r="P35">
        <v>2149</v>
      </c>
      <c r="Q35">
        <v>1146</v>
      </c>
      <c r="R35" s="11">
        <v>184.07</v>
      </c>
      <c r="S35">
        <v>562</v>
      </c>
      <c r="T35">
        <v>359</v>
      </c>
    </row>
    <row r="36" spans="1:23">
      <c r="A36" s="61" t="s">
        <v>362</v>
      </c>
      <c r="B36" s="56">
        <v>184.08</v>
      </c>
      <c r="C36" s="56">
        <v>1</v>
      </c>
      <c r="D36" s="56">
        <v>872</v>
      </c>
      <c r="E36" s="57"/>
      <c r="F36" s="57"/>
      <c r="G36" s="57">
        <v>0</v>
      </c>
      <c r="H36" s="58"/>
      <c r="I36" s="58"/>
      <c r="J36" s="58">
        <v>0</v>
      </c>
      <c r="K36" s="59"/>
      <c r="L36" s="59"/>
      <c r="M36" s="59">
        <v>0</v>
      </c>
      <c r="N36" s="60">
        <f t="shared" si="0"/>
        <v>872</v>
      </c>
      <c r="O36" s="11">
        <v>184.08</v>
      </c>
      <c r="P36">
        <v>872</v>
      </c>
      <c r="Q36">
        <v>570</v>
      </c>
    </row>
    <row r="37" spans="1:23">
      <c r="A37" s="61" t="s">
        <v>372</v>
      </c>
      <c r="B37" s="56">
        <v>184.09</v>
      </c>
      <c r="C37" s="56">
        <v>0.5</v>
      </c>
      <c r="D37" s="56">
        <v>291</v>
      </c>
      <c r="E37" s="57">
        <v>184.1</v>
      </c>
      <c r="F37" s="57">
        <v>0.5</v>
      </c>
      <c r="G37" s="57">
        <v>389</v>
      </c>
      <c r="H37" s="58"/>
      <c r="I37" s="58"/>
      <c r="J37" s="58">
        <v>0</v>
      </c>
      <c r="K37" s="59"/>
      <c r="L37" s="59"/>
      <c r="M37" s="59">
        <v>0</v>
      </c>
      <c r="N37" s="60">
        <f t="shared" si="0"/>
        <v>680</v>
      </c>
      <c r="O37" s="11">
        <v>184.09</v>
      </c>
      <c r="P37">
        <v>581</v>
      </c>
      <c r="Q37">
        <v>386</v>
      </c>
      <c r="R37" s="11">
        <v>184.1</v>
      </c>
      <c r="S37">
        <v>778</v>
      </c>
      <c r="T37">
        <v>575</v>
      </c>
    </row>
    <row r="38" spans="1:23">
      <c r="A38" s="61" t="s">
        <v>365</v>
      </c>
      <c r="B38" s="56">
        <v>184.1</v>
      </c>
      <c r="C38" s="56">
        <v>0.5</v>
      </c>
      <c r="D38" s="56">
        <v>389</v>
      </c>
      <c r="E38" s="57"/>
      <c r="F38" s="57"/>
      <c r="G38" s="57">
        <v>0</v>
      </c>
      <c r="H38" s="58"/>
      <c r="I38" s="58"/>
      <c r="J38" s="58">
        <v>0</v>
      </c>
      <c r="K38" s="59"/>
      <c r="L38" s="59"/>
      <c r="M38" s="59">
        <v>0</v>
      </c>
      <c r="N38" s="60">
        <f t="shared" si="0"/>
        <v>389</v>
      </c>
      <c r="O38" s="11">
        <v>184.1</v>
      </c>
      <c r="P38">
        <v>778</v>
      </c>
      <c r="Q38">
        <v>575</v>
      </c>
    </row>
    <row r="39" spans="1:23">
      <c r="A39" s="61" t="s">
        <v>319</v>
      </c>
      <c r="B39" s="56">
        <v>184.11</v>
      </c>
      <c r="C39" s="56">
        <v>1</v>
      </c>
      <c r="D39" s="56">
        <v>1598</v>
      </c>
      <c r="E39" s="57"/>
      <c r="F39" s="57"/>
      <c r="G39" s="57">
        <v>0</v>
      </c>
      <c r="H39" s="58"/>
      <c r="I39" s="58"/>
      <c r="J39" s="58">
        <v>0</v>
      </c>
      <c r="K39" s="59"/>
      <c r="L39" s="59"/>
      <c r="M39" s="59">
        <v>0</v>
      </c>
      <c r="N39" s="60">
        <f t="shared" si="0"/>
        <v>1598</v>
      </c>
      <c r="O39" s="11">
        <v>184.11</v>
      </c>
      <c r="P39">
        <v>1598</v>
      </c>
      <c r="Q39">
        <v>1016</v>
      </c>
    </row>
    <row r="40" spans="1:23">
      <c r="A40" s="61" t="s">
        <v>353</v>
      </c>
      <c r="B40" s="56">
        <v>184.12</v>
      </c>
      <c r="C40" s="56">
        <v>0.5</v>
      </c>
      <c r="D40" s="56">
        <v>517</v>
      </c>
      <c r="E40" s="57">
        <v>184.13</v>
      </c>
      <c r="F40" s="57">
        <v>0.1</v>
      </c>
      <c r="G40" s="57">
        <v>66</v>
      </c>
      <c r="H40" s="58">
        <v>184.14</v>
      </c>
      <c r="I40" s="58">
        <v>0.2</v>
      </c>
      <c r="J40" s="58">
        <v>319</v>
      </c>
      <c r="K40" s="59"/>
      <c r="L40" s="59"/>
      <c r="M40" s="59">
        <v>0</v>
      </c>
      <c r="N40" s="60">
        <f t="shared" si="0"/>
        <v>902</v>
      </c>
      <c r="O40" s="11">
        <v>184.12</v>
      </c>
      <c r="P40">
        <v>1034</v>
      </c>
      <c r="Q40">
        <v>673</v>
      </c>
      <c r="R40" s="11">
        <v>184.13</v>
      </c>
      <c r="S40">
        <v>659</v>
      </c>
      <c r="T40">
        <v>417</v>
      </c>
      <c r="U40" s="11">
        <v>184.14</v>
      </c>
      <c r="V40">
        <v>1595</v>
      </c>
      <c r="W40">
        <v>717</v>
      </c>
    </row>
    <row r="41" spans="1:23">
      <c r="A41" s="61" t="s">
        <v>345</v>
      </c>
      <c r="B41" s="56">
        <v>184.13</v>
      </c>
      <c r="C41" s="56">
        <v>0.3</v>
      </c>
      <c r="D41" s="56">
        <v>198</v>
      </c>
      <c r="E41" s="57">
        <v>184.12</v>
      </c>
      <c r="F41" s="57">
        <v>0.3</v>
      </c>
      <c r="G41" s="57">
        <v>310</v>
      </c>
      <c r="H41" s="58"/>
      <c r="I41" s="58"/>
      <c r="J41" s="58">
        <v>0</v>
      </c>
      <c r="K41" s="59"/>
      <c r="L41" s="59"/>
      <c r="M41" s="59">
        <v>0</v>
      </c>
      <c r="N41" s="60">
        <f t="shared" si="0"/>
        <v>508</v>
      </c>
      <c r="O41" s="11">
        <v>184.13</v>
      </c>
      <c r="P41">
        <v>659</v>
      </c>
      <c r="Q41">
        <v>417</v>
      </c>
      <c r="R41" s="11">
        <v>184.12</v>
      </c>
      <c r="S41">
        <v>1034</v>
      </c>
      <c r="T41">
        <v>673</v>
      </c>
    </row>
    <row r="42" spans="1:23">
      <c r="A42" s="61" t="s">
        <v>391</v>
      </c>
      <c r="B42" s="56">
        <v>184.13</v>
      </c>
      <c r="C42" s="56">
        <v>0.2</v>
      </c>
      <c r="D42" s="56">
        <v>132</v>
      </c>
      <c r="E42" s="57">
        <v>182.03</v>
      </c>
      <c r="F42" s="57">
        <v>0.4</v>
      </c>
      <c r="G42" s="57">
        <v>144</v>
      </c>
      <c r="H42" s="58"/>
      <c r="I42" s="58"/>
      <c r="J42" s="58">
        <v>0</v>
      </c>
      <c r="K42" s="59"/>
      <c r="L42" s="59"/>
      <c r="M42" s="59">
        <v>0</v>
      </c>
      <c r="N42" s="60">
        <f t="shared" si="0"/>
        <v>276</v>
      </c>
      <c r="O42" s="11">
        <v>184.13</v>
      </c>
      <c r="P42">
        <v>659</v>
      </c>
      <c r="Q42">
        <v>417</v>
      </c>
      <c r="R42" s="11">
        <v>182.03</v>
      </c>
      <c r="S42">
        <v>361</v>
      </c>
      <c r="T42">
        <v>357</v>
      </c>
    </row>
    <row r="43" spans="1:23">
      <c r="A43" s="61" t="s">
        <v>316</v>
      </c>
      <c r="B43" s="56">
        <v>184.14</v>
      </c>
      <c r="C43" s="56">
        <v>0.8</v>
      </c>
      <c r="D43" s="56">
        <v>1276</v>
      </c>
      <c r="E43" s="57">
        <v>184.13</v>
      </c>
      <c r="F43" s="57">
        <v>0.2</v>
      </c>
      <c r="G43" s="57">
        <v>132</v>
      </c>
      <c r="H43" s="58"/>
      <c r="I43" s="58"/>
      <c r="J43" s="58">
        <v>0</v>
      </c>
      <c r="K43" s="59"/>
      <c r="L43" s="59"/>
      <c r="M43" s="59">
        <v>0</v>
      </c>
      <c r="N43" s="60">
        <f t="shared" si="0"/>
        <v>1408</v>
      </c>
      <c r="O43" s="11">
        <v>184.14</v>
      </c>
      <c r="P43">
        <v>1595</v>
      </c>
      <c r="Q43">
        <v>717</v>
      </c>
      <c r="R43" s="11">
        <v>184.13</v>
      </c>
      <c r="S43">
        <v>659</v>
      </c>
      <c r="T43">
        <v>417</v>
      </c>
    </row>
    <row r="44" spans="1:23">
      <c r="A44" s="61" t="s">
        <v>371</v>
      </c>
      <c r="B44" s="56">
        <v>184.16</v>
      </c>
      <c r="C44" s="56">
        <v>0.6</v>
      </c>
      <c r="D44" s="56">
        <v>400</v>
      </c>
      <c r="E44" s="57"/>
      <c r="F44" s="57"/>
      <c r="G44" s="57">
        <v>0</v>
      </c>
      <c r="H44" s="58"/>
      <c r="I44" s="58"/>
      <c r="J44" s="58">
        <v>0</v>
      </c>
      <c r="K44" s="59"/>
      <c r="L44" s="59"/>
      <c r="M44" s="59">
        <v>0</v>
      </c>
      <c r="N44" s="60">
        <f t="shared" si="0"/>
        <v>400</v>
      </c>
      <c r="O44" s="11">
        <v>184.16</v>
      </c>
      <c r="P44">
        <v>667</v>
      </c>
      <c r="Q44">
        <v>457</v>
      </c>
    </row>
    <row r="45" spans="1:23">
      <c r="A45" s="61" t="s">
        <v>315</v>
      </c>
      <c r="B45" s="56">
        <v>184.16</v>
      </c>
      <c r="C45" s="56">
        <v>0.15</v>
      </c>
      <c r="D45" s="56">
        <v>100</v>
      </c>
      <c r="E45" s="57">
        <v>184.15</v>
      </c>
      <c r="F45" s="57">
        <v>1</v>
      </c>
      <c r="G45" s="57">
        <v>347</v>
      </c>
      <c r="H45" s="58">
        <v>184.09</v>
      </c>
      <c r="I45" s="58">
        <v>0.5</v>
      </c>
      <c r="J45" s="58">
        <v>291</v>
      </c>
      <c r="K45" s="59"/>
      <c r="L45" s="59"/>
      <c r="M45" s="59">
        <v>0</v>
      </c>
      <c r="N45" s="60">
        <f t="shared" si="0"/>
        <v>738</v>
      </c>
      <c r="O45" s="11">
        <v>184.16</v>
      </c>
      <c r="P45">
        <v>667</v>
      </c>
      <c r="Q45">
        <v>457</v>
      </c>
      <c r="R45" s="11">
        <v>184.15</v>
      </c>
      <c r="S45">
        <v>347</v>
      </c>
      <c r="T45">
        <v>305</v>
      </c>
      <c r="U45" s="11">
        <v>184.09</v>
      </c>
      <c r="V45">
        <v>581</v>
      </c>
      <c r="W45">
        <v>386</v>
      </c>
    </row>
    <row r="46" spans="1:23">
      <c r="A46" s="61" t="s">
        <v>395</v>
      </c>
      <c r="B46" s="56">
        <v>185.05</v>
      </c>
      <c r="C46" s="56">
        <v>0.8</v>
      </c>
      <c r="D46" s="56">
        <v>644</v>
      </c>
      <c r="E46" s="57"/>
      <c r="F46" s="57"/>
      <c r="G46" s="57">
        <v>0</v>
      </c>
      <c r="H46" s="58"/>
      <c r="I46" s="58"/>
      <c r="J46" s="58">
        <v>0</v>
      </c>
      <c r="K46" s="59"/>
      <c r="L46" s="59"/>
      <c r="M46" s="59">
        <v>0</v>
      </c>
      <c r="N46" s="60">
        <f t="shared" si="0"/>
        <v>644</v>
      </c>
      <c r="O46" s="1">
        <v>185.05</v>
      </c>
      <c r="P46">
        <v>805</v>
      </c>
      <c r="Q46">
        <v>587</v>
      </c>
    </row>
    <row r="47" spans="1:23">
      <c r="A47" s="61" t="s">
        <v>380</v>
      </c>
      <c r="B47" s="56">
        <v>185.07</v>
      </c>
      <c r="C47" s="56">
        <v>0.33300000000000002</v>
      </c>
      <c r="D47" s="56">
        <v>459</v>
      </c>
      <c r="E47" s="57"/>
      <c r="F47" s="57"/>
      <c r="G47" s="57">
        <v>0</v>
      </c>
      <c r="H47" s="58"/>
      <c r="I47" s="58"/>
      <c r="J47" s="58">
        <v>0</v>
      </c>
      <c r="K47" s="59"/>
      <c r="L47" s="59"/>
      <c r="M47" s="59">
        <v>0</v>
      </c>
      <c r="N47" s="60">
        <f t="shared" si="0"/>
        <v>459</v>
      </c>
      <c r="O47" s="11">
        <v>185.07</v>
      </c>
      <c r="P47">
        <v>1379</v>
      </c>
      <c r="Q47">
        <v>919</v>
      </c>
    </row>
    <row r="48" spans="1:23">
      <c r="A48" s="61" t="s">
        <v>377</v>
      </c>
      <c r="B48" s="56">
        <v>185.07</v>
      </c>
      <c r="C48" s="56">
        <v>0.33300000000000002</v>
      </c>
      <c r="D48" s="56">
        <v>459</v>
      </c>
      <c r="E48" s="57">
        <v>184.12</v>
      </c>
      <c r="F48" s="57">
        <v>0.2</v>
      </c>
      <c r="G48" s="57">
        <v>207</v>
      </c>
      <c r="H48" s="58">
        <v>184.13</v>
      </c>
      <c r="I48" s="58">
        <v>0.2</v>
      </c>
      <c r="J48" s="58">
        <v>132</v>
      </c>
      <c r="K48" s="59"/>
      <c r="L48" s="59"/>
      <c r="M48" s="59">
        <v>0</v>
      </c>
      <c r="N48" s="60">
        <f t="shared" si="0"/>
        <v>798</v>
      </c>
      <c r="O48" s="11">
        <v>185.07</v>
      </c>
      <c r="P48">
        <v>1379</v>
      </c>
      <c r="Q48">
        <v>919</v>
      </c>
      <c r="R48" s="11">
        <v>184.12</v>
      </c>
      <c r="S48">
        <v>1034</v>
      </c>
      <c r="T48">
        <v>673</v>
      </c>
      <c r="U48" s="11">
        <v>184.13</v>
      </c>
      <c r="V48">
        <v>659</v>
      </c>
      <c r="W48">
        <v>417</v>
      </c>
    </row>
    <row r="49" spans="1:23">
      <c r="A49" s="61" t="s">
        <v>367</v>
      </c>
      <c r="B49" s="56">
        <v>185.09</v>
      </c>
      <c r="C49" s="56">
        <v>0.66700000000000004</v>
      </c>
      <c r="D49" s="56">
        <v>402</v>
      </c>
      <c r="E49" s="57"/>
      <c r="F49" s="57"/>
      <c r="G49" s="57">
        <v>0</v>
      </c>
      <c r="H49" s="58"/>
      <c r="I49" s="58"/>
      <c r="J49" s="58">
        <v>0</v>
      </c>
      <c r="K49" s="59"/>
      <c r="L49" s="59"/>
      <c r="M49" s="59">
        <v>0</v>
      </c>
      <c r="N49" s="60">
        <f t="shared" si="0"/>
        <v>402</v>
      </c>
      <c r="O49" s="11">
        <v>185.09</v>
      </c>
      <c r="P49">
        <v>602</v>
      </c>
      <c r="Q49">
        <v>356</v>
      </c>
    </row>
    <row r="50" spans="1:23">
      <c r="A50" s="61" t="s">
        <v>390</v>
      </c>
      <c r="B50" s="56">
        <v>185.1</v>
      </c>
      <c r="C50" s="56">
        <v>0.5</v>
      </c>
      <c r="D50" s="56">
        <v>423</v>
      </c>
      <c r="E50" s="57">
        <v>185.11</v>
      </c>
      <c r="F50" s="57">
        <v>0.33300000000000002</v>
      </c>
      <c r="G50" s="57">
        <v>367</v>
      </c>
      <c r="H50" s="58"/>
      <c r="I50" s="58"/>
      <c r="J50" s="58">
        <v>0</v>
      </c>
      <c r="K50" s="59"/>
      <c r="L50" s="59"/>
      <c r="M50" s="59">
        <v>0</v>
      </c>
      <c r="N50" s="60">
        <f t="shared" si="0"/>
        <v>790</v>
      </c>
      <c r="O50" s="11">
        <v>185.1</v>
      </c>
      <c r="P50">
        <v>845</v>
      </c>
      <c r="Q50">
        <v>477</v>
      </c>
      <c r="R50" s="11">
        <v>185.11</v>
      </c>
      <c r="S50">
        <v>1103</v>
      </c>
      <c r="T50">
        <v>589</v>
      </c>
    </row>
    <row r="51" spans="1:23">
      <c r="A51" s="61" t="s">
        <v>397</v>
      </c>
      <c r="B51" s="56">
        <v>185.11</v>
      </c>
      <c r="C51" s="56">
        <v>0.66700000000000004</v>
      </c>
      <c r="D51" s="56">
        <v>736</v>
      </c>
      <c r="E51" s="57"/>
      <c r="F51" s="57"/>
      <c r="G51" s="57">
        <v>0</v>
      </c>
      <c r="H51" s="58"/>
      <c r="I51" s="58"/>
      <c r="J51" s="58">
        <v>0</v>
      </c>
      <c r="K51" s="59"/>
      <c r="L51" s="59"/>
      <c r="M51" s="59">
        <v>0</v>
      </c>
      <c r="N51" s="60">
        <f t="shared" si="0"/>
        <v>736</v>
      </c>
      <c r="O51" s="11">
        <v>185.11</v>
      </c>
      <c r="P51">
        <v>1103</v>
      </c>
      <c r="Q51">
        <v>589</v>
      </c>
    </row>
    <row r="52" spans="1:23">
      <c r="A52" s="61" t="s">
        <v>373</v>
      </c>
      <c r="B52" s="56">
        <v>185.12</v>
      </c>
      <c r="C52" s="56">
        <v>0.5</v>
      </c>
      <c r="D52" s="56">
        <v>433</v>
      </c>
      <c r="E52" s="57"/>
      <c r="F52" s="57"/>
      <c r="G52" s="57">
        <v>0</v>
      </c>
      <c r="H52" s="58"/>
      <c r="I52" s="58"/>
      <c r="J52" s="58">
        <v>0</v>
      </c>
      <c r="K52" s="59"/>
      <c r="L52" s="59"/>
      <c r="M52" s="59">
        <v>0</v>
      </c>
      <c r="N52" s="60">
        <f t="shared" si="0"/>
        <v>433</v>
      </c>
      <c r="O52" s="11">
        <v>185.12</v>
      </c>
      <c r="P52">
        <v>865</v>
      </c>
      <c r="Q52">
        <v>532</v>
      </c>
    </row>
    <row r="53" spans="1:23">
      <c r="A53" s="61" t="s">
        <v>336</v>
      </c>
      <c r="B53" s="56">
        <v>185.12</v>
      </c>
      <c r="C53" s="56">
        <v>0.5</v>
      </c>
      <c r="D53" s="56">
        <v>433</v>
      </c>
      <c r="E53" s="57">
        <v>185.05</v>
      </c>
      <c r="F53" s="57">
        <v>0.2</v>
      </c>
      <c r="G53" s="57">
        <v>161</v>
      </c>
      <c r="H53" s="58"/>
      <c r="I53" s="58"/>
      <c r="J53" s="58">
        <v>0</v>
      </c>
      <c r="K53" s="59"/>
      <c r="L53" s="59"/>
      <c r="M53" s="59">
        <v>0</v>
      </c>
      <c r="N53" s="60">
        <f t="shared" si="0"/>
        <v>594</v>
      </c>
      <c r="O53" s="11">
        <v>185.12</v>
      </c>
      <c r="P53">
        <v>865</v>
      </c>
      <c r="Q53">
        <v>532</v>
      </c>
      <c r="R53" s="1">
        <v>185.05</v>
      </c>
      <c r="S53">
        <v>805</v>
      </c>
      <c r="T53">
        <v>587</v>
      </c>
    </row>
    <row r="54" spans="1:23">
      <c r="A54" s="61" t="s">
        <v>376</v>
      </c>
      <c r="B54" s="56">
        <v>185.15</v>
      </c>
      <c r="C54" s="56">
        <v>0.66700000000000004</v>
      </c>
      <c r="D54" s="56">
        <v>472</v>
      </c>
      <c r="E54" s="57">
        <v>185.16</v>
      </c>
      <c r="F54" s="57">
        <v>0.5</v>
      </c>
      <c r="G54" s="57">
        <v>332</v>
      </c>
      <c r="H54" s="58"/>
      <c r="I54" s="58"/>
      <c r="J54" s="58">
        <v>0</v>
      </c>
      <c r="K54" s="59"/>
      <c r="L54" s="59"/>
      <c r="M54" s="59">
        <v>0</v>
      </c>
      <c r="N54" s="60">
        <f t="shared" si="0"/>
        <v>804</v>
      </c>
      <c r="O54" s="11">
        <v>185.15</v>
      </c>
      <c r="P54">
        <v>708</v>
      </c>
      <c r="Q54">
        <v>397</v>
      </c>
      <c r="R54" s="11">
        <v>185.16</v>
      </c>
      <c r="S54">
        <v>664</v>
      </c>
      <c r="T54">
        <v>418</v>
      </c>
    </row>
    <row r="55" spans="1:23">
      <c r="A55" s="61" t="s">
        <v>330</v>
      </c>
      <c r="B55" s="56">
        <v>185.16</v>
      </c>
      <c r="C55" s="56">
        <v>0.5</v>
      </c>
      <c r="D55" s="56">
        <v>332</v>
      </c>
      <c r="E55" s="57">
        <v>185.1</v>
      </c>
      <c r="F55" s="57">
        <v>0.5</v>
      </c>
      <c r="G55" s="57">
        <v>423</v>
      </c>
      <c r="H55" s="58"/>
      <c r="I55" s="58"/>
      <c r="J55" s="58">
        <v>0</v>
      </c>
      <c r="K55" s="59"/>
      <c r="L55" s="59"/>
      <c r="M55" s="59">
        <v>0</v>
      </c>
      <c r="N55" s="60">
        <f t="shared" si="0"/>
        <v>755</v>
      </c>
      <c r="O55" s="11">
        <v>185.16</v>
      </c>
      <c r="P55">
        <v>664</v>
      </c>
      <c r="Q55">
        <v>418</v>
      </c>
      <c r="R55" s="11">
        <v>185.1</v>
      </c>
      <c r="S55">
        <v>845</v>
      </c>
      <c r="T55">
        <v>477</v>
      </c>
    </row>
    <row r="56" spans="1:23">
      <c r="A56" s="61" t="s">
        <v>313</v>
      </c>
      <c r="B56" s="56">
        <v>185.17</v>
      </c>
      <c r="C56" s="56">
        <v>1</v>
      </c>
      <c r="D56" s="56">
        <v>341</v>
      </c>
      <c r="E56" s="57"/>
      <c r="F56" s="57"/>
      <c r="G56" s="57">
        <v>0</v>
      </c>
      <c r="H56" s="58"/>
      <c r="I56" s="58"/>
      <c r="J56" s="58">
        <v>0</v>
      </c>
      <c r="K56" s="59"/>
      <c r="L56" s="59"/>
      <c r="M56" s="59">
        <v>0</v>
      </c>
      <c r="N56" s="60">
        <f t="shared" si="0"/>
        <v>341</v>
      </c>
      <c r="O56" s="11">
        <v>185.17</v>
      </c>
      <c r="P56">
        <v>341</v>
      </c>
      <c r="Q56">
        <v>267</v>
      </c>
    </row>
    <row r="57" spans="1:23">
      <c r="A57" s="61" t="s">
        <v>363</v>
      </c>
      <c r="B57" s="56">
        <v>185.18</v>
      </c>
      <c r="C57" s="56">
        <v>0.66700000000000004</v>
      </c>
      <c r="D57" s="56">
        <v>370</v>
      </c>
      <c r="E57" s="57"/>
      <c r="F57" s="57"/>
      <c r="G57" s="57">
        <v>0</v>
      </c>
      <c r="H57" s="58"/>
      <c r="I57" s="58"/>
      <c r="J57" s="58">
        <v>0</v>
      </c>
      <c r="K57" s="59"/>
      <c r="L57" s="59"/>
      <c r="M57" s="59">
        <v>0</v>
      </c>
      <c r="N57" s="60">
        <f t="shared" si="0"/>
        <v>370</v>
      </c>
      <c r="O57" s="11">
        <v>185.18</v>
      </c>
      <c r="P57">
        <v>554</v>
      </c>
      <c r="Q57">
        <v>385</v>
      </c>
    </row>
    <row r="58" spans="1:23">
      <c r="A58" s="61" t="s">
        <v>323</v>
      </c>
      <c r="B58" s="56">
        <v>185.18</v>
      </c>
      <c r="C58" s="56">
        <v>0.33300000000000002</v>
      </c>
      <c r="D58" s="56">
        <v>184</v>
      </c>
      <c r="E58" s="57">
        <v>185.08</v>
      </c>
      <c r="F58" s="57">
        <v>1</v>
      </c>
      <c r="G58" s="57">
        <v>147</v>
      </c>
      <c r="H58" s="58">
        <v>185.07</v>
      </c>
      <c r="I58" s="58">
        <v>0.33300000000000002</v>
      </c>
      <c r="J58" s="58">
        <v>459</v>
      </c>
      <c r="K58" s="59"/>
      <c r="L58" s="59"/>
      <c r="M58" s="59">
        <v>0</v>
      </c>
      <c r="N58" s="60">
        <f t="shared" si="0"/>
        <v>790</v>
      </c>
      <c r="O58" s="11">
        <v>185.18</v>
      </c>
      <c r="P58">
        <v>554</v>
      </c>
      <c r="Q58">
        <v>385</v>
      </c>
      <c r="R58" s="11">
        <v>185.08</v>
      </c>
      <c r="S58">
        <v>147</v>
      </c>
      <c r="T58">
        <v>124</v>
      </c>
      <c r="U58" s="11">
        <v>185.07</v>
      </c>
      <c r="V58">
        <v>1379</v>
      </c>
      <c r="W58">
        <v>919</v>
      </c>
    </row>
    <row r="59" spans="1:23">
      <c r="A59" s="61" t="s">
        <v>298</v>
      </c>
      <c r="B59" s="56">
        <v>185.19</v>
      </c>
      <c r="C59" s="56">
        <v>1</v>
      </c>
      <c r="D59" s="56">
        <v>874</v>
      </c>
      <c r="E59" s="57">
        <v>185.2</v>
      </c>
      <c r="F59" s="57">
        <v>1</v>
      </c>
      <c r="G59" s="57">
        <v>823</v>
      </c>
      <c r="H59" s="58"/>
      <c r="I59" s="58"/>
      <c r="J59" s="58">
        <v>0</v>
      </c>
      <c r="K59" s="59"/>
      <c r="L59" s="59"/>
      <c r="M59" s="59">
        <v>0</v>
      </c>
      <c r="N59" s="60">
        <f t="shared" si="0"/>
        <v>1697</v>
      </c>
      <c r="O59" s="11">
        <v>185.19</v>
      </c>
      <c r="P59">
        <v>874</v>
      </c>
      <c r="Q59">
        <v>546</v>
      </c>
      <c r="R59" s="11">
        <v>185.2</v>
      </c>
      <c r="S59">
        <v>823</v>
      </c>
      <c r="T59">
        <v>490</v>
      </c>
    </row>
    <row r="60" spans="1:23">
      <c r="A60" s="61" t="s">
        <v>324</v>
      </c>
      <c r="B60" s="56">
        <v>185.21</v>
      </c>
      <c r="C60" s="56">
        <v>1</v>
      </c>
      <c r="D60" s="56">
        <v>466</v>
      </c>
      <c r="E60" s="57">
        <v>185.22</v>
      </c>
      <c r="F60" s="57">
        <v>1</v>
      </c>
      <c r="G60" s="57">
        <v>494</v>
      </c>
      <c r="H60" s="58"/>
      <c r="I60" s="58"/>
      <c r="J60" s="58">
        <v>0</v>
      </c>
      <c r="K60" s="59"/>
      <c r="L60" s="59"/>
      <c r="M60" s="59">
        <v>0</v>
      </c>
      <c r="N60" s="60">
        <f t="shared" si="0"/>
        <v>960</v>
      </c>
      <c r="O60" s="11">
        <v>185.21</v>
      </c>
      <c r="P60">
        <v>466</v>
      </c>
      <c r="Q60">
        <v>278</v>
      </c>
      <c r="R60" s="11">
        <v>185.22</v>
      </c>
      <c r="S60">
        <v>494</v>
      </c>
      <c r="T60">
        <v>302</v>
      </c>
    </row>
    <row r="61" spans="1:23">
      <c r="A61" s="61" t="s">
        <v>317</v>
      </c>
      <c r="B61" s="56">
        <v>186.01</v>
      </c>
      <c r="C61" s="56">
        <v>0.25</v>
      </c>
      <c r="D61" s="56">
        <v>202</v>
      </c>
      <c r="E61" s="57">
        <v>186.02</v>
      </c>
      <c r="F61" s="57">
        <v>0.25</v>
      </c>
      <c r="G61" s="57">
        <v>163</v>
      </c>
      <c r="H61" s="58"/>
      <c r="I61" s="58"/>
      <c r="J61" s="58">
        <v>0</v>
      </c>
      <c r="K61" s="59"/>
      <c r="L61" s="59"/>
      <c r="M61" s="59">
        <v>0</v>
      </c>
      <c r="N61" s="60">
        <f t="shared" si="0"/>
        <v>365</v>
      </c>
      <c r="O61" s="11">
        <v>186.01</v>
      </c>
      <c r="P61">
        <v>809</v>
      </c>
      <c r="Q61">
        <v>549</v>
      </c>
      <c r="R61" s="11">
        <v>186.02</v>
      </c>
      <c r="S61">
        <v>653</v>
      </c>
      <c r="T61">
        <v>437</v>
      </c>
    </row>
    <row r="62" spans="1:23">
      <c r="A62" s="61" t="s">
        <v>382</v>
      </c>
      <c r="B62" s="56">
        <v>186.01</v>
      </c>
      <c r="C62" s="56">
        <v>0.25</v>
      </c>
      <c r="D62" s="56">
        <v>202</v>
      </c>
      <c r="E62" s="57">
        <v>186.02</v>
      </c>
      <c r="F62" s="57">
        <v>0.75</v>
      </c>
      <c r="G62" s="57">
        <v>490</v>
      </c>
      <c r="H62" s="58">
        <v>192</v>
      </c>
      <c r="I62" s="58">
        <v>0.33</v>
      </c>
      <c r="J62" s="58">
        <v>137</v>
      </c>
      <c r="K62" s="59"/>
      <c r="L62" s="59"/>
      <c r="M62" s="59">
        <v>0</v>
      </c>
      <c r="N62" s="60">
        <f t="shared" si="0"/>
        <v>829</v>
      </c>
      <c r="O62" s="11">
        <v>186.01</v>
      </c>
      <c r="P62">
        <v>809</v>
      </c>
      <c r="Q62">
        <v>549</v>
      </c>
      <c r="R62" s="11">
        <v>186.02</v>
      </c>
      <c r="S62">
        <v>653</v>
      </c>
      <c r="T62">
        <v>437</v>
      </c>
      <c r="U62" s="11">
        <v>192</v>
      </c>
      <c r="V62">
        <v>415</v>
      </c>
      <c r="W62">
        <v>278</v>
      </c>
    </row>
    <row r="63" spans="1:23">
      <c r="A63" s="61" t="s">
        <v>385</v>
      </c>
      <c r="B63" s="56">
        <v>186.01</v>
      </c>
      <c r="C63" s="56">
        <v>0.5</v>
      </c>
      <c r="D63" s="56">
        <v>405</v>
      </c>
      <c r="E63" s="57"/>
      <c r="F63" s="57"/>
      <c r="G63" s="57">
        <v>0</v>
      </c>
      <c r="H63" s="58"/>
      <c r="I63" s="58"/>
      <c r="J63" s="58">
        <v>0</v>
      </c>
      <c r="K63" s="59"/>
      <c r="L63" s="59"/>
      <c r="M63" s="59">
        <v>0</v>
      </c>
      <c r="N63" s="60">
        <f t="shared" si="0"/>
        <v>405</v>
      </c>
      <c r="O63" s="11">
        <v>186.01</v>
      </c>
      <c r="P63">
        <v>809</v>
      </c>
      <c r="Q63">
        <v>549</v>
      </c>
    </row>
    <row r="64" spans="1:23">
      <c r="A64" s="61" t="s">
        <v>368</v>
      </c>
      <c r="B64" s="56">
        <v>186.05</v>
      </c>
      <c r="C64" s="56">
        <v>0.5</v>
      </c>
      <c r="D64" s="56">
        <v>527</v>
      </c>
      <c r="E64" s="57">
        <v>186.06</v>
      </c>
      <c r="F64" s="57">
        <v>0.5</v>
      </c>
      <c r="G64" s="57">
        <v>273</v>
      </c>
      <c r="H64" s="58"/>
      <c r="I64" s="58"/>
      <c r="J64" s="58">
        <v>0</v>
      </c>
      <c r="K64" s="59"/>
      <c r="L64" s="59"/>
      <c r="M64" s="59">
        <v>0</v>
      </c>
      <c r="N64" s="60">
        <f t="shared" si="0"/>
        <v>800</v>
      </c>
      <c r="O64" s="11">
        <v>186.05</v>
      </c>
      <c r="P64">
        <v>1053</v>
      </c>
      <c r="Q64">
        <v>670</v>
      </c>
      <c r="R64" s="11">
        <v>186.06</v>
      </c>
      <c r="S64">
        <v>546</v>
      </c>
      <c r="T64">
        <v>317</v>
      </c>
    </row>
    <row r="65" spans="1:26">
      <c r="A65" s="61" t="s">
        <v>387</v>
      </c>
      <c r="B65" s="56">
        <v>186.05</v>
      </c>
      <c r="C65" s="56">
        <v>0.5</v>
      </c>
      <c r="D65" s="56">
        <v>527</v>
      </c>
      <c r="E65" s="57">
        <v>186.06</v>
      </c>
      <c r="F65" s="57">
        <v>0.25</v>
      </c>
      <c r="G65" s="57">
        <v>137</v>
      </c>
      <c r="H65" s="58"/>
      <c r="I65" s="58"/>
      <c r="J65" s="58">
        <v>0</v>
      </c>
      <c r="K65" s="59"/>
      <c r="L65" s="59"/>
      <c r="M65" s="59">
        <v>0</v>
      </c>
      <c r="N65" s="60">
        <f t="shared" si="0"/>
        <v>664</v>
      </c>
      <c r="O65" s="11">
        <v>186.05</v>
      </c>
      <c r="P65">
        <v>1053</v>
      </c>
      <c r="Q65">
        <v>670</v>
      </c>
      <c r="R65" s="11">
        <v>186.06</v>
      </c>
      <c r="S65">
        <v>546</v>
      </c>
      <c r="T65">
        <v>317</v>
      </c>
    </row>
    <row r="66" spans="1:26">
      <c r="A66" s="61" t="s">
        <v>303</v>
      </c>
      <c r="B66" s="56">
        <v>186.05</v>
      </c>
      <c r="C66" s="56">
        <v>0.5</v>
      </c>
      <c r="D66" s="56">
        <v>527</v>
      </c>
      <c r="E66" s="57">
        <v>186.06</v>
      </c>
      <c r="F66" s="57">
        <v>0.25</v>
      </c>
      <c r="G66" s="57">
        <v>137</v>
      </c>
      <c r="H66" s="58"/>
      <c r="I66" s="58"/>
      <c r="J66" s="58">
        <v>0</v>
      </c>
      <c r="K66" s="59"/>
      <c r="L66" s="59"/>
      <c r="M66" s="59">
        <v>0</v>
      </c>
      <c r="N66" s="60">
        <f t="shared" si="0"/>
        <v>664</v>
      </c>
      <c r="O66" s="11">
        <v>186.05</v>
      </c>
      <c r="P66">
        <v>1053</v>
      </c>
      <c r="Q66">
        <v>670</v>
      </c>
      <c r="R66" s="11">
        <v>186.06</v>
      </c>
      <c r="S66">
        <v>546</v>
      </c>
      <c r="T66">
        <v>317</v>
      </c>
    </row>
    <row r="67" spans="1:26">
      <c r="A67" s="61" t="s">
        <v>327</v>
      </c>
      <c r="B67" s="56">
        <v>186.06</v>
      </c>
      <c r="C67" s="56">
        <v>0.25</v>
      </c>
      <c r="D67" s="56">
        <v>137</v>
      </c>
      <c r="E67" s="57">
        <v>185.09</v>
      </c>
      <c r="F67" s="57">
        <v>0.33300000000000002</v>
      </c>
      <c r="G67" s="57">
        <v>182</v>
      </c>
      <c r="H67" s="58">
        <v>186.07</v>
      </c>
      <c r="I67" s="58">
        <v>0.5</v>
      </c>
      <c r="J67" s="58">
        <v>403</v>
      </c>
      <c r="K67" s="59">
        <v>185.15</v>
      </c>
      <c r="L67" s="59">
        <v>0.33300000000000002</v>
      </c>
      <c r="M67" s="59">
        <v>90</v>
      </c>
      <c r="N67" s="60">
        <f t="shared" si="0"/>
        <v>812</v>
      </c>
      <c r="O67" s="11">
        <v>186.06</v>
      </c>
      <c r="P67">
        <v>546</v>
      </c>
      <c r="Q67">
        <v>317</v>
      </c>
      <c r="R67" s="11">
        <v>186.06</v>
      </c>
      <c r="S67">
        <v>546</v>
      </c>
      <c r="T67">
        <v>317</v>
      </c>
      <c r="U67" s="11">
        <v>186.07</v>
      </c>
      <c r="V67">
        <v>805</v>
      </c>
      <c r="W67">
        <v>484</v>
      </c>
      <c r="X67" s="11">
        <v>181.15</v>
      </c>
      <c r="Y67">
        <v>270</v>
      </c>
      <c r="Z67">
        <v>200</v>
      </c>
    </row>
    <row r="68" spans="1:26">
      <c r="A68" s="61" t="s">
        <v>320</v>
      </c>
      <c r="B68" s="56">
        <v>186.08</v>
      </c>
      <c r="C68" s="56">
        <v>0.5</v>
      </c>
      <c r="D68" s="56">
        <v>448</v>
      </c>
      <c r="E68" s="57">
        <v>186.07</v>
      </c>
      <c r="F68" s="57">
        <v>0.5</v>
      </c>
      <c r="G68" s="57">
        <v>403</v>
      </c>
      <c r="H68" s="58"/>
      <c r="I68" s="58"/>
      <c r="J68" s="58">
        <v>0</v>
      </c>
      <c r="K68" s="59"/>
      <c r="L68" s="59"/>
      <c r="M68" s="59">
        <v>0</v>
      </c>
      <c r="N68" s="60">
        <f t="shared" si="0"/>
        <v>851</v>
      </c>
      <c r="O68" s="11">
        <v>186.08</v>
      </c>
      <c r="P68">
        <v>896</v>
      </c>
      <c r="Q68">
        <v>575</v>
      </c>
      <c r="R68" s="11">
        <v>186.07</v>
      </c>
      <c r="S68">
        <v>805</v>
      </c>
      <c r="T68">
        <v>484</v>
      </c>
    </row>
    <row r="69" spans="1:26">
      <c r="A69" s="61" t="s">
        <v>354</v>
      </c>
      <c r="B69" s="56">
        <v>187.03</v>
      </c>
      <c r="C69" s="56">
        <v>0.5</v>
      </c>
      <c r="D69" s="56">
        <v>447</v>
      </c>
      <c r="E69" s="57">
        <v>187.05</v>
      </c>
      <c r="F69" s="57">
        <v>0.25</v>
      </c>
      <c r="G69" s="57">
        <v>240</v>
      </c>
      <c r="H69" s="58"/>
      <c r="I69" s="58"/>
      <c r="J69" s="58">
        <v>0</v>
      </c>
      <c r="K69" s="59"/>
      <c r="L69" s="59"/>
      <c r="M69" s="59">
        <v>0</v>
      </c>
      <c r="N69" s="60">
        <f t="shared" si="0"/>
        <v>687</v>
      </c>
      <c r="O69" s="11">
        <v>187.03</v>
      </c>
      <c r="P69">
        <v>894</v>
      </c>
      <c r="Q69">
        <v>582</v>
      </c>
      <c r="R69" s="11">
        <v>187.05</v>
      </c>
      <c r="S69">
        <v>961</v>
      </c>
      <c r="T69">
        <v>577</v>
      </c>
    </row>
    <row r="70" spans="1:26">
      <c r="A70" s="61" t="s">
        <v>304</v>
      </c>
      <c r="B70" s="56">
        <v>187.03</v>
      </c>
      <c r="C70" s="56">
        <v>0.25</v>
      </c>
      <c r="D70" s="56">
        <v>224</v>
      </c>
      <c r="E70" s="57">
        <v>189.05</v>
      </c>
      <c r="F70" s="57">
        <v>0.66700000000000004</v>
      </c>
      <c r="G70" s="57">
        <v>470</v>
      </c>
      <c r="H70" s="58"/>
      <c r="I70" s="58"/>
      <c r="J70" s="58">
        <v>0</v>
      </c>
      <c r="K70" s="59"/>
      <c r="L70" s="59"/>
      <c r="M70" s="59">
        <v>0</v>
      </c>
      <c r="N70" s="60">
        <f t="shared" si="0"/>
        <v>694</v>
      </c>
      <c r="O70" s="11">
        <v>187.03</v>
      </c>
      <c r="P70">
        <v>894</v>
      </c>
      <c r="Q70">
        <v>582</v>
      </c>
      <c r="R70" s="11">
        <v>189.05</v>
      </c>
      <c r="S70">
        <v>704</v>
      </c>
      <c r="T70">
        <v>479</v>
      </c>
    </row>
    <row r="71" spans="1:26">
      <c r="A71" s="61" t="s">
        <v>343</v>
      </c>
      <c r="B71" s="56">
        <v>187.04</v>
      </c>
      <c r="C71" s="56">
        <v>1</v>
      </c>
      <c r="D71" s="56">
        <v>186</v>
      </c>
      <c r="E71" s="57">
        <v>187.05</v>
      </c>
      <c r="F71" s="57">
        <v>0.25</v>
      </c>
      <c r="G71" s="57">
        <v>240</v>
      </c>
      <c r="H71" s="58">
        <v>190.01</v>
      </c>
      <c r="I71" s="58">
        <v>0.25</v>
      </c>
      <c r="J71" s="58">
        <v>204</v>
      </c>
      <c r="K71" s="59"/>
      <c r="L71" s="59"/>
      <c r="M71" s="59">
        <v>0</v>
      </c>
      <c r="N71" s="60">
        <f t="shared" si="0"/>
        <v>630</v>
      </c>
      <c r="O71" s="11">
        <v>187.04</v>
      </c>
      <c r="P71">
        <v>186</v>
      </c>
      <c r="Q71">
        <v>113</v>
      </c>
      <c r="R71" s="11">
        <v>187.05</v>
      </c>
      <c r="S71">
        <v>961</v>
      </c>
      <c r="T71">
        <v>577</v>
      </c>
      <c r="U71" s="11">
        <v>190.01</v>
      </c>
      <c r="V71">
        <v>814</v>
      </c>
      <c r="W71">
        <v>540</v>
      </c>
    </row>
    <row r="72" spans="1:26">
      <c r="A72" s="61" t="s">
        <v>326</v>
      </c>
      <c r="B72" s="56">
        <v>187.05</v>
      </c>
      <c r="C72" s="56">
        <v>0.5</v>
      </c>
      <c r="D72" s="56">
        <v>481</v>
      </c>
      <c r="E72" s="57"/>
      <c r="F72" s="57"/>
      <c r="G72" s="57">
        <v>0</v>
      </c>
      <c r="H72" s="58"/>
      <c r="I72" s="58"/>
      <c r="J72" s="58">
        <v>0</v>
      </c>
      <c r="K72" s="59"/>
      <c r="L72" s="59"/>
      <c r="M72" s="59">
        <v>0</v>
      </c>
      <c r="N72" s="60">
        <f t="shared" si="0"/>
        <v>481</v>
      </c>
      <c r="O72" s="11">
        <v>187.05</v>
      </c>
      <c r="P72">
        <v>961</v>
      </c>
      <c r="Q72">
        <v>577</v>
      </c>
    </row>
    <row r="73" spans="1:26">
      <c r="A73" s="61" t="s">
        <v>401</v>
      </c>
      <c r="B73" s="56">
        <v>187.06</v>
      </c>
      <c r="C73" s="56">
        <v>0.5</v>
      </c>
      <c r="D73" s="56">
        <v>490</v>
      </c>
      <c r="E73" s="57">
        <v>187.11</v>
      </c>
      <c r="F73" s="57">
        <v>0.33300000000000002</v>
      </c>
      <c r="G73" s="57">
        <v>336</v>
      </c>
      <c r="H73" s="58"/>
      <c r="I73" s="58"/>
      <c r="J73" s="58">
        <v>0</v>
      </c>
      <c r="K73" s="59"/>
      <c r="L73" s="59"/>
      <c r="M73" s="59">
        <v>0</v>
      </c>
      <c r="N73" s="60">
        <f t="shared" si="0"/>
        <v>826</v>
      </c>
      <c r="O73" s="11">
        <v>187.06</v>
      </c>
      <c r="P73">
        <v>979</v>
      </c>
      <c r="Q73">
        <v>737</v>
      </c>
      <c r="R73" s="11">
        <v>187.11</v>
      </c>
      <c r="S73">
        <v>1010</v>
      </c>
      <c r="T73">
        <v>618</v>
      </c>
    </row>
    <row r="74" spans="1:26">
      <c r="A74" s="61" t="s">
        <v>388</v>
      </c>
      <c r="B74" s="56">
        <v>187.06</v>
      </c>
      <c r="C74" s="56">
        <v>0.5</v>
      </c>
      <c r="D74" s="56">
        <v>490</v>
      </c>
      <c r="E74" s="57">
        <v>188.04</v>
      </c>
      <c r="F74" s="57">
        <v>1</v>
      </c>
      <c r="G74" s="57">
        <v>552</v>
      </c>
      <c r="H74" s="58"/>
      <c r="I74" s="58"/>
      <c r="J74" s="58">
        <v>0</v>
      </c>
      <c r="K74" s="59"/>
      <c r="L74" s="59"/>
      <c r="M74" s="59">
        <v>0</v>
      </c>
      <c r="N74" s="60">
        <f t="shared" si="0"/>
        <v>1042</v>
      </c>
      <c r="O74" s="11">
        <v>187.06</v>
      </c>
      <c r="P74">
        <v>979</v>
      </c>
      <c r="Q74">
        <v>737</v>
      </c>
      <c r="R74" s="11">
        <v>188.04</v>
      </c>
      <c r="S74">
        <v>552</v>
      </c>
      <c r="T74">
        <v>446</v>
      </c>
    </row>
    <row r="75" spans="1:26">
      <c r="A75" s="61" t="s">
        <v>335</v>
      </c>
      <c r="B75" s="56">
        <v>187.11</v>
      </c>
      <c r="C75" s="56">
        <v>0.66700000000000004</v>
      </c>
      <c r="D75" s="56">
        <v>674</v>
      </c>
      <c r="E75" s="57">
        <v>187.07</v>
      </c>
      <c r="F75" s="57">
        <v>1</v>
      </c>
      <c r="G75" s="57">
        <v>247</v>
      </c>
      <c r="H75" s="58"/>
      <c r="I75" s="58"/>
      <c r="J75" s="58">
        <v>0</v>
      </c>
      <c r="K75" s="59"/>
      <c r="L75" s="59"/>
      <c r="M75" s="59">
        <v>0</v>
      </c>
      <c r="N75" s="60">
        <f t="shared" si="0"/>
        <v>921</v>
      </c>
      <c r="O75" s="11">
        <v>187.11</v>
      </c>
      <c r="P75">
        <v>1010</v>
      </c>
      <c r="Q75">
        <v>618</v>
      </c>
      <c r="R75" s="11">
        <v>187.07</v>
      </c>
      <c r="S75">
        <v>247</v>
      </c>
      <c r="T75">
        <v>203</v>
      </c>
    </row>
    <row r="76" spans="1:26">
      <c r="A76" s="61" t="s">
        <v>301</v>
      </c>
      <c r="B76" s="56">
        <v>187.12</v>
      </c>
      <c r="C76" s="56">
        <v>1</v>
      </c>
      <c r="D76" s="56">
        <v>503</v>
      </c>
      <c r="E76" s="57"/>
      <c r="F76" s="57"/>
      <c r="G76" s="57">
        <v>0</v>
      </c>
      <c r="H76" s="58"/>
      <c r="I76" s="58"/>
      <c r="J76" s="58">
        <v>0</v>
      </c>
      <c r="K76" s="59"/>
      <c r="L76" s="59"/>
      <c r="M76" s="59">
        <v>0</v>
      </c>
      <c r="N76" s="60">
        <f t="shared" si="0"/>
        <v>503</v>
      </c>
      <c r="O76" s="11">
        <v>187.12</v>
      </c>
      <c r="P76">
        <v>503</v>
      </c>
      <c r="Q76">
        <v>353</v>
      </c>
    </row>
    <row r="77" spans="1:26">
      <c r="A77" s="61" t="s">
        <v>325</v>
      </c>
      <c r="B77" s="56">
        <v>187.13</v>
      </c>
      <c r="C77" s="56">
        <v>1</v>
      </c>
      <c r="D77" s="56">
        <v>262</v>
      </c>
      <c r="E77" s="57">
        <v>182.03</v>
      </c>
      <c r="F77" s="57">
        <v>0.4</v>
      </c>
      <c r="G77" s="57">
        <v>144</v>
      </c>
      <c r="H77" s="58"/>
      <c r="I77" s="58"/>
      <c r="J77" s="58">
        <v>0</v>
      </c>
      <c r="K77" s="59"/>
      <c r="L77" s="59"/>
      <c r="M77" s="59">
        <v>0</v>
      </c>
      <c r="N77" s="60">
        <f t="shared" si="0"/>
        <v>406</v>
      </c>
      <c r="O77" s="11">
        <v>187.13</v>
      </c>
      <c r="P77">
        <v>262</v>
      </c>
      <c r="Q77">
        <v>199</v>
      </c>
      <c r="R77" s="11">
        <v>182.03</v>
      </c>
      <c r="S77">
        <v>361</v>
      </c>
      <c r="T77">
        <v>357</v>
      </c>
    </row>
    <row r="78" spans="1:26">
      <c r="A78" s="61" t="s">
        <v>396</v>
      </c>
      <c r="B78" s="56">
        <v>187.16</v>
      </c>
      <c r="C78" s="56">
        <v>0.33300000000000002</v>
      </c>
      <c r="D78" s="56">
        <v>133</v>
      </c>
      <c r="E78" s="57">
        <v>187.14</v>
      </c>
      <c r="F78" s="57">
        <v>1</v>
      </c>
      <c r="G78" s="57">
        <v>443</v>
      </c>
      <c r="H78" s="58">
        <v>187.15</v>
      </c>
      <c r="I78" s="58">
        <v>1</v>
      </c>
      <c r="J78" s="58">
        <v>540</v>
      </c>
      <c r="K78" s="59"/>
      <c r="L78" s="59"/>
      <c r="M78" s="59">
        <v>0</v>
      </c>
      <c r="N78" s="60">
        <f t="shared" si="0"/>
        <v>1116</v>
      </c>
      <c r="O78" s="11">
        <v>187.16</v>
      </c>
      <c r="P78">
        <v>399</v>
      </c>
      <c r="Q78">
        <v>298</v>
      </c>
      <c r="R78" s="11">
        <v>187.14</v>
      </c>
      <c r="S78">
        <v>443</v>
      </c>
      <c r="T78">
        <v>265</v>
      </c>
      <c r="U78" s="11">
        <v>187.15</v>
      </c>
      <c r="V78">
        <v>540</v>
      </c>
      <c r="W78">
        <v>390</v>
      </c>
    </row>
    <row r="79" spans="1:26">
      <c r="A79" s="61" t="s">
        <v>328</v>
      </c>
      <c r="B79" s="56">
        <v>188.01</v>
      </c>
      <c r="C79" s="56">
        <v>1</v>
      </c>
      <c r="D79" s="56">
        <v>436</v>
      </c>
      <c r="E79" s="57">
        <v>188.02</v>
      </c>
      <c r="F79" s="57">
        <v>0.75</v>
      </c>
      <c r="G79" s="57">
        <v>311</v>
      </c>
      <c r="H79" s="58"/>
      <c r="I79" s="58"/>
      <c r="J79" s="58">
        <v>0</v>
      </c>
      <c r="K79" s="59"/>
      <c r="L79" s="59"/>
      <c r="M79" s="59">
        <v>0</v>
      </c>
      <c r="N79" s="60">
        <f t="shared" si="0"/>
        <v>747</v>
      </c>
      <c r="O79" s="11">
        <v>188.01</v>
      </c>
      <c r="P79">
        <v>436</v>
      </c>
      <c r="Q79">
        <v>337</v>
      </c>
      <c r="R79" s="11">
        <v>188.02</v>
      </c>
      <c r="S79">
        <v>414</v>
      </c>
      <c r="T79">
        <v>350</v>
      </c>
    </row>
    <row r="80" spans="1:26">
      <c r="A80" s="61" t="s">
        <v>333</v>
      </c>
      <c r="B80" s="56">
        <v>188.02</v>
      </c>
      <c r="C80" s="56">
        <v>0.25</v>
      </c>
      <c r="D80" s="56">
        <v>104</v>
      </c>
      <c r="E80" s="57">
        <v>188.08</v>
      </c>
      <c r="F80" s="57">
        <v>0.5</v>
      </c>
      <c r="G80" s="57">
        <v>303</v>
      </c>
      <c r="H80" s="58">
        <v>188.07</v>
      </c>
      <c r="I80" s="58">
        <v>0.25</v>
      </c>
      <c r="J80" s="58">
        <v>119</v>
      </c>
      <c r="K80" s="59"/>
      <c r="L80" s="59"/>
      <c r="M80" s="59">
        <v>0</v>
      </c>
      <c r="N80" s="60">
        <f t="shared" si="0"/>
        <v>526</v>
      </c>
      <c r="O80" s="11">
        <v>188.02</v>
      </c>
      <c r="P80">
        <v>414</v>
      </c>
      <c r="Q80">
        <v>350</v>
      </c>
      <c r="R80" s="11">
        <v>188.08</v>
      </c>
      <c r="S80">
        <v>606</v>
      </c>
      <c r="T80">
        <v>556</v>
      </c>
      <c r="U80" s="11">
        <v>188.07</v>
      </c>
      <c r="V80">
        <v>474</v>
      </c>
      <c r="W80">
        <v>463</v>
      </c>
    </row>
    <row r="81" spans="1:23">
      <c r="A81" s="61" t="s">
        <v>311</v>
      </c>
      <c r="B81" s="56">
        <v>188.05</v>
      </c>
      <c r="C81" s="56">
        <v>1</v>
      </c>
      <c r="D81" s="56">
        <v>332</v>
      </c>
      <c r="E81" s="57">
        <v>188.06</v>
      </c>
      <c r="F81" s="57">
        <v>0.8</v>
      </c>
      <c r="G81" s="57">
        <v>152</v>
      </c>
      <c r="H81" s="58"/>
      <c r="I81" s="58"/>
      <c r="J81" s="58">
        <v>0</v>
      </c>
      <c r="K81" s="59"/>
      <c r="L81" s="59"/>
      <c r="M81" s="59">
        <v>0</v>
      </c>
      <c r="N81" s="60">
        <f t="shared" si="0"/>
        <v>484</v>
      </c>
      <c r="O81" s="11">
        <v>188.05</v>
      </c>
      <c r="P81">
        <v>332</v>
      </c>
      <c r="Q81">
        <v>298</v>
      </c>
      <c r="R81" s="11">
        <v>188.06</v>
      </c>
      <c r="S81">
        <v>190</v>
      </c>
      <c r="T81">
        <v>138</v>
      </c>
    </row>
    <row r="82" spans="1:23">
      <c r="A82" s="61" t="s">
        <v>381</v>
      </c>
      <c r="B82" s="56">
        <v>188.06</v>
      </c>
      <c r="C82" s="56">
        <v>0.2</v>
      </c>
      <c r="D82" s="56">
        <v>38</v>
      </c>
      <c r="E82" s="57">
        <v>182.06</v>
      </c>
      <c r="F82" s="57">
        <v>1</v>
      </c>
      <c r="G82" s="57">
        <v>120</v>
      </c>
      <c r="H82" s="58"/>
      <c r="I82" s="58"/>
      <c r="J82" s="58">
        <v>0</v>
      </c>
      <c r="K82" s="59"/>
      <c r="L82" s="59"/>
      <c r="M82" s="59">
        <v>0</v>
      </c>
      <c r="N82" s="60">
        <f t="shared" si="0"/>
        <v>158</v>
      </c>
      <c r="O82" s="11">
        <v>188.06</v>
      </c>
      <c r="P82">
        <v>190</v>
      </c>
      <c r="Q82">
        <v>138</v>
      </c>
      <c r="R82" s="11">
        <v>182.06</v>
      </c>
      <c r="S82">
        <v>120</v>
      </c>
      <c r="T82">
        <v>92</v>
      </c>
    </row>
    <row r="83" spans="1:23">
      <c r="A83" s="61" t="s">
        <v>334</v>
      </c>
      <c r="B83" s="56">
        <v>188.07</v>
      </c>
      <c r="C83" s="56">
        <v>0.75</v>
      </c>
      <c r="D83" s="56">
        <v>356</v>
      </c>
      <c r="E83" s="57">
        <v>188.08</v>
      </c>
      <c r="F83" s="57">
        <v>0.5</v>
      </c>
      <c r="G83" s="57">
        <v>303</v>
      </c>
      <c r="H83" s="58"/>
      <c r="I83" s="58"/>
      <c r="J83" s="58">
        <v>0</v>
      </c>
      <c r="K83" s="59"/>
      <c r="L83" s="59"/>
      <c r="M83" s="59">
        <v>0</v>
      </c>
      <c r="N83" s="60">
        <f t="shared" si="0"/>
        <v>659</v>
      </c>
      <c r="O83" s="11">
        <v>188.07</v>
      </c>
      <c r="P83">
        <v>474</v>
      </c>
      <c r="Q83">
        <v>463</v>
      </c>
      <c r="R83" s="11">
        <v>188.08</v>
      </c>
      <c r="S83">
        <v>606</v>
      </c>
      <c r="T83">
        <v>556</v>
      </c>
    </row>
    <row r="84" spans="1:23">
      <c r="A84" s="61" t="s">
        <v>342</v>
      </c>
      <c r="B84" s="56">
        <v>189.03</v>
      </c>
      <c r="C84" s="56">
        <v>0.75</v>
      </c>
      <c r="D84" s="56">
        <v>280</v>
      </c>
      <c r="E84" s="57"/>
      <c r="F84" s="57"/>
      <c r="G84" s="57">
        <v>0</v>
      </c>
      <c r="H84" s="58"/>
      <c r="I84" s="58"/>
      <c r="J84" s="58">
        <v>0</v>
      </c>
      <c r="K84" s="59"/>
      <c r="L84" s="59"/>
      <c r="M84" s="59">
        <v>0</v>
      </c>
      <c r="N84" s="60">
        <f t="shared" si="0"/>
        <v>280</v>
      </c>
      <c r="O84" s="11">
        <v>189.03</v>
      </c>
      <c r="P84">
        <v>373</v>
      </c>
      <c r="Q84">
        <v>272</v>
      </c>
    </row>
    <row r="85" spans="1:23">
      <c r="A85" s="61" t="s">
        <v>360</v>
      </c>
      <c r="B85" s="56">
        <v>189.05</v>
      </c>
      <c r="C85" s="56">
        <v>0.33300000000000002</v>
      </c>
      <c r="D85" s="56">
        <v>234</v>
      </c>
      <c r="E85" s="57">
        <v>190.03</v>
      </c>
      <c r="F85" s="57">
        <v>0.2</v>
      </c>
      <c r="G85" s="57">
        <v>161</v>
      </c>
      <c r="H85" s="58"/>
      <c r="I85" s="58"/>
      <c r="J85" s="58">
        <v>0</v>
      </c>
      <c r="K85" s="59"/>
      <c r="L85" s="59"/>
      <c r="M85" s="59">
        <v>0</v>
      </c>
      <c r="N85" s="60">
        <f t="shared" si="0"/>
        <v>395</v>
      </c>
      <c r="O85" s="11">
        <v>189.05</v>
      </c>
      <c r="P85">
        <v>704</v>
      </c>
      <c r="Q85">
        <v>479</v>
      </c>
      <c r="R85" s="11">
        <v>190.03</v>
      </c>
      <c r="S85">
        <v>803</v>
      </c>
      <c r="T85">
        <v>584</v>
      </c>
    </row>
    <row r="86" spans="1:23">
      <c r="A86" s="61" t="s">
        <v>357</v>
      </c>
      <c r="B86" s="56">
        <v>189.07</v>
      </c>
      <c r="C86" s="56">
        <v>1</v>
      </c>
      <c r="D86" s="56">
        <v>393</v>
      </c>
      <c r="E86" s="57">
        <v>189.1</v>
      </c>
      <c r="F86" s="57">
        <v>0.5</v>
      </c>
      <c r="G86" s="57">
        <v>452</v>
      </c>
      <c r="H86" s="58">
        <v>189.09</v>
      </c>
      <c r="I86" s="58">
        <v>0.5</v>
      </c>
      <c r="J86" s="58">
        <v>222</v>
      </c>
      <c r="K86" s="59"/>
      <c r="L86" s="59"/>
      <c r="M86" s="59">
        <v>0</v>
      </c>
      <c r="N86" s="60">
        <f t="shared" si="0"/>
        <v>1067</v>
      </c>
      <c r="O86" s="11">
        <v>189.07</v>
      </c>
      <c r="P86">
        <v>393</v>
      </c>
      <c r="Q86">
        <v>239</v>
      </c>
      <c r="R86" s="11">
        <v>189.1</v>
      </c>
      <c r="S86">
        <v>903</v>
      </c>
      <c r="T86">
        <v>710</v>
      </c>
      <c r="U86" s="11">
        <v>189.09</v>
      </c>
      <c r="V86">
        <v>443</v>
      </c>
      <c r="W86">
        <v>368</v>
      </c>
    </row>
    <row r="87" spans="1:23">
      <c r="A87" s="61" t="s">
        <v>361</v>
      </c>
      <c r="B87" s="56">
        <v>189.08</v>
      </c>
      <c r="C87" s="56">
        <v>1</v>
      </c>
      <c r="D87" s="56">
        <v>826</v>
      </c>
      <c r="E87" s="57"/>
      <c r="F87" s="57"/>
      <c r="G87" s="57">
        <v>0</v>
      </c>
      <c r="H87" s="58"/>
      <c r="I87" s="58"/>
      <c r="J87" s="58">
        <v>0</v>
      </c>
      <c r="K87" s="59"/>
      <c r="L87" s="59"/>
      <c r="M87" s="59">
        <v>0</v>
      </c>
      <c r="N87" s="60">
        <f t="shared" si="0"/>
        <v>826</v>
      </c>
      <c r="O87" s="11">
        <v>189.08</v>
      </c>
      <c r="P87">
        <v>826</v>
      </c>
      <c r="Q87">
        <v>511</v>
      </c>
    </row>
    <row r="88" spans="1:23">
      <c r="A88" s="61" t="s">
        <v>399</v>
      </c>
      <c r="B88" s="56">
        <v>189.1</v>
      </c>
      <c r="C88" s="56">
        <v>0.5</v>
      </c>
      <c r="D88" s="56">
        <v>452</v>
      </c>
      <c r="E88" s="57">
        <v>189.09</v>
      </c>
      <c r="F88" s="57">
        <v>0.5</v>
      </c>
      <c r="G88" s="57">
        <v>222</v>
      </c>
      <c r="H88" s="58"/>
      <c r="I88" s="58"/>
      <c r="J88" s="58">
        <v>0</v>
      </c>
      <c r="K88" s="59"/>
      <c r="L88" s="59"/>
      <c r="M88" s="59">
        <v>0</v>
      </c>
      <c r="N88" s="60">
        <f t="shared" si="0"/>
        <v>674</v>
      </c>
      <c r="O88" s="11">
        <v>189.1</v>
      </c>
      <c r="P88">
        <v>903</v>
      </c>
      <c r="Q88">
        <v>710</v>
      </c>
      <c r="R88" s="11">
        <v>189.09</v>
      </c>
      <c r="S88">
        <v>443</v>
      </c>
      <c r="T88">
        <v>368</v>
      </c>
    </row>
    <row r="89" spans="1:23">
      <c r="A89" s="61" t="s">
        <v>370</v>
      </c>
      <c r="B89" s="56">
        <v>190.01</v>
      </c>
      <c r="C89" s="56">
        <v>0.75</v>
      </c>
      <c r="D89" s="56">
        <v>611</v>
      </c>
      <c r="E89" s="57">
        <v>189.06</v>
      </c>
      <c r="F89" s="57">
        <v>1</v>
      </c>
      <c r="G89" s="57">
        <v>348</v>
      </c>
      <c r="H89" s="58">
        <v>187.03</v>
      </c>
      <c r="I89" s="58">
        <v>0.25</v>
      </c>
      <c r="J89" s="58">
        <v>224</v>
      </c>
      <c r="K89" s="59"/>
      <c r="L89" s="59"/>
      <c r="M89" s="59">
        <v>0</v>
      </c>
      <c r="N89" s="60">
        <f t="shared" si="0"/>
        <v>1183</v>
      </c>
      <c r="O89" s="11">
        <v>190.01</v>
      </c>
      <c r="P89">
        <v>814</v>
      </c>
      <c r="Q89">
        <v>540</v>
      </c>
      <c r="R89" s="11">
        <v>189.06</v>
      </c>
      <c r="S89">
        <v>348</v>
      </c>
      <c r="T89">
        <v>238</v>
      </c>
      <c r="U89" s="11">
        <v>187.03</v>
      </c>
      <c r="V89">
        <v>894</v>
      </c>
      <c r="W89">
        <v>582</v>
      </c>
    </row>
    <row r="90" spans="1:23">
      <c r="A90" s="61" t="s">
        <v>374</v>
      </c>
      <c r="B90" s="56">
        <v>190.03</v>
      </c>
      <c r="C90" s="56">
        <v>0.8</v>
      </c>
      <c r="D90" s="56">
        <v>642</v>
      </c>
      <c r="E90" s="57">
        <v>190.04</v>
      </c>
      <c r="F90" s="57">
        <v>0.1</v>
      </c>
      <c r="G90" s="57">
        <v>75</v>
      </c>
      <c r="H90" s="58"/>
      <c r="I90" s="58"/>
      <c r="J90" s="58">
        <v>0</v>
      </c>
      <c r="K90" s="59"/>
      <c r="L90" s="59"/>
      <c r="M90" s="59">
        <v>0</v>
      </c>
      <c r="N90" s="60">
        <f t="shared" si="0"/>
        <v>717</v>
      </c>
      <c r="O90" s="11">
        <v>190.03</v>
      </c>
      <c r="P90">
        <v>803</v>
      </c>
      <c r="Q90">
        <v>584</v>
      </c>
      <c r="R90" s="11">
        <v>190.04</v>
      </c>
      <c r="S90">
        <v>750</v>
      </c>
      <c r="T90">
        <v>541</v>
      </c>
    </row>
    <row r="91" spans="1:23">
      <c r="A91" s="61" t="s">
        <v>349</v>
      </c>
      <c r="B91" s="56">
        <v>190.04</v>
      </c>
      <c r="C91" s="56">
        <v>0.3</v>
      </c>
      <c r="D91" s="56">
        <v>225</v>
      </c>
      <c r="E91" s="57">
        <v>189.03</v>
      </c>
      <c r="F91" s="57">
        <v>0.25</v>
      </c>
      <c r="G91" s="57">
        <v>93</v>
      </c>
      <c r="H91" s="58"/>
      <c r="I91" s="58"/>
      <c r="J91" s="58">
        <v>0</v>
      </c>
      <c r="K91" s="59"/>
      <c r="L91" s="59"/>
      <c r="M91" s="59">
        <v>0</v>
      </c>
      <c r="N91" s="60">
        <f t="shared" si="0"/>
        <v>318</v>
      </c>
      <c r="O91" s="11">
        <v>190.04</v>
      </c>
      <c r="P91">
        <v>750</v>
      </c>
      <c r="Q91">
        <v>541</v>
      </c>
      <c r="R91" s="11">
        <v>189.03</v>
      </c>
      <c r="S91">
        <v>373</v>
      </c>
      <c r="T91">
        <v>272</v>
      </c>
    </row>
    <row r="92" spans="1:23">
      <c r="A92" s="61" t="s">
        <v>364</v>
      </c>
      <c r="B92" s="56">
        <v>190.04</v>
      </c>
      <c r="C92" s="56">
        <v>0.6</v>
      </c>
      <c r="D92" s="56">
        <v>450</v>
      </c>
      <c r="E92" s="57"/>
      <c r="F92" s="57"/>
      <c r="G92" s="57">
        <v>0</v>
      </c>
      <c r="H92" s="58"/>
      <c r="I92" s="58"/>
      <c r="J92" s="58">
        <v>0</v>
      </c>
      <c r="K92" s="59"/>
      <c r="L92" s="59"/>
      <c r="M92" s="59">
        <v>0</v>
      </c>
      <c r="N92" s="60">
        <f t="shared" si="0"/>
        <v>450</v>
      </c>
      <c r="O92" s="11">
        <v>190.04</v>
      </c>
      <c r="P92">
        <v>750</v>
      </c>
      <c r="Q92">
        <v>541</v>
      </c>
    </row>
    <row r="93" spans="1:23">
      <c r="A93" s="61" t="s">
        <v>378</v>
      </c>
      <c r="B93" s="56">
        <v>191.03</v>
      </c>
      <c r="C93" s="56">
        <v>0.5</v>
      </c>
      <c r="D93" s="56">
        <v>333</v>
      </c>
      <c r="E93" s="57">
        <v>191.04</v>
      </c>
      <c r="F93" s="57">
        <v>0.5</v>
      </c>
      <c r="G93" s="57">
        <v>307</v>
      </c>
      <c r="H93" s="58"/>
      <c r="I93" s="58"/>
      <c r="J93" s="58">
        <v>0</v>
      </c>
      <c r="K93" s="59"/>
      <c r="L93" s="59"/>
      <c r="M93" s="59">
        <v>0</v>
      </c>
      <c r="N93" s="60">
        <f t="shared" si="0"/>
        <v>640</v>
      </c>
      <c r="O93" s="11">
        <v>191.03</v>
      </c>
      <c r="P93">
        <v>665</v>
      </c>
      <c r="Q93">
        <v>434</v>
      </c>
      <c r="R93" s="11">
        <v>191.04</v>
      </c>
      <c r="S93">
        <v>614</v>
      </c>
      <c r="T93">
        <v>405</v>
      </c>
    </row>
    <row r="94" spans="1:23">
      <c r="A94" s="61" t="s">
        <v>288</v>
      </c>
      <c r="B94" s="56">
        <v>191.03</v>
      </c>
      <c r="C94" s="56">
        <v>0.5</v>
      </c>
      <c r="D94" s="56">
        <v>333</v>
      </c>
      <c r="E94" s="57">
        <v>191.04</v>
      </c>
      <c r="F94" s="57">
        <v>0.5</v>
      </c>
      <c r="G94" s="57">
        <v>307</v>
      </c>
      <c r="H94" s="58"/>
      <c r="I94" s="58"/>
      <c r="J94" s="58">
        <v>0</v>
      </c>
      <c r="K94" s="59"/>
      <c r="L94" s="59"/>
      <c r="M94" s="59">
        <v>0</v>
      </c>
      <c r="N94" s="60">
        <f t="shared" si="0"/>
        <v>640</v>
      </c>
      <c r="O94" s="11">
        <v>191.03</v>
      </c>
      <c r="P94">
        <v>665</v>
      </c>
      <c r="Q94">
        <v>434</v>
      </c>
      <c r="R94" s="11">
        <v>191.04</v>
      </c>
      <c r="S94">
        <v>614</v>
      </c>
      <c r="T94">
        <v>405</v>
      </c>
    </row>
    <row r="95" spans="1:23">
      <c r="A95" s="61" t="s">
        <v>338</v>
      </c>
      <c r="B95" s="56">
        <v>191.05</v>
      </c>
      <c r="C95" s="56">
        <v>1</v>
      </c>
      <c r="D95" s="56">
        <v>400</v>
      </c>
      <c r="E95" s="57">
        <v>191.07</v>
      </c>
      <c r="F95" s="57">
        <v>1</v>
      </c>
      <c r="G95" s="57">
        <v>311</v>
      </c>
      <c r="H95" s="58">
        <v>191.06</v>
      </c>
      <c r="I95" s="58">
        <v>0.5</v>
      </c>
      <c r="J95" s="58">
        <v>95</v>
      </c>
      <c r="K95" s="59"/>
      <c r="L95" s="59"/>
      <c r="M95" s="59">
        <v>0</v>
      </c>
      <c r="N95" s="60">
        <f t="shared" si="0"/>
        <v>806</v>
      </c>
      <c r="O95" s="11">
        <v>191.05</v>
      </c>
      <c r="P95">
        <v>400</v>
      </c>
      <c r="Q95">
        <v>295</v>
      </c>
      <c r="R95" s="11">
        <v>191.07</v>
      </c>
      <c r="S95">
        <v>311</v>
      </c>
      <c r="T95">
        <v>245</v>
      </c>
      <c r="U95" s="11">
        <v>191.06</v>
      </c>
      <c r="V95">
        <v>190</v>
      </c>
      <c r="W95">
        <v>143</v>
      </c>
    </row>
    <row r="96" spans="1:23">
      <c r="A96" s="61" t="s">
        <v>350</v>
      </c>
      <c r="B96" s="56">
        <v>191.06</v>
      </c>
      <c r="C96" s="56">
        <v>0.5</v>
      </c>
      <c r="D96" s="56">
        <v>95</v>
      </c>
      <c r="E96" s="57">
        <v>190.05</v>
      </c>
      <c r="F96" s="57">
        <v>1</v>
      </c>
      <c r="G96" s="57">
        <v>202</v>
      </c>
      <c r="H96" s="58">
        <v>190.03</v>
      </c>
      <c r="I96" s="58">
        <v>0.33300000000000002</v>
      </c>
      <c r="J96" s="58">
        <v>267</v>
      </c>
      <c r="K96" s="59"/>
      <c r="L96" s="59"/>
      <c r="M96" s="59">
        <v>0</v>
      </c>
      <c r="N96" s="60">
        <f t="shared" si="0"/>
        <v>564</v>
      </c>
      <c r="O96" s="11">
        <v>191.06</v>
      </c>
      <c r="P96">
        <v>190</v>
      </c>
      <c r="Q96">
        <v>143</v>
      </c>
      <c r="R96" s="11">
        <v>190.05</v>
      </c>
      <c r="S96">
        <v>202</v>
      </c>
      <c r="T96">
        <v>139</v>
      </c>
      <c r="U96" s="11">
        <v>190.03</v>
      </c>
      <c r="V96">
        <v>803</v>
      </c>
      <c r="W96">
        <v>584</v>
      </c>
    </row>
    <row r="97" spans="1:17">
      <c r="A97" s="61" t="s">
        <v>314</v>
      </c>
      <c r="B97" s="56">
        <v>192</v>
      </c>
      <c r="C97" s="56">
        <v>0.66700000000000004</v>
      </c>
      <c r="D97" s="56">
        <v>277</v>
      </c>
      <c r="E97" s="57"/>
      <c r="F97" s="57"/>
      <c r="G97" s="57">
        <v>0</v>
      </c>
      <c r="H97" s="58"/>
      <c r="I97" s="58"/>
      <c r="J97" s="58">
        <v>0</v>
      </c>
      <c r="K97" s="59"/>
      <c r="L97" s="59"/>
      <c r="M97" s="59">
        <v>0</v>
      </c>
      <c r="N97" s="60">
        <f t="shared" si="0"/>
        <v>277</v>
      </c>
      <c r="O97" s="11">
        <v>192</v>
      </c>
      <c r="P97">
        <v>415</v>
      </c>
      <c r="Q97">
        <v>278</v>
      </c>
    </row>
    <row r="98" spans="1:17" ht="15.75" customHeight="1">
      <c r="N98">
        <f>SUM(N2:N97)</f>
        <v>66673</v>
      </c>
    </row>
    <row r="99" spans="1:17" ht="15.75" customHeight="1">
      <c r="A99" s="5" t="s">
        <v>906</v>
      </c>
    </row>
    <row r="100" spans="1:17" ht="15.75" customHeight="1">
      <c r="A100" s="5" t="s">
        <v>673</v>
      </c>
      <c r="B100" s="5" t="s">
        <v>498</v>
      </c>
      <c r="C100" s="5" t="s">
        <v>519</v>
      </c>
      <c r="D100" s="1" t="s">
        <v>500</v>
      </c>
      <c r="E100" s="1" t="s">
        <v>907</v>
      </c>
      <c r="F100" s="1" t="s">
        <v>908</v>
      </c>
      <c r="G100" s="1" t="s">
        <v>909</v>
      </c>
      <c r="I100" s="1" t="s">
        <v>142</v>
      </c>
      <c r="J100" s="1"/>
    </row>
    <row r="101" spans="1:17" ht="15.75" customHeight="1">
      <c r="A101" s="61" t="s">
        <v>288</v>
      </c>
      <c r="B101" s="1">
        <v>1</v>
      </c>
      <c r="C101">
        <v>640</v>
      </c>
      <c r="D101">
        <v>410</v>
      </c>
      <c r="E101">
        <f t="shared" ref="E101:E196" si="1">C101-D101</f>
        <v>230</v>
      </c>
      <c r="F101" s="1">
        <v>600</v>
      </c>
      <c r="G101">
        <f t="shared" ref="G101:G164" si="2">F101-D101</f>
        <v>190</v>
      </c>
      <c r="H101" s="1">
        <v>1</v>
      </c>
      <c r="I101" s="1">
        <v>56</v>
      </c>
      <c r="J101" s="1"/>
      <c r="K101" s="1"/>
    </row>
    <row r="102" spans="1:17" ht="15.75" customHeight="1">
      <c r="A102" s="61" t="s">
        <v>291</v>
      </c>
      <c r="B102" s="1">
        <v>2</v>
      </c>
      <c r="C102">
        <v>816</v>
      </c>
      <c r="D102">
        <v>505</v>
      </c>
      <c r="E102">
        <f t="shared" si="1"/>
        <v>311</v>
      </c>
      <c r="F102" s="1">
        <v>600</v>
      </c>
      <c r="G102">
        <f t="shared" si="2"/>
        <v>95</v>
      </c>
      <c r="H102" s="1">
        <v>0</v>
      </c>
      <c r="I102" s="1">
        <v>62</v>
      </c>
      <c r="J102" s="1"/>
      <c r="K102" s="1"/>
    </row>
    <row r="103" spans="1:17" ht="15.75" customHeight="1">
      <c r="A103" s="62" t="s">
        <v>294</v>
      </c>
      <c r="B103" s="1">
        <v>3</v>
      </c>
      <c r="C103">
        <v>980</v>
      </c>
      <c r="D103">
        <v>530</v>
      </c>
      <c r="E103">
        <f t="shared" si="1"/>
        <v>450</v>
      </c>
      <c r="F103" s="1">
        <v>530</v>
      </c>
      <c r="G103">
        <f t="shared" si="2"/>
        <v>0</v>
      </c>
      <c r="H103" s="1">
        <v>0</v>
      </c>
      <c r="I103" s="1">
        <v>85</v>
      </c>
      <c r="J103" s="1"/>
      <c r="K103" s="1"/>
    </row>
    <row r="104" spans="1:17" ht="15.75" customHeight="1">
      <c r="A104" s="61" t="s">
        <v>296</v>
      </c>
      <c r="B104" s="1">
        <v>4</v>
      </c>
      <c r="C104">
        <v>427</v>
      </c>
      <c r="D104">
        <v>320</v>
      </c>
      <c r="E104">
        <f t="shared" si="1"/>
        <v>107</v>
      </c>
      <c r="F104" s="1">
        <v>600</v>
      </c>
      <c r="G104">
        <f t="shared" si="2"/>
        <v>280</v>
      </c>
      <c r="H104" s="1">
        <v>2</v>
      </c>
      <c r="I104" s="1">
        <v>33</v>
      </c>
      <c r="J104" s="1"/>
      <c r="K104" s="1"/>
    </row>
    <row r="105" spans="1:17" ht="15.75" customHeight="1">
      <c r="A105" s="61" t="s">
        <v>297</v>
      </c>
      <c r="B105" s="1">
        <v>5</v>
      </c>
      <c r="C105">
        <v>1036</v>
      </c>
      <c r="D105">
        <v>590</v>
      </c>
      <c r="E105">
        <f t="shared" si="1"/>
        <v>446</v>
      </c>
      <c r="F105" s="1">
        <v>600</v>
      </c>
      <c r="G105">
        <f t="shared" si="2"/>
        <v>10</v>
      </c>
      <c r="H105" s="1">
        <v>0</v>
      </c>
      <c r="I105" s="1">
        <v>76</v>
      </c>
      <c r="J105" s="1"/>
      <c r="K105" s="1"/>
    </row>
    <row r="106" spans="1:17" ht="15.75" customHeight="1">
      <c r="A106" s="61" t="s">
        <v>298</v>
      </c>
      <c r="B106" s="1">
        <v>6</v>
      </c>
      <c r="C106">
        <v>1697</v>
      </c>
      <c r="D106">
        <v>515</v>
      </c>
      <c r="E106">
        <f t="shared" si="1"/>
        <v>1182</v>
      </c>
      <c r="F106" s="1">
        <v>600</v>
      </c>
      <c r="G106">
        <f t="shared" si="2"/>
        <v>85</v>
      </c>
      <c r="H106" s="1">
        <v>0</v>
      </c>
      <c r="I106" s="1">
        <v>230</v>
      </c>
      <c r="J106" s="1"/>
      <c r="K106" s="1"/>
    </row>
    <row r="107" spans="1:17" ht="15.75" customHeight="1">
      <c r="A107" s="61" t="s">
        <v>301</v>
      </c>
      <c r="B107" s="1">
        <v>7</v>
      </c>
      <c r="C107">
        <v>503</v>
      </c>
      <c r="D107">
        <v>540</v>
      </c>
      <c r="E107">
        <f t="shared" si="1"/>
        <v>-37</v>
      </c>
      <c r="F107" s="1">
        <v>600</v>
      </c>
      <c r="G107">
        <f t="shared" si="2"/>
        <v>60</v>
      </c>
      <c r="H107" s="1">
        <v>0</v>
      </c>
      <c r="I107" s="1">
        <v>-7</v>
      </c>
      <c r="J107" s="1"/>
      <c r="K107" s="1"/>
    </row>
    <row r="108" spans="1:17" ht="15.75" customHeight="1">
      <c r="A108" s="61" t="s">
        <v>303</v>
      </c>
      <c r="B108" s="1">
        <v>8</v>
      </c>
      <c r="C108">
        <v>664</v>
      </c>
      <c r="D108">
        <v>540</v>
      </c>
      <c r="E108">
        <f t="shared" si="1"/>
        <v>124</v>
      </c>
      <c r="F108" s="1">
        <v>600</v>
      </c>
      <c r="G108">
        <f t="shared" si="2"/>
        <v>60</v>
      </c>
      <c r="H108" s="1">
        <v>0</v>
      </c>
      <c r="I108" s="1">
        <v>23</v>
      </c>
      <c r="J108" s="1"/>
      <c r="K108" s="1"/>
    </row>
    <row r="109" spans="1:17" ht="15.75" customHeight="1">
      <c r="A109" s="61" t="s">
        <v>304</v>
      </c>
      <c r="B109" s="1">
        <v>9</v>
      </c>
      <c r="C109">
        <v>694</v>
      </c>
      <c r="D109">
        <v>590</v>
      </c>
      <c r="E109">
        <f t="shared" si="1"/>
        <v>104</v>
      </c>
      <c r="F109" s="1">
        <v>600</v>
      </c>
      <c r="G109">
        <f t="shared" si="2"/>
        <v>10</v>
      </c>
      <c r="H109" s="1">
        <v>0</v>
      </c>
      <c r="I109" s="1">
        <v>18</v>
      </c>
      <c r="J109" s="1"/>
      <c r="K109" s="1"/>
    </row>
    <row r="110" spans="1:17" ht="15.75" customHeight="1">
      <c r="A110" s="61" t="s">
        <v>311</v>
      </c>
      <c r="B110" s="1">
        <v>10</v>
      </c>
      <c r="C110">
        <v>484</v>
      </c>
      <c r="D110">
        <v>315</v>
      </c>
      <c r="E110">
        <f t="shared" si="1"/>
        <v>169</v>
      </c>
      <c r="F110" s="1">
        <v>600</v>
      </c>
      <c r="G110">
        <f t="shared" si="2"/>
        <v>285</v>
      </c>
      <c r="H110" s="1">
        <v>2</v>
      </c>
      <c r="I110" s="1">
        <v>54</v>
      </c>
      <c r="J110" s="1"/>
      <c r="K110" s="1"/>
    </row>
    <row r="111" spans="1:17" ht="15.75" customHeight="1">
      <c r="A111" s="61" t="s">
        <v>313</v>
      </c>
      <c r="B111" s="1">
        <v>11</v>
      </c>
      <c r="C111">
        <v>341</v>
      </c>
      <c r="D111">
        <v>340</v>
      </c>
      <c r="E111">
        <f t="shared" si="1"/>
        <v>1</v>
      </c>
      <c r="F111" s="1">
        <v>600</v>
      </c>
      <c r="G111">
        <f t="shared" si="2"/>
        <v>260</v>
      </c>
      <c r="H111" s="1">
        <v>2</v>
      </c>
      <c r="I111" s="1">
        <v>0</v>
      </c>
      <c r="J111" s="1"/>
      <c r="K111" s="1"/>
    </row>
    <row r="112" spans="1:17" ht="15.75" customHeight="1">
      <c r="A112" s="61" t="s">
        <v>314</v>
      </c>
      <c r="B112" s="1">
        <v>12</v>
      </c>
      <c r="C112">
        <v>277</v>
      </c>
      <c r="D112">
        <v>220</v>
      </c>
      <c r="E112">
        <f t="shared" si="1"/>
        <v>57</v>
      </c>
      <c r="F112" s="1">
        <v>600</v>
      </c>
      <c r="G112">
        <f t="shared" si="2"/>
        <v>380</v>
      </c>
      <c r="H112" s="1">
        <v>3</v>
      </c>
      <c r="I112" s="1">
        <v>26</v>
      </c>
      <c r="J112" s="1"/>
      <c r="K112" s="1"/>
    </row>
    <row r="113" spans="1:11" ht="15.75" customHeight="1">
      <c r="A113" s="61" t="s">
        <v>315</v>
      </c>
      <c r="B113" s="1">
        <v>13</v>
      </c>
      <c r="C113">
        <v>738</v>
      </c>
      <c r="D113">
        <v>490</v>
      </c>
      <c r="E113">
        <f t="shared" si="1"/>
        <v>248</v>
      </c>
      <c r="F113" s="1">
        <v>600</v>
      </c>
      <c r="G113">
        <f t="shared" si="2"/>
        <v>110</v>
      </c>
      <c r="H113" s="1">
        <v>1</v>
      </c>
      <c r="I113" s="1">
        <v>51</v>
      </c>
      <c r="J113" s="1"/>
      <c r="K113" s="1"/>
    </row>
    <row r="114" spans="1:11" ht="15.75" customHeight="1">
      <c r="A114" s="61" t="s">
        <v>316</v>
      </c>
      <c r="B114" s="1">
        <v>14</v>
      </c>
      <c r="C114">
        <v>1408</v>
      </c>
      <c r="D114">
        <v>1055</v>
      </c>
      <c r="E114">
        <f t="shared" si="1"/>
        <v>353</v>
      </c>
      <c r="F114" s="1">
        <v>1125</v>
      </c>
      <c r="G114">
        <f t="shared" si="2"/>
        <v>70</v>
      </c>
      <c r="H114" s="1">
        <v>0</v>
      </c>
      <c r="I114" s="1">
        <v>33</v>
      </c>
      <c r="J114" s="1"/>
      <c r="K114" s="1"/>
    </row>
    <row r="115" spans="1:11" ht="15.75" customHeight="1">
      <c r="A115" s="61" t="s">
        <v>317</v>
      </c>
      <c r="B115" s="1">
        <v>15</v>
      </c>
      <c r="C115">
        <v>365</v>
      </c>
      <c r="D115">
        <v>465</v>
      </c>
      <c r="E115">
        <f t="shared" si="1"/>
        <v>-100</v>
      </c>
      <c r="F115" s="1">
        <v>600</v>
      </c>
      <c r="G115">
        <f t="shared" si="2"/>
        <v>135</v>
      </c>
      <c r="H115" s="1">
        <v>1</v>
      </c>
      <c r="I115" s="1">
        <v>-22</v>
      </c>
      <c r="J115" s="1"/>
      <c r="K115" s="1"/>
    </row>
    <row r="116" spans="1:11" ht="15.75" customHeight="1">
      <c r="A116" s="61" t="s">
        <v>318</v>
      </c>
      <c r="B116" s="1">
        <v>16</v>
      </c>
      <c r="C116">
        <v>400</v>
      </c>
      <c r="D116">
        <v>370</v>
      </c>
      <c r="E116">
        <f t="shared" si="1"/>
        <v>30</v>
      </c>
      <c r="F116" s="1">
        <v>600</v>
      </c>
      <c r="G116">
        <f t="shared" si="2"/>
        <v>230</v>
      </c>
      <c r="H116" s="1">
        <v>2</v>
      </c>
      <c r="I116" s="1">
        <v>8</v>
      </c>
      <c r="J116" s="1"/>
      <c r="K116" s="1"/>
    </row>
    <row r="117" spans="1:11" ht="15.75" customHeight="1">
      <c r="A117" s="61" t="s">
        <v>319</v>
      </c>
      <c r="B117" s="1">
        <v>17</v>
      </c>
      <c r="C117">
        <v>1598</v>
      </c>
      <c r="D117">
        <v>655</v>
      </c>
      <c r="E117">
        <f t="shared" si="1"/>
        <v>943</v>
      </c>
      <c r="F117" s="1">
        <v>655</v>
      </c>
      <c r="G117">
        <f t="shared" si="2"/>
        <v>0</v>
      </c>
      <c r="H117" s="1">
        <v>0</v>
      </c>
      <c r="I117" s="1">
        <v>144</v>
      </c>
      <c r="J117" s="1"/>
      <c r="K117" s="1"/>
    </row>
    <row r="118" spans="1:11" ht="15.75" customHeight="1">
      <c r="A118" s="61" t="s">
        <v>320</v>
      </c>
      <c r="B118" s="1">
        <v>18</v>
      </c>
      <c r="C118">
        <v>851</v>
      </c>
      <c r="D118">
        <v>515</v>
      </c>
      <c r="E118">
        <f t="shared" si="1"/>
        <v>336</v>
      </c>
      <c r="F118" s="1">
        <v>600</v>
      </c>
      <c r="G118">
        <f t="shared" si="2"/>
        <v>85</v>
      </c>
      <c r="H118" s="1">
        <v>0</v>
      </c>
      <c r="I118" s="1">
        <v>65</v>
      </c>
      <c r="J118" s="1"/>
      <c r="K118" s="1"/>
    </row>
    <row r="119" spans="1:11" ht="15.75" customHeight="1">
      <c r="A119" s="62" t="s">
        <v>321</v>
      </c>
      <c r="B119" s="1">
        <v>19</v>
      </c>
      <c r="C119">
        <v>1187</v>
      </c>
      <c r="D119" s="56">
        <v>2100</v>
      </c>
      <c r="E119">
        <f t="shared" si="1"/>
        <v>-913</v>
      </c>
      <c r="F119" s="1">
        <v>2100</v>
      </c>
      <c r="G119">
        <f t="shared" si="2"/>
        <v>0</v>
      </c>
      <c r="H119" s="1">
        <v>0</v>
      </c>
      <c r="I119" s="1">
        <v>-43</v>
      </c>
      <c r="J119" s="1"/>
      <c r="K119" s="1"/>
    </row>
    <row r="120" spans="1:11" ht="15.75" customHeight="1">
      <c r="A120" s="61" t="s">
        <v>322</v>
      </c>
      <c r="B120" s="1">
        <v>20</v>
      </c>
      <c r="C120">
        <v>1010</v>
      </c>
      <c r="D120">
        <v>330</v>
      </c>
      <c r="E120">
        <f t="shared" si="1"/>
        <v>680</v>
      </c>
      <c r="F120" s="1">
        <v>600</v>
      </c>
      <c r="G120">
        <f t="shared" si="2"/>
        <v>270</v>
      </c>
      <c r="H120" s="1">
        <v>2</v>
      </c>
      <c r="I120" s="1">
        <v>206</v>
      </c>
      <c r="J120" s="1"/>
      <c r="K120" s="1"/>
    </row>
    <row r="121" spans="1:11" ht="15.75" customHeight="1">
      <c r="A121" s="61" t="s">
        <v>323</v>
      </c>
      <c r="B121" s="1">
        <v>21</v>
      </c>
      <c r="C121">
        <v>790</v>
      </c>
      <c r="D121">
        <v>320</v>
      </c>
      <c r="E121">
        <f t="shared" si="1"/>
        <v>470</v>
      </c>
      <c r="F121" s="1">
        <v>600</v>
      </c>
      <c r="G121">
        <f t="shared" si="2"/>
        <v>280</v>
      </c>
      <c r="H121" s="1">
        <v>2</v>
      </c>
      <c r="I121" s="1">
        <v>147</v>
      </c>
      <c r="J121" s="1"/>
      <c r="K121" s="1"/>
    </row>
    <row r="122" spans="1:11" ht="15.75" customHeight="1">
      <c r="A122" s="61" t="s">
        <v>324</v>
      </c>
      <c r="B122" s="1">
        <v>22</v>
      </c>
      <c r="C122">
        <v>960</v>
      </c>
      <c r="D122">
        <v>590</v>
      </c>
      <c r="E122">
        <f t="shared" si="1"/>
        <v>370</v>
      </c>
      <c r="F122" s="1">
        <v>600</v>
      </c>
      <c r="G122">
        <f t="shared" si="2"/>
        <v>10</v>
      </c>
      <c r="H122" s="1">
        <v>0</v>
      </c>
      <c r="I122" s="1">
        <v>63</v>
      </c>
      <c r="J122" s="1"/>
      <c r="K122" s="1"/>
    </row>
    <row r="123" spans="1:11" ht="15.75" customHeight="1">
      <c r="A123" s="61" t="s">
        <v>325</v>
      </c>
      <c r="B123" s="1">
        <v>23</v>
      </c>
      <c r="C123">
        <v>406</v>
      </c>
      <c r="D123">
        <v>665</v>
      </c>
      <c r="E123">
        <f t="shared" si="1"/>
        <v>-259</v>
      </c>
      <c r="F123" s="1">
        <v>600</v>
      </c>
      <c r="G123">
        <f t="shared" si="2"/>
        <v>-65</v>
      </c>
      <c r="H123" s="1">
        <v>0</v>
      </c>
      <c r="I123" s="1">
        <v>-39</v>
      </c>
      <c r="J123" s="1"/>
      <c r="K123" s="1"/>
    </row>
    <row r="124" spans="1:11" ht="15.75" customHeight="1">
      <c r="A124" s="61" t="s">
        <v>326</v>
      </c>
      <c r="B124" s="1">
        <v>24</v>
      </c>
      <c r="C124">
        <v>481</v>
      </c>
      <c r="D124">
        <v>490</v>
      </c>
      <c r="E124">
        <f t="shared" si="1"/>
        <v>-9</v>
      </c>
      <c r="F124" s="1">
        <v>600</v>
      </c>
      <c r="G124">
        <f t="shared" si="2"/>
        <v>110</v>
      </c>
      <c r="H124" s="1">
        <v>1</v>
      </c>
      <c r="I124" s="1">
        <v>-2</v>
      </c>
      <c r="J124" s="1"/>
      <c r="K124" s="1"/>
    </row>
    <row r="125" spans="1:11" ht="15.75" customHeight="1">
      <c r="A125" s="61" t="s">
        <v>327</v>
      </c>
      <c r="B125" s="1">
        <v>25</v>
      </c>
      <c r="C125">
        <v>812</v>
      </c>
      <c r="D125">
        <v>515</v>
      </c>
      <c r="E125">
        <f t="shared" si="1"/>
        <v>297</v>
      </c>
      <c r="F125" s="1">
        <v>600</v>
      </c>
      <c r="G125">
        <f t="shared" si="2"/>
        <v>85</v>
      </c>
      <c r="H125" s="1">
        <v>0</v>
      </c>
      <c r="I125" s="1">
        <v>58</v>
      </c>
      <c r="J125" s="1"/>
      <c r="K125" s="1"/>
    </row>
    <row r="126" spans="1:11" ht="15.75" customHeight="1">
      <c r="A126" s="61" t="s">
        <v>328</v>
      </c>
      <c r="B126" s="1">
        <v>26</v>
      </c>
      <c r="C126">
        <v>747</v>
      </c>
      <c r="D126">
        <v>490</v>
      </c>
      <c r="E126">
        <f t="shared" si="1"/>
        <v>257</v>
      </c>
      <c r="F126" s="1">
        <v>600</v>
      </c>
      <c r="G126">
        <f t="shared" si="2"/>
        <v>110</v>
      </c>
      <c r="H126" s="1">
        <v>1</v>
      </c>
      <c r="I126" s="1">
        <v>52</v>
      </c>
      <c r="J126" s="1"/>
      <c r="K126" s="1"/>
    </row>
    <row r="127" spans="1:11" ht="15.75" customHeight="1">
      <c r="A127" s="61" t="s">
        <v>329</v>
      </c>
      <c r="B127" s="1">
        <v>27</v>
      </c>
      <c r="C127">
        <v>416</v>
      </c>
      <c r="D127">
        <v>365</v>
      </c>
      <c r="E127">
        <f t="shared" si="1"/>
        <v>51</v>
      </c>
      <c r="F127" s="1">
        <v>600</v>
      </c>
      <c r="G127">
        <f t="shared" si="2"/>
        <v>235</v>
      </c>
      <c r="H127" s="1">
        <v>2</v>
      </c>
      <c r="I127" s="1">
        <v>14</v>
      </c>
      <c r="J127" s="1"/>
      <c r="K127" s="1"/>
    </row>
    <row r="128" spans="1:11" ht="15.75" customHeight="1">
      <c r="A128" s="61" t="s">
        <v>330</v>
      </c>
      <c r="B128" s="1">
        <v>28</v>
      </c>
      <c r="C128">
        <v>755</v>
      </c>
      <c r="D128">
        <v>585</v>
      </c>
      <c r="E128">
        <f t="shared" si="1"/>
        <v>170</v>
      </c>
      <c r="F128" s="1">
        <v>600</v>
      </c>
      <c r="G128">
        <f t="shared" si="2"/>
        <v>15</v>
      </c>
      <c r="H128" s="1">
        <v>0</v>
      </c>
      <c r="I128" s="1">
        <v>29</v>
      </c>
      <c r="J128" s="1"/>
      <c r="K128" s="1"/>
    </row>
    <row r="129" spans="1:11" ht="15.75" customHeight="1">
      <c r="A129" s="61" t="s">
        <v>331</v>
      </c>
      <c r="B129" s="1">
        <v>29</v>
      </c>
      <c r="C129">
        <v>247</v>
      </c>
      <c r="D129" s="47">
        <v>645</v>
      </c>
      <c r="E129">
        <f t="shared" si="1"/>
        <v>-398</v>
      </c>
      <c r="F129" s="1">
        <v>1125</v>
      </c>
      <c r="G129">
        <f t="shared" si="2"/>
        <v>480</v>
      </c>
      <c r="H129" s="1">
        <v>4</v>
      </c>
      <c r="I129" s="1">
        <v>-62</v>
      </c>
      <c r="J129" s="1"/>
      <c r="K129" s="1"/>
    </row>
    <row r="130" spans="1:11" ht="15.75" customHeight="1">
      <c r="A130" s="61" t="s">
        <v>332</v>
      </c>
      <c r="B130" s="1">
        <v>30</v>
      </c>
      <c r="C130">
        <v>244</v>
      </c>
      <c r="D130">
        <v>415</v>
      </c>
      <c r="E130">
        <f t="shared" si="1"/>
        <v>-171</v>
      </c>
      <c r="F130" s="1">
        <v>600</v>
      </c>
      <c r="G130">
        <f t="shared" si="2"/>
        <v>185</v>
      </c>
      <c r="H130" s="1">
        <v>1</v>
      </c>
      <c r="I130" s="1">
        <v>-41</v>
      </c>
      <c r="J130" s="1"/>
      <c r="K130" s="1"/>
    </row>
    <row r="131" spans="1:11" ht="15.75" customHeight="1">
      <c r="A131" s="61" t="s">
        <v>333</v>
      </c>
      <c r="B131" s="1">
        <v>31</v>
      </c>
      <c r="C131">
        <v>526</v>
      </c>
      <c r="D131">
        <v>365</v>
      </c>
      <c r="E131">
        <f t="shared" si="1"/>
        <v>161</v>
      </c>
      <c r="F131" s="1">
        <v>600</v>
      </c>
      <c r="G131">
        <f t="shared" si="2"/>
        <v>235</v>
      </c>
      <c r="H131" s="1">
        <v>2</v>
      </c>
      <c r="I131" s="1">
        <v>44</v>
      </c>
      <c r="J131" s="1"/>
      <c r="K131" s="1"/>
    </row>
    <row r="132" spans="1:11" ht="15.75" customHeight="1">
      <c r="A132" s="61" t="s">
        <v>334</v>
      </c>
      <c r="B132" s="1">
        <v>32</v>
      </c>
      <c r="C132">
        <v>659</v>
      </c>
      <c r="D132">
        <v>490</v>
      </c>
      <c r="E132">
        <f t="shared" si="1"/>
        <v>169</v>
      </c>
      <c r="F132" s="1">
        <v>600</v>
      </c>
      <c r="G132">
        <f t="shared" si="2"/>
        <v>110</v>
      </c>
      <c r="H132" s="1">
        <v>1</v>
      </c>
      <c r="I132" s="1">
        <v>34</v>
      </c>
      <c r="J132" s="1"/>
      <c r="K132" s="1"/>
    </row>
    <row r="133" spans="1:11" ht="15.75" customHeight="1">
      <c r="A133" s="61" t="s">
        <v>335</v>
      </c>
      <c r="B133" s="1">
        <v>33</v>
      </c>
      <c r="C133">
        <v>921</v>
      </c>
      <c r="D133">
        <v>530</v>
      </c>
      <c r="E133">
        <f t="shared" si="1"/>
        <v>391</v>
      </c>
      <c r="F133" s="1">
        <v>600</v>
      </c>
      <c r="G133">
        <f t="shared" si="2"/>
        <v>70</v>
      </c>
      <c r="H133" s="1">
        <v>0</v>
      </c>
      <c r="I133" s="1">
        <v>74</v>
      </c>
      <c r="J133" s="1"/>
      <c r="K133" s="1"/>
    </row>
    <row r="134" spans="1:11" ht="15.75" customHeight="1">
      <c r="A134" s="61" t="s">
        <v>336</v>
      </c>
      <c r="B134" s="1">
        <v>34</v>
      </c>
      <c r="C134">
        <v>594</v>
      </c>
      <c r="D134">
        <v>390</v>
      </c>
      <c r="E134">
        <f t="shared" si="1"/>
        <v>204</v>
      </c>
      <c r="F134" s="1">
        <v>600</v>
      </c>
      <c r="G134">
        <f t="shared" si="2"/>
        <v>210</v>
      </c>
      <c r="H134" s="1">
        <v>2</v>
      </c>
      <c r="I134" s="1">
        <v>52</v>
      </c>
      <c r="J134" s="1"/>
      <c r="K134" s="1"/>
    </row>
    <row r="135" spans="1:11" ht="15.75" customHeight="1">
      <c r="A135" s="61" t="s">
        <v>337</v>
      </c>
      <c r="B135" s="1">
        <v>35</v>
      </c>
      <c r="C135">
        <v>720</v>
      </c>
      <c r="D135">
        <v>440</v>
      </c>
      <c r="E135">
        <f t="shared" si="1"/>
        <v>280</v>
      </c>
      <c r="F135" s="1">
        <v>600</v>
      </c>
      <c r="G135">
        <f t="shared" si="2"/>
        <v>160</v>
      </c>
      <c r="H135" s="1">
        <v>1</v>
      </c>
      <c r="I135" s="1">
        <v>64</v>
      </c>
      <c r="J135" s="1"/>
      <c r="K135" s="1"/>
    </row>
    <row r="136" spans="1:11" ht="15.75" customHeight="1">
      <c r="A136" s="61" t="s">
        <v>338</v>
      </c>
      <c r="B136" s="1">
        <v>36</v>
      </c>
      <c r="C136">
        <v>806</v>
      </c>
      <c r="D136">
        <v>465</v>
      </c>
      <c r="E136">
        <f t="shared" si="1"/>
        <v>341</v>
      </c>
      <c r="F136" s="1">
        <v>600</v>
      </c>
      <c r="G136">
        <f t="shared" si="2"/>
        <v>135</v>
      </c>
      <c r="H136" s="1">
        <v>1</v>
      </c>
      <c r="I136" s="1">
        <v>73</v>
      </c>
      <c r="J136" s="1"/>
      <c r="K136" s="1"/>
    </row>
    <row r="137" spans="1:11" ht="15.75" customHeight="1">
      <c r="A137" s="61" t="s">
        <v>339</v>
      </c>
      <c r="B137" s="1">
        <v>37</v>
      </c>
      <c r="C137">
        <v>515</v>
      </c>
      <c r="D137">
        <v>610</v>
      </c>
      <c r="E137">
        <f t="shared" si="1"/>
        <v>-95</v>
      </c>
      <c r="F137" s="1">
        <v>610</v>
      </c>
      <c r="G137">
        <f t="shared" si="2"/>
        <v>0</v>
      </c>
      <c r="H137" s="1">
        <v>0</v>
      </c>
      <c r="I137" s="1">
        <v>-16</v>
      </c>
      <c r="J137" s="1"/>
      <c r="K137" s="1"/>
    </row>
    <row r="138" spans="1:11" ht="15.75" customHeight="1">
      <c r="A138" s="61" t="s">
        <v>340</v>
      </c>
      <c r="B138" s="1">
        <v>38</v>
      </c>
      <c r="C138">
        <v>336</v>
      </c>
      <c r="D138">
        <v>290</v>
      </c>
      <c r="E138">
        <f t="shared" si="1"/>
        <v>46</v>
      </c>
      <c r="F138" s="1">
        <v>600</v>
      </c>
      <c r="G138">
        <f t="shared" si="2"/>
        <v>310</v>
      </c>
      <c r="H138" s="1">
        <v>3</v>
      </c>
      <c r="I138" s="1">
        <v>16</v>
      </c>
      <c r="J138" s="1"/>
      <c r="K138" s="1"/>
    </row>
    <row r="139" spans="1:11" ht="15.75" customHeight="1">
      <c r="A139" s="61" t="s">
        <v>341</v>
      </c>
      <c r="B139" s="1">
        <v>39</v>
      </c>
      <c r="C139">
        <v>269</v>
      </c>
      <c r="D139">
        <v>540</v>
      </c>
      <c r="E139">
        <f t="shared" si="1"/>
        <v>-271</v>
      </c>
      <c r="F139" s="1">
        <v>600</v>
      </c>
      <c r="G139">
        <f t="shared" si="2"/>
        <v>60</v>
      </c>
      <c r="H139" s="1">
        <v>0</v>
      </c>
      <c r="I139" s="1">
        <v>-50</v>
      </c>
      <c r="J139" s="1"/>
      <c r="K139" s="1"/>
    </row>
    <row r="140" spans="1:11" ht="15.75" customHeight="1">
      <c r="A140" s="61" t="s">
        <v>342</v>
      </c>
      <c r="B140" s="1">
        <v>40</v>
      </c>
      <c r="C140">
        <v>280</v>
      </c>
      <c r="D140">
        <v>455</v>
      </c>
      <c r="E140">
        <f t="shared" si="1"/>
        <v>-175</v>
      </c>
      <c r="F140" s="1">
        <v>600</v>
      </c>
      <c r="G140">
        <f t="shared" si="2"/>
        <v>145</v>
      </c>
      <c r="H140" s="1">
        <v>1</v>
      </c>
      <c r="I140" s="1">
        <v>-38</v>
      </c>
      <c r="J140" s="1"/>
      <c r="K140" s="1"/>
    </row>
    <row r="141" spans="1:11" ht="15.75" customHeight="1">
      <c r="A141" s="61" t="s">
        <v>343</v>
      </c>
      <c r="B141" s="1">
        <v>41</v>
      </c>
      <c r="C141">
        <v>630</v>
      </c>
      <c r="D141">
        <v>635</v>
      </c>
      <c r="E141">
        <f t="shared" si="1"/>
        <v>-5</v>
      </c>
      <c r="F141" s="1">
        <v>635</v>
      </c>
      <c r="G141">
        <f t="shared" si="2"/>
        <v>0</v>
      </c>
      <c r="H141" s="1">
        <v>0</v>
      </c>
      <c r="I141" s="1">
        <v>-1</v>
      </c>
      <c r="J141" s="1"/>
      <c r="K141" s="1"/>
    </row>
    <row r="142" spans="1:11" ht="15.75" customHeight="1">
      <c r="A142" s="61" t="s">
        <v>344</v>
      </c>
      <c r="B142" s="1">
        <v>42</v>
      </c>
      <c r="C142">
        <v>357</v>
      </c>
      <c r="D142">
        <v>305</v>
      </c>
      <c r="E142">
        <f t="shared" si="1"/>
        <v>52</v>
      </c>
      <c r="F142" s="1">
        <v>600</v>
      </c>
      <c r="G142">
        <f t="shared" si="2"/>
        <v>295</v>
      </c>
      <c r="H142" s="1">
        <v>2</v>
      </c>
      <c r="I142" s="1">
        <v>17</v>
      </c>
      <c r="J142" s="1"/>
      <c r="K142" s="1"/>
    </row>
    <row r="143" spans="1:11" ht="15.75" customHeight="1">
      <c r="A143" s="61" t="s">
        <v>345</v>
      </c>
      <c r="B143" s="1">
        <v>43</v>
      </c>
      <c r="C143">
        <v>508</v>
      </c>
      <c r="D143">
        <v>510</v>
      </c>
      <c r="E143">
        <f t="shared" si="1"/>
        <v>-2</v>
      </c>
      <c r="F143" s="1">
        <v>600</v>
      </c>
      <c r="G143">
        <f t="shared" si="2"/>
        <v>90</v>
      </c>
      <c r="H143" s="1">
        <v>0</v>
      </c>
      <c r="I143" s="1">
        <v>0</v>
      </c>
      <c r="J143" s="1"/>
      <c r="K143" s="1"/>
    </row>
    <row r="144" spans="1:11" ht="15.75" customHeight="1">
      <c r="A144" s="61" t="s">
        <v>349</v>
      </c>
      <c r="B144" s="1">
        <v>44</v>
      </c>
      <c r="C144">
        <v>318</v>
      </c>
      <c r="D144">
        <v>170</v>
      </c>
      <c r="E144">
        <f t="shared" si="1"/>
        <v>148</v>
      </c>
      <c r="F144" s="1">
        <v>600</v>
      </c>
      <c r="G144">
        <f t="shared" si="2"/>
        <v>430</v>
      </c>
      <c r="H144" s="1">
        <v>4</v>
      </c>
      <c r="I144" s="1">
        <v>87</v>
      </c>
      <c r="J144" s="1"/>
      <c r="K144" s="1"/>
    </row>
    <row r="145" spans="1:11" ht="15.75" customHeight="1">
      <c r="A145" s="62" t="s">
        <v>350</v>
      </c>
      <c r="B145" s="1">
        <v>45</v>
      </c>
      <c r="C145">
        <v>564</v>
      </c>
      <c r="D145">
        <v>457</v>
      </c>
      <c r="E145">
        <f t="shared" si="1"/>
        <v>107</v>
      </c>
      <c r="F145" s="1">
        <v>457</v>
      </c>
      <c r="G145">
        <f t="shared" si="2"/>
        <v>0</v>
      </c>
      <c r="H145" s="1">
        <v>0</v>
      </c>
      <c r="I145" s="1">
        <v>23</v>
      </c>
      <c r="J145" s="1"/>
      <c r="K145" s="1"/>
    </row>
    <row r="146" spans="1:11" ht="15.75" customHeight="1">
      <c r="A146" s="61" t="s">
        <v>351</v>
      </c>
      <c r="B146" s="1">
        <v>46</v>
      </c>
      <c r="C146">
        <v>771</v>
      </c>
      <c r="D146">
        <v>440</v>
      </c>
      <c r="E146">
        <f t="shared" si="1"/>
        <v>331</v>
      </c>
      <c r="F146" s="1">
        <v>600</v>
      </c>
      <c r="G146">
        <f t="shared" si="2"/>
        <v>160</v>
      </c>
      <c r="H146" s="1">
        <v>1</v>
      </c>
      <c r="I146" s="1">
        <v>75</v>
      </c>
      <c r="J146" s="1"/>
      <c r="K146" s="1"/>
    </row>
    <row r="147" spans="1:11" ht="15.75" customHeight="1">
      <c r="A147" s="61" t="s">
        <v>352</v>
      </c>
      <c r="B147" s="1">
        <v>47</v>
      </c>
      <c r="C147">
        <v>1278</v>
      </c>
      <c r="D147">
        <v>590</v>
      </c>
      <c r="E147">
        <f t="shared" si="1"/>
        <v>688</v>
      </c>
      <c r="F147" s="1">
        <v>600</v>
      </c>
      <c r="G147">
        <f t="shared" si="2"/>
        <v>10</v>
      </c>
      <c r="H147" s="1">
        <v>0</v>
      </c>
      <c r="I147" s="1">
        <v>117</v>
      </c>
      <c r="J147" s="1"/>
      <c r="K147" s="1"/>
    </row>
    <row r="148" spans="1:11" ht="15.75" customHeight="1">
      <c r="A148" s="62" t="s">
        <v>353</v>
      </c>
      <c r="B148" s="1">
        <v>48</v>
      </c>
      <c r="C148">
        <v>902</v>
      </c>
      <c r="D148">
        <v>555</v>
      </c>
      <c r="E148">
        <f t="shared" si="1"/>
        <v>347</v>
      </c>
      <c r="F148" s="1">
        <v>555</v>
      </c>
      <c r="G148">
        <f t="shared" si="2"/>
        <v>0</v>
      </c>
      <c r="H148" s="1">
        <v>0</v>
      </c>
      <c r="I148" s="1">
        <v>63</v>
      </c>
      <c r="J148" s="1"/>
      <c r="K148" s="1"/>
    </row>
    <row r="149" spans="1:11" ht="15.75" customHeight="1">
      <c r="A149" s="61" t="s">
        <v>354</v>
      </c>
      <c r="B149" s="1">
        <v>49</v>
      </c>
      <c r="C149">
        <v>687</v>
      </c>
      <c r="D149">
        <v>615</v>
      </c>
      <c r="E149">
        <f t="shared" si="1"/>
        <v>72</v>
      </c>
      <c r="F149" s="1">
        <v>615</v>
      </c>
      <c r="G149">
        <f t="shared" si="2"/>
        <v>0</v>
      </c>
      <c r="H149" s="1">
        <v>0</v>
      </c>
      <c r="I149" s="1">
        <v>12</v>
      </c>
      <c r="J149" s="1"/>
      <c r="K149" s="1"/>
    </row>
    <row r="150" spans="1:11" ht="15.75" customHeight="1">
      <c r="A150" s="61" t="s">
        <v>355</v>
      </c>
      <c r="B150" s="1">
        <v>50</v>
      </c>
      <c r="C150">
        <v>501</v>
      </c>
      <c r="D150">
        <v>245</v>
      </c>
      <c r="E150">
        <f t="shared" si="1"/>
        <v>256</v>
      </c>
      <c r="F150" s="1">
        <v>600</v>
      </c>
      <c r="G150">
        <f t="shared" si="2"/>
        <v>355</v>
      </c>
      <c r="H150" s="1">
        <v>3</v>
      </c>
      <c r="I150" s="1">
        <v>104</v>
      </c>
      <c r="J150" s="1"/>
      <c r="K150" s="1"/>
    </row>
    <row r="151" spans="1:11" ht="15.75" customHeight="1">
      <c r="A151" s="61" t="s">
        <v>356</v>
      </c>
      <c r="B151" s="1">
        <v>51</v>
      </c>
      <c r="C151">
        <v>247</v>
      </c>
      <c r="D151">
        <v>645</v>
      </c>
      <c r="E151">
        <f t="shared" si="1"/>
        <v>-398</v>
      </c>
      <c r="F151" s="1">
        <v>1200</v>
      </c>
      <c r="G151">
        <f t="shared" si="2"/>
        <v>555</v>
      </c>
      <c r="H151" s="1">
        <v>5</v>
      </c>
      <c r="I151" s="1">
        <v>-62</v>
      </c>
      <c r="J151" s="1"/>
      <c r="K151" s="1"/>
    </row>
    <row r="152" spans="1:11" ht="15.75" customHeight="1">
      <c r="A152" s="61" t="s">
        <v>357</v>
      </c>
      <c r="B152" s="1">
        <v>52</v>
      </c>
      <c r="C152">
        <v>1067</v>
      </c>
      <c r="D152">
        <v>565</v>
      </c>
      <c r="E152">
        <f t="shared" si="1"/>
        <v>502</v>
      </c>
      <c r="F152" s="1">
        <v>600</v>
      </c>
      <c r="G152">
        <f t="shared" si="2"/>
        <v>35</v>
      </c>
      <c r="H152" s="1">
        <v>0</v>
      </c>
      <c r="I152" s="1">
        <v>89</v>
      </c>
      <c r="J152" s="1"/>
      <c r="K152" s="1"/>
    </row>
    <row r="153" spans="1:11" ht="15.75" customHeight="1">
      <c r="A153" s="61" t="s">
        <v>358</v>
      </c>
      <c r="B153" s="1">
        <v>53</v>
      </c>
      <c r="C153">
        <v>1187</v>
      </c>
      <c r="D153">
        <v>530</v>
      </c>
      <c r="E153">
        <f t="shared" si="1"/>
        <v>657</v>
      </c>
      <c r="F153" s="1">
        <v>600</v>
      </c>
      <c r="G153">
        <f t="shared" si="2"/>
        <v>70</v>
      </c>
      <c r="H153" s="1">
        <v>0</v>
      </c>
      <c r="I153" s="1">
        <v>124</v>
      </c>
      <c r="J153" s="1"/>
      <c r="K153" s="1"/>
    </row>
    <row r="154" spans="1:11" ht="15.75" customHeight="1">
      <c r="A154" s="61" t="s">
        <v>359</v>
      </c>
      <c r="B154" s="1">
        <v>54</v>
      </c>
      <c r="C154">
        <v>980</v>
      </c>
      <c r="D154">
        <v>480</v>
      </c>
      <c r="E154">
        <f t="shared" si="1"/>
        <v>500</v>
      </c>
      <c r="F154" s="1">
        <v>600</v>
      </c>
      <c r="G154">
        <f t="shared" si="2"/>
        <v>120</v>
      </c>
      <c r="H154" s="1">
        <v>1</v>
      </c>
      <c r="I154" s="1">
        <v>104</v>
      </c>
      <c r="J154" s="1"/>
      <c r="K154" s="1"/>
    </row>
    <row r="155" spans="1:11" ht="15.75" customHeight="1">
      <c r="A155" s="61" t="s">
        <v>360</v>
      </c>
      <c r="B155" s="1">
        <v>55</v>
      </c>
      <c r="C155">
        <v>395</v>
      </c>
      <c r="D155">
        <v>240</v>
      </c>
      <c r="E155">
        <f t="shared" si="1"/>
        <v>155</v>
      </c>
      <c r="F155" s="1">
        <v>600</v>
      </c>
      <c r="G155">
        <f t="shared" si="2"/>
        <v>360</v>
      </c>
      <c r="H155" s="1">
        <v>3</v>
      </c>
      <c r="I155" s="1">
        <v>65</v>
      </c>
      <c r="J155" s="1"/>
      <c r="K155" s="1"/>
    </row>
    <row r="156" spans="1:11" ht="15.75" customHeight="1">
      <c r="A156" s="61" t="s">
        <v>361</v>
      </c>
      <c r="B156" s="1">
        <v>56</v>
      </c>
      <c r="C156">
        <v>826</v>
      </c>
      <c r="D156">
        <v>565</v>
      </c>
      <c r="E156">
        <f t="shared" si="1"/>
        <v>261</v>
      </c>
      <c r="F156" s="1">
        <v>600</v>
      </c>
      <c r="G156">
        <f t="shared" si="2"/>
        <v>35</v>
      </c>
      <c r="H156" s="1">
        <v>0</v>
      </c>
      <c r="I156" s="1">
        <v>46</v>
      </c>
      <c r="J156" s="1"/>
      <c r="K156" s="1"/>
    </row>
    <row r="157" spans="1:11" ht="15.75" customHeight="1">
      <c r="A157" s="61" t="s">
        <v>362</v>
      </c>
      <c r="B157" s="1">
        <v>57</v>
      </c>
      <c r="C157">
        <v>872</v>
      </c>
      <c r="D157">
        <v>440</v>
      </c>
      <c r="E157">
        <f t="shared" si="1"/>
        <v>432</v>
      </c>
      <c r="F157" s="1">
        <v>600</v>
      </c>
      <c r="G157">
        <f t="shared" si="2"/>
        <v>160</v>
      </c>
      <c r="H157" s="1">
        <v>1</v>
      </c>
      <c r="I157" s="1">
        <v>98</v>
      </c>
      <c r="J157" s="1"/>
      <c r="K157" s="1"/>
    </row>
    <row r="158" spans="1:11" ht="15.75" customHeight="1">
      <c r="A158" s="61" t="s">
        <v>363</v>
      </c>
      <c r="B158" s="1">
        <v>58</v>
      </c>
      <c r="C158">
        <v>370</v>
      </c>
      <c r="D158">
        <v>295</v>
      </c>
      <c r="E158">
        <f t="shared" si="1"/>
        <v>75</v>
      </c>
      <c r="F158" s="1">
        <v>600</v>
      </c>
      <c r="G158">
        <f t="shared" si="2"/>
        <v>305</v>
      </c>
      <c r="H158" s="1">
        <v>3</v>
      </c>
      <c r="I158" s="1">
        <v>25</v>
      </c>
      <c r="J158" s="1"/>
      <c r="K158" s="1"/>
    </row>
    <row r="159" spans="1:11" ht="15.75" customHeight="1">
      <c r="A159" s="61" t="s">
        <v>364</v>
      </c>
      <c r="B159" s="1">
        <v>59</v>
      </c>
      <c r="C159">
        <v>450</v>
      </c>
      <c r="D159">
        <v>515</v>
      </c>
      <c r="E159">
        <f t="shared" si="1"/>
        <v>-65</v>
      </c>
      <c r="F159" s="1">
        <v>600</v>
      </c>
      <c r="G159">
        <f t="shared" si="2"/>
        <v>85</v>
      </c>
      <c r="H159" s="1">
        <v>0</v>
      </c>
      <c r="I159" s="1">
        <v>-13</v>
      </c>
      <c r="J159" s="1"/>
      <c r="K159" s="1"/>
    </row>
    <row r="160" spans="1:11" ht="15.75" customHeight="1">
      <c r="A160" s="61" t="s">
        <v>365</v>
      </c>
      <c r="B160" s="1">
        <v>60</v>
      </c>
      <c r="C160">
        <v>389</v>
      </c>
      <c r="D160">
        <v>415</v>
      </c>
      <c r="E160">
        <f t="shared" si="1"/>
        <v>-26</v>
      </c>
      <c r="F160" s="1">
        <v>600</v>
      </c>
      <c r="G160">
        <f t="shared" si="2"/>
        <v>185</v>
      </c>
      <c r="H160" s="1">
        <v>1</v>
      </c>
      <c r="I160" s="1">
        <v>-6</v>
      </c>
      <c r="J160" s="1"/>
      <c r="K160" s="1"/>
    </row>
    <row r="161" spans="1:11" ht="15.75" customHeight="1">
      <c r="A161" s="62" t="s">
        <v>366</v>
      </c>
      <c r="B161" s="1">
        <v>61</v>
      </c>
      <c r="C161">
        <v>1038</v>
      </c>
      <c r="D161">
        <v>605</v>
      </c>
      <c r="E161">
        <f t="shared" si="1"/>
        <v>433</v>
      </c>
      <c r="F161" s="1">
        <v>605</v>
      </c>
      <c r="G161">
        <f t="shared" si="2"/>
        <v>0</v>
      </c>
      <c r="H161" s="1">
        <v>0</v>
      </c>
      <c r="I161" s="1">
        <v>72</v>
      </c>
      <c r="J161" s="1"/>
      <c r="K161" s="1"/>
    </row>
    <row r="162" spans="1:11" ht="15.75" customHeight="1">
      <c r="A162" s="61" t="s">
        <v>367</v>
      </c>
      <c r="B162" s="1">
        <v>62</v>
      </c>
      <c r="C162">
        <v>402</v>
      </c>
      <c r="D162">
        <v>315</v>
      </c>
      <c r="E162">
        <f t="shared" si="1"/>
        <v>87</v>
      </c>
      <c r="F162" s="1">
        <v>600</v>
      </c>
      <c r="G162">
        <f t="shared" si="2"/>
        <v>285</v>
      </c>
      <c r="H162" s="1">
        <v>2</v>
      </c>
      <c r="I162" s="1">
        <v>28</v>
      </c>
      <c r="J162" s="1"/>
      <c r="K162" s="1"/>
    </row>
    <row r="163" spans="1:11" ht="15.75" customHeight="1">
      <c r="A163" s="61" t="s">
        <v>368</v>
      </c>
      <c r="B163" s="1">
        <v>63</v>
      </c>
      <c r="C163">
        <v>800</v>
      </c>
      <c r="D163">
        <v>490</v>
      </c>
      <c r="E163">
        <f t="shared" si="1"/>
        <v>310</v>
      </c>
      <c r="F163" s="1">
        <v>600</v>
      </c>
      <c r="G163">
        <f t="shared" si="2"/>
        <v>110</v>
      </c>
      <c r="H163" s="1">
        <v>1</v>
      </c>
      <c r="I163" s="1">
        <v>63</v>
      </c>
      <c r="J163" s="1"/>
      <c r="K163" s="1"/>
    </row>
    <row r="164" spans="1:11" ht="15.75" customHeight="1">
      <c r="A164" s="61" t="s">
        <v>369</v>
      </c>
      <c r="B164" s="1">
        <v>64</v>
      </c>
      <c r="C164">
        <v>643</v>
      </c>
      <c r="D164">
        <v>515</v>
      </c>
      <c r="E164">
        <f t="shared" si="1"/>
        <v>128</v>
      </c>
      <c r="F164" s="1">
        <v>600</v>
      </c>
      <c r="G164">
        <f t="shared" si="2"/>
        <v>85</v>
      </c>
      <c r="H164" s="1">
        <v>0</v>
      </c>
      <c r="I164" s="1">
        <v>25</v>
      </c>
      <c r="J164" s="1"/>
      <c r="K164" s="1"/>
    </row>
    <row r="165" spans="1:11" ht="15.75" customHeight="1">
      <c r="A165" s="61" t="s">
        <v>370</v>
      </c>
      <c r="B165" s="1">
        <v>65</v>
      </c>
      <c r="C165">
        <v>1183</v>
      </c>
      <c r="D165">
        <v>610</v>
      </c>
      <c r="E165">
        <f t="shared" si="1"/>
        <v>573</v>
      </c>
      <c r="F165" s="1">
        <v>600</v>
      </c>
      <c r="G165" s="1">
        <v>610</v>
      </c>
      <c r="H165" s="1">
        <v>0</v>
      </c>
      <c r="I165" s="1">
        <v>94</v>
      </c>
      <c r="J165" s="1"/>
      <c r="K165" s="1"/>
    </row>
    <row r="166" spans="1:11" ht="15.75" customHeight="1">
      <c r="A166" s="61" t="s">
        <v>371</v>
      </c>
      <c r="B166" s="1">
        <v>66</v>
      </c>
      <c r="C166">
        <v>400</v>
      </c>
      <c r="D166">
        <v>565</v>
      </c>
      <c r="E166">
        <f t="shared" si="1"/>
        <v>-165</v>
      </c>
      <c r="F166" s="1">
        <v>600</v>
      </c>
      <c r="G166">
        <f t="shared" ref="G166:G196" si="3">F166-D166</f>
        <v>35</v>
      </c>
      <c r="H166" s="1">
        <v>0</v>
      </c>
      <c r="I166" s="1">
        <v>-29</v>
      </c>
      <c r="J166" s="1"/>
      <c r="K166" s="1"/>
    </row>
    <row r="167" spans="1:11" ht="15.75" customHeight="1">
      <c r="A167" s="61" t="s">
        <v>372</v>
      </c>
      <c r="B167" s="1">
        <v>67</v>
      </c>
      <c r="C167">
        <v>680</v>
      </c>
      <c r="D167">
        <v>490</v>
      </c>
      <c r="E167">
        <f t="shared" si="1"/>
        <v>190</v>
      </c>
      <c r="F167" s="1">
        <v>600</v>
      </c>
      <c r="G167">
        <f t="shared" si="3"/>
        <v>110</v>
      </c>
      <c r="H167" s="1">
        <v>1</v>
      </c>
      <c r="I167" s="1">
        <v>39</v>
      </c>
      <c r="J167" s="1"/>
      <c r="K167" s="1"/>
    </row>
    <row r="168" spans="1:11" ht="15.75" customHeight="1">
      <c r="A168" s="61" t="s">
        <v>373</v>
      </c>
      <c r="B168" s="1">
        <v>68</v>
      </c>
      <c r="C168">
        <v>433</v>
      </c>
      <c r="D168">
        <v>465</v>
      </c>
      <c r="E168">
        <f t="shared" si="1"/>
        <v>-32</v>
      </c>
      <c r="F168" s="1">
        <v>600</v>
      </c>
      <c r="G168">
        <f t="shared" si="3"/>
        <v>135</v>
      </c>
      <c r="H168" s="1">
        <v>1</v>
      </c>
      <c r="I168" s="1">
        <v>-7</v>
      </c>
      <c r="J168" s="1"/>
      <c r="K168" s="1"/>
    </row>
    <row r="169" spans="1:11" ht="15.75" customHeight="1">
      <c r="A169" s="61" t="s">
        <v>374</v>
      </c>
      <c r="B169" s="1">
        <v>69</v>
      </c>
      <c r="C169">
        <v>717</v>
      </c>
      <c r="D169">
        <v>440</v>
      </c>
      <c r="E169">
        <f t="shared" si="1"/>
        <v>277</v>
      </c>
      <c r="F169" s="1">
        <v>600</v>
      </c>
      <c r="G169">
        <f t="shared" si="3"/>
        <v>160</v>
      </c>
      <c r="H169" s="1">
        <v>1</v>
      </c>
      <c r="I169" s="1">
        <v>63</v>
      </c>
      <c r="J169" s="1"/>
      <c r="K169" s="1"/>
    </row>
    <row r="170" spans="1:11" ht="15.75" customHeight="1">
      <c r="A170" s="62" t="s">
        <v>375</v>
      </c>
      <c r="B170" s="1">
        <v>70</v>
      </c>
      <c r="C170">
        <v>839</v>
      </c>
      <c r="D170">
        <v>435</v>
      </c>
      <c r="E170">
        <f t="shared" si="1"/>
        <v>404</v>
      </c>
      <c r="F170" s="1">
        <v>435</v>
      </c>
      <c r="G170">
        <f t="shared" si="3"/>
        <v>0</v>
      </c>
      <c r="H170" s="1">
        <v>0</v>
      </c>
      <c r="I170" s="1">
        <v>93</v>
      </c>
      <c r="J170" s="1"/>
      <c r="K170" s="1"/>
    </row>
    <row r="171" spans="1:11" ht="15.75" customHeight="1">
      <c r="A171" s="61" t="s">
        <v>376</v>
      </c>
      <c r="B171" s="1">
        <v>71</v>
      </c>
      <c r="C171">
        <v>804</v>
      </c>
      <c r="D171">
        <v>590</v>
      </c>
      <c r="E171">
        <f t="shared" si="1"/>
        <v>214</v>
      </c>
      <c r="F171" s="1">
        <v>600</v>
      </c>
      <c r="G171">
        <f t="shared" si="3"/>
        <v>10</v>
      </c>
      <c r="H171" s="1">
        <v>0</v>
      </c>
      <c r="I171" s="1">
        <v>36</v>
      </c>
      <c r="J171" s="1"/>
      <c r="K171" s="1"/>
    </row>
    <row r="172" spans="1:11" ht="15.75" customHeight="1">
      <c r="A172" s="61" t="s">
        <v>377</v>
      </c>
      <c r="B172" s="1">
        <v>72</v>
      </c>
      <c r="C172">
        <v>798</v>
      </c>
      <c r="D172">
        <v>444</v>
      </c>
      <c r="E172">
        <f t="shared" si="1"/>
        <v>354</v>
      </c>
      <c r="F172" s="1">
        <v>600</v>
      </c>
      <c r="G172">
        <f t="shared" si="3"/>
        <v>156</v>
      </c>
      <c r="H172" s="1">
        <v>1</v>
      </c>
      <c r="I172" s="1">
        <v>80</v>
      </c>
      <c r="J172" s="1"/>
      <c r="K172" s="1"/>
    </row>
    <row r="173" spans="1:11" ht="15.75" customHeight="1">
      <c r="A173" s="61" t="s">
        <v>378</v>
      </c>
      <c r="B173" s="1">
        <v>73</v>
      </c>
      <c r="C173">
        <v>640</v>
      </c>
      <c r="D173">
        <v>415</v>
      </c>
      <c r="E173">
        <f t="shared" si="1"/>
        <v>225</v>
      </c>
      <c r="F173" s="1">
        <v>600</v>
      </c>
      <c r="G173">
        <f t="shared" si="3"/>
        <v>185</v>
      </c>
      <c r="H173" s="1">
        <v>1</v>
      </c>
      <c r="I173" s="1">
        <v>54</v>
      </c>
      <c r="J173" s="1"/>
      <c r="K173" s="1"/>
    </row>
    <row r="174" spans="1:11" ht="15.75" customHeight="1">
      <c r="A174" s="62" t="s">
        <v>379</v>
      </c>
      <c r="B174" s="1">
        <v>74</v>
      </c>
      <c r="C174">
        <v>494</v>
      </c>
      <c r="D174" s="47">
        <v>975</v>
      </c>
      <c r="E174">
        <f t="shared" si="1"/>
        <v>-481</v>
      </c>
      <c r="F174" s="1">
        <v>975</v>
      </c>
      <c r="G174">
        <f t="shared" si="3"/>
        <v>0</v>
      </c>
      <c r="H174" s="1">
        <v>0</v>
      </c>
      <c r="I174" s="1">
        <v>-49</v>
      </c>
      <c r="J174" s="1"/>
      <c r="K174" s="1"/>
    </row>
    <row r="175" spans="1:11" ht="15.75" customHeight="1">
      <c r="A175" s="61" t="s">
        <v>380</v>
      </c>
      <c r="B175" s="1">
        <v>75</v>
      </c>
      <c r="C175">
        <v>459</v>
      </c>
      <c r="D175">
        <v>315</v>
      </c>
      <c r="E175">
        <f t="shared" si="1"/>
        <v>144</v>
      </c>
      <c r="F175" s="1">
        <v>600</v>
      </c>
      <c r="G175">
        <f t="shared" si="3"/>
        <v>285</v>
      </c>
      <c r="H175" s="1">
        <v>2</v>
      </c>
      <c r="I175" s="1">
        <v>46</v>
      </c>
      <c r="J175" s="1"/>
      <c r="K175" s="1"/>
    </row>
    <row r="176" spans="1:11" ht="15.75" customHeight="1">
      <c r="A176" s="62" t="s">
        <v>381</v>
      </c>
      <c r="B176" s="1">
        <v>76</v>
      </c>
      <c r="C176">
        <v>158</v>
      </c>
      <c r="D176" s="56">
        <v>1220</v>
      </c>
      <c r="E176">
        <f t="shared" si="1"/>
        <v>-1062</v>
      </c>
      <c r="F176" s="1">
        <v>1650</v>
      </c>
      <c r="G176">
        <f t="shared" si="3"/>
        <v>430</v>
      </c>
      <c r="H176" s="1">
        <v>4</v>
      </c>
      <c r="I176" s="1">
        <v>-87</v>
      </c>
      <c r="J176" s="1"/>
      <c r="K176" s="1"/>
    </row>
    <row r="177" spans="1:11" ht="15.75" customHeight="1">
      <c r="A177" s="61" t="s">
        <v>382</v>
      </c>
      <c r="B177" s="1">
        <v>77</v>
      </c>
      <c r="C177">
        <v>829</v>
      </c>
      <c r="D177">
        <v>440</v>
      </c>
      <c r="E177">
        <f t="shared" si="1"/>
        <v>389</v>
      </c>
      <c r="F177" s="1">
        <v>600</v>
      </c>
      <c r="G177">
        <f t="shared" si="3"/>
        <v>160</v>
      </c>
      <c r="H177" s="1">
        <v>1</v>
      </c>
      <c r="I177" s="1">
        <v>88</v>
      </c>
      <c r="J177" s="1"/>
      <c r="K177" s="1"/>
    </row>
    <row r="178" spans="1:11" ht="15.75" customHeight="1">
      <c r="A178" s="61" t="s">
        <v>383</v>
      </c>
      <c r="B178" s="1">
        <v>78</v>
      </c>
      <c r="C178">
        <v>862</v>
      </c>
      <c r="D178">
        <v>395</v>
      </c>
      <c r="E178">
        <f t="shared" si="1"/>
        <v>467</v>
      </c>
      <c r="F178" s="1">
        <v>600</v>
      </c>
      <c r="G178">
        <f t="shared" si="3"/>
        <v>205</v>
      </c>
      <c r="H178" s="1">
        <v>2</v>
      </c>
      <c r="I178" s="1">
        <v>118</v>
      </c>
      <c r="J178" s="1"/>
      <c r="K178" s="1"/>
    </row>
    <row r="179" spans="1:11" ht="15.75" customHeight="1">
      <c r="A179" s="62" t="s">
        <v>384</v>
      </c>
      <c r="B179" s="1">
        <v>79</v>
      </c>
      <c r="C179">
        <v>676</v>
      </c>
      <c r="D179">
        <v>510</v>
      </c>
      <c r="E179">
        <f t="shared" si="1"/>
        <v>166</v>
      </c>
      <c r="F179" s="1">
        <v>600</v>
      </c>
      <c r="G179">
        <f t="shared" si="3"/>
        <v>90</v>
      </c>
      <c r="H179" s="1">
        <v>0</v>
      </c>
      <c r="I179" s="1">
        <v>33</v>
      </c>
      <c r="J179" s="1"/>
      <c r="K179" s="1"/>
    </row>
    <row r="180" spans="1:11" ht="15.75" customHeight="1">
      <c r="A180" s="61" t="s">
        <v>385</v>
      </c>
      <c r="B180" s="1">
        <v>80</v>
      </c>
      <c r="C180">
        <v>405</v>
      </c>
      <c r="D180">
        <v>390</v>
      </c>
      <c r="E180">
        <f t="shared" si="1"/>
        <v>15</v>
      </c>
      <c r="F180" s="1">
        <v>600</v>
      </c>
      <c r="G180">
        <f t="shared" si="3"/>
        <v>210</v>
      </c>
      <c r="H180" s="1">
        <v>2</v>
      </c>
      <c r="I180" s="1">
        <v>4</v>
      </c>
      <c r="J180" s="1"/>
      <c r="K180" s="1"/>
    </row>
    <row r="181" spans="1:11" ht="15.75" customHeight="1">
      <c r="A181" s="61" t="s">
        <v>386</v>
      </c>
      <c r="B181" s="1">
        <v>81</v>
      </c>
      <c r="C181">
        <v>693</v>
      </c>
      <c r="D181">
        <v>295</v>
      </c>
      <c r="E181">
        <f t="shared" si="1"/>
        <v>398</v>
      </c>
      <c r="F181" s="1">
        <v>600</v>
      </c>
      <c r="G181">
        <f t="shared" si="3"/>
        <v>305</v>
      </c>
      <c r="H181" s="1">
        <v>3</v>
      </c>
      <c r="I181" s="1">
        <v>135</v>
      </c>
      <c r="J181" s="1"/>
      <c r="K181" s="1"/>
    </row>
    <row r="182" spans="1:11" ht="15.75" customHeight="1">
      <c r="A182" s="61" t="s">
        <v>387</v>
      </c>
      <c r="B182" s="1">
        <v>82</v>
      </c>
      <c r="C182">
        <v>664</v>
      </c>
      <c r="D182">
        <v>540</v>
      </c>
      <c r="E182">
        <f t="shared" si="1"/>
        <v>124</v>
      </c>
      <c r="F182" s="1">
        <v>600</v>
      </c>
      <c r="G182">
        <f t="shared" si="3"/>
        <v>60</v>
      </c>
      <c r="H182" s="1">
        <v>0</v>
      </c>
      <c r="I182" s="1">
        <v>23</v>
      </c>
      <c r="J182" s="1"/>
      <c r="K182" s="1"/>
    </row>
    <row r="183" spans="1:11" ht="15.75" customHeight="1">
      <c r="A183" s="61" t="s">
        <v>388</v>
      </c>
      <c r="B183" s="1">
        <v>83</v>
      </c>
      <c r="C183">
        <v>1042</v>
      </c>
      <c r="D183" s="47">
        <v>990</v>
      </c>
      <c r="E183">
        <f t="shared" si="1"/>
        <v>52</v>
      </c>
      <c r="F183" s="1">
        <v>1125</v>
      </c>
      <c r="G183">
        <f t="shared" si="3"/>
        <v>135</v>
      </c>
      <c r="H183" s="1">
        <v>1</v>
      </c>
      <c r="I183" s="1">
        <v>5</v>
      </c>
      <c r="J183" s="1"/>
      <c r="K183" s="1"/>
    </row>
    <row r="184" spans="1:11" ht="15.75" customHeight="1">
      <c r="A184" s="61" t="s">
        <v>389</v>
      </c>
      <c r="B184" s="1">
        <v>84</v>
      </c>
      <c r="C184">
        <v>794</v>
      </c>
      <c r="D184">
        <v>265</v>
      </c>
      <c r="E184">
        <f t="shared" si="1"/>
        <v>529</v>
      </c>
      <c r="F184" s="1">
        <v>600</v>
      </c>
      <c r="G184">
        <f t="shared" si="3"/>
        <v>335</v>
      </c>
      <c r="H184" s="1">
        <v>3</v>
      </c>
      <c r="I184" s="1">
        <v>200</v>
      </c>
      <c r="J184" s="1"/>
      <c r="K184" s="1"/>
    </row>
    <row r="185" spans="1:11" ht="15.75" customHeight="1">
      <c r="A185" s="61" t="s">
        <v>390</v>
      </c>
      <c r="B185" s="1">
        <v>85</v>
      </c>
      <c r="C185">
        <v>790</v>
      </c>
      <c r="D185">
        <v>610</v>
      </c>
      <c r="E185">
        <f t="shared" si="1"/>
        <v>180</v>
      </c>
      <c r="F185" s="1">
        <v>610</v>
      </c>
      <c r="G185">
        <f t="shared" si="3"/>
        <v>0</v>
      </c>
      <c r="H185" s="1">
        <v>0</v>
      </c>
      <c r="I185" s="1">
        <v>30</v>
      </c>
      <c r="J185" s="1"/>
      <c r="K185" s="1"/>
    </row>
    <row r="186" spans="1:11" ht="15.75" customHeight="1">
      <c r="A186" s="61" t="s">
        <v>391</v>
      </c>
      <c r="B186" s="1">
        <v>86</v>
      </c>
      <c r="C186">
        <v>276</v>
      </c>
      <c r="D186">
        <v>215</v>
      </c>
      <c r="E186">
        <f t="shared" si="1"/>
        <v>61</v>
      </c>
      <c r="F186" s="1">
        <v>600</v>
      </c>
      <c r="G186">
        <f t="shared" si="3"/>
        <v>385</v>
      </c>
      <c r="H186" s="1">
        <v>3</v>
      </c>
      <c r="I186" s="1">
        <v>28</v>
      </c>
      <c r="J186" s="1"/>
      <c r="K186" s="1"/>
    </row>
    <row r="187" spans="1:11" ht="15.75" customHeight="1">
      <c r="A187" s="62" t="s">
        <v>392</v>
      </c>
      <c r="B187" s="1">
        <v>87</v>
      </c>
      <c r="C187">
        <v>1058</v>
      </c>
      <c r="D187" s="1">
        <v>975</v>
      </c>
      <c r="E187">
        <f t="shared" si="1"/>
        <v>83</v>
      </c>
      <c r="F187" s="1">
        <v>975</v>
      </c>
      <c r="G187">
        <f t="shared" si="3"/>
        <v>0</v>
      </c>
      <c r="H187" s="1">
        <v>0</v>
      </c>
      <c r="I187" s="1">
        <v>9</v>
      </c>
      <c r="J187" s="1"/>
      <c r="K187" s="1"/>
    </row>
    <row r="188" spans="1:11" ht="15.75" customHeight="1">
      <c r="A188" s="61" t="s">
        <v>393</v>
      </c>
      <c r="B188" s="1">
        <v>88</v>
      </c>
      <c r="C188">
        <v>816</v>
      </c>
      <c r="D188">
        <v>405</v>
      </c>
      <c r="E188">
        <f t="shared" si="1"/>
        <v>411</v>
      </c>
      <c r="F188" s="1">
        <v>600</v>
      </c>
      <c r="G188">
        <f t="shared" si="3"/>
        <v>195</v>
      </c>
      <c r="H188" s="1">
        <v>1</v>
      </c>
      <c r="I188" s="1">
        <v>101</v>
      </c>
      <c r="J188" s="1"/>
      <c r="K188" s="1"/>
    </row>
    <row r="189" spans="1:11" ht="15.75" customHeight="1">
      <c r="A189" s="61" t="s">
        <v>394</v>
      </c>
      <c r="B189" s="1">
        <v>89</v>
      </c>
      <c r="C189">
        <v>1505</v>
      </c>
      <c r="D189">
        <v>475</v>
      </c>
      <c r="E189">
        <f t="shared" si="1"/>
        <v>1030</v>
      </c>
      <c r="F189" s="1">
        <v>600</v>
      </c>
      <c r="G189">
        <f t="shared" si="3"/>
        <v>125</v>
      </c>
      <c r="H189" s="1">
        <v>1</v>
      </c>
      <c r="I189" s="1">
        <v>217</v>
      </c>
      <c r="J189" s="1"/>
      <c r="K189" s="1"/>
    </row>
    <row r="190" spans="1:11" ht="15.75" customHeight="1">
      <c r="A190" s="61" t="s">
        <v>395</v>
      </c>
      <c r="B190" s="1">
        <v>90</v>
      </c>
      <c r="C190">
        <v>644</v>
      </c>
      <c r="D190">
        <v>490</v>
      </c>
      <c r="E190">
        <f t="shared" si="1"/>
        <v>154</v>
      </c>
      <c r="F190" s="1">
        <v>600</v>
      </c>
      <c r="G190">
        <f t="shared" si="3"/>
        <v>110</v>
      </c>
      <c r="H190" s="1">
        <v>1</v>
      </c>
      <c r="I190" s="1">
        <v>31</v>
      </c>
      <c r="J190" s="1"/>
      <c r="K190" s="1"/>
    </row>
    <row r="191" spans="1:11" ht="15.75" customHeight="1">
      <c r="A191" s="61" t="s">
        <v>396</v>
      </c>
      <c r="B191" s="1">
        <v>91</v>
      </c>
      <c r="C191">
        <v>1116</v>
      </c>
      <c r="D191">
        <v>580</v>
      </c>
      <c r="E191">
        <f t="shared" si="1"/>
        <v>536</v>
      </c>
      <c r="F191" s="1">
        <v>600</v>
      </c>
      <c r="G191">
        <f t="shared" si="3"/>
        <v>20</v>
      </c>
      <c r="H191" s="1">
        <v>0</v>
      </c>
      <c r="I191" s="1">
        <v>92</v>
      </c>
      <c r="J191" s="1"/>
      <c r="K191" s="1"/>
    </row>
    <row r="192" spans="1:11" ht="15.75" customHeight="1">
      <c r="A192" s="61" t="s">
        <v>397</v>
      </c>
      <c r="B192" s="1">
        <v>92</v>
      </c>
      <c r="C192">
        <v>736</v>
      </c>
      <c r="D192">
        <v>515</v>
      </c>
      <c r="E192">
        <f t="shared" si="1"/>
        <v>221</v>
      </c>
      <c r="F192" s="1">
        <v>600</v>
      </c>
      <c r="G192">
        <f t="shared" si="3"/>
        <v>85</v>
      </c>
      <c r="H192" s="1">
        <v>0</v>
      </c>
      <c r="I192" s="1">
        <v>43</v>
      </c>
      <c r="J192" s="1"/>
      <c r="K192" s="1"/>
    </row>
    <row r="193" spans="1:11" ht="15.75" customHeight="1">
      <c r="A193" s="61" t="s">
        <v>398</v>
      </c>
      <c r="B193" s="1">
        <v>93</v>
      </c>
      <c r="C193">
        <v>406</v>
      </c>
      <c r="D193">
        <v>460</v>
      </c>
      <c r="E193">
        <f t="shared" si="1"/>
        <v>-54</v>
      </c>
      <c r="F193" s="1">
        <v>600</v>
      </c>
      <c r="G193">
        <f t="shared" si="3"/>
        <v>140</v>
      </c>
      <c r="H193" s="1">
        <v>1</v>
      </c>
      <c r="I193" s="1">
        <v>-12</v>
      </c>
      <c r="J193" s="1"/>
      <c r="K193" s="1"/>
    </row>
    <row r="194" spans="1:11" ht="15.75" customHeight="1">
      <c r="A194" s="61" t="s">
        <v>399</v>
      </c>
      <c r="B194" s="1">
        <v>94</v>
      </c>
      <c r="C194">
        <v>674</v>
      </c>
      <c r="D194">
        <v>565</v>
      </c>
      <c r="E194">
        <f t="shared" si="1"/>
        <v>109</v>
      </c>
      <c r="F194" s="1">
        <v>600</v>
      </c>
      <c r="G194">
        <f t="shared" si="3"/>
        <v>35</v>
      </c>
      <c r="H194" s="1">
        <v>0</v>
      </c>
      <c r="I194" s="1">
        <v>19</v>
      </c>
      <c r="J194" s="1"/>
      <c r="K194" s="1"/>
    </row>
    <row r="195" spans="1:11" ht="15.75" customHeight="1">
      <c r="A195" s="62" t="s">
        <v>400</v>
      </c>
      <c r="B195" s="1">
        <v>95</v>
      </c>
      <c r="C195">
        <v>474</v>
      </c>
      <c r="D195">
        <v>508</v>
      </c>
      <c r="E195">
        <f t="shared" si="1"/>
        <v>-34</v>
      </c>
      <c r="F195" s="1">
        <v>508</v>
      </c>
      <c r="G195">
        <f t="shared" si="3"/>
        <v>0</v>
      </c>
      <c r="H195" s="1">
        <v>0</v>
      </c>
      <c r="I195" s="1">
        <v>-7</v>
      </c>
      <c r="J195" s="1"/>
      <c r="K195" s="1"/>
    </row>
    <row r="196" spans="1:11" ht="15.75" customHeight="1">
      <c r="A196" s="61" t="s">
        <v>401</v>
      </c>
      <c r="B196" s="1">
        <v>96</v>
      </c>
      <c r="C196">
        <v>826</v>
      </c>
      <c r="D196">
        <v>490</v>
      </c>
      <c r="E196">
        <f t="shared" si="1"/>
        <v>336</v>
      </c>
      <c r="F196" s="1">
        <v>600</v>
      </c>
      <c r="G196">
        <f t="shared" si="3"/>
        <v>110</v>
      </c>
      <c r="H196" s="1">
        <v>1</v>
      </c>
      <c r="I196" s="1">
        <v>69</v>
      </c>
      <c r="J196" s="1"/>
      <c r="K196" s="1"/>
    </row>
    <row r="197" spans="1:11" ht="15.75" customHeight="1">
      <c r="D197">
        <f t="shared" ref="D197:E197" si="4">SUM(D101:D196)</f>
        <v>49264</v>
      </c>
      <c r="E197">
        <f t="shared" si="4"/>
        <v>17409</v>
      </c>
      <c r="H197">
        <f>SUM(H101:H196)*2.2</f>
        <v>211.20000000000002</v>
      </c>
      <c r="I197">
        <f>ROUND(E197/D197*100,2)</f>
        <v>35.340000000000003</v>
      </c>
    </row>
    <row r="198" spans="1:11" ht="15.75" customHeight="1">
      <c r="I198">
        <f>MAX(I101:I196)</f>
        <v>230</v>
      </c>
    </row>
  </sheetData>
  <conditionalFormatting sqref="E101:E196">
    <cfRule type="cellIs" dxfId="5" priority="1" operator="greaterThanOrEqual">
      <formula>350</formula>
    </cfRule>
    <cfRule type="cellIs" dxfId="4" priority="2" operator="lessThan">
      <formula>0</formula>
    </cfRule>
  </conditionalFormatting>
  <conditionalFormatting sqref="I101:I196">
    <cfRule type="cellIs" dxfId="3" priority="3" operator="greaterThan">
      <formula>70</formula>
    </cfRule>
    <cfRule type="cellIs" dxfId="2" priority="4" operator="lessThan">
      <formula>0</formula>
    </cfRule>
  </conditionalFormatting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Z299"/>
  <sheetViews>
    <sheetView workbookViewId="0"/>
  </sheetViews>
  <sheetFormatPr defaultColWidth="14.42578125" defaultRowHeight="15.75" customHeight="1"/>
  <cols>
    <col min="1" max="1" width="29.85546875" customWidth="1"/>
  </cols>
  <sheetData>
    <row r="1" spans="1:26">
      <c r="B1" s="56" t="s">
        <v>761</v>
      </c>
      <c r="C1" s="56" t="s">
        <v>515</v>
      </c>
      <c r="D1" s="56" t="s">
        <v>516</v>
      </c>
      <c r="E1" s="57" t="s">
        <v>761</v>
      </c>
      <c r="F1" s="57" t="s">
        <v>515</v>
      </c>
      <c r="G1" s="57" t="s">
        <v>516</v>
      </c>
      <c r="H1" s="58" t="s">
        <v>761</v>
      </c>
      <c r="I1" s="58" t="s">
        <v>515</v>
      </c>
      <c r="J1" s="58" t="s">
        <v>516</v>
      </c>
      <c r="K1" s="59" t="s">
        <v>761</v>
      </c>
      <c r="L1" s="59" t="s">
        <v>515</v>
      </c>
      <c r="M1" s="59" t="s">
        <v>516</v>
      </c>
      <c r="N1" s="60" t="s">
        <v>771</v>
      </c>
      <c r="P1" s="1" t="s">
        <v>774</v>
      </c>
      <c r="Q1" s="1" t="s">
        <v>775</v>
      </c>
      <c r="S1" s="1" t="s">
        <v>774</v>
      </c>
      <c r="T1" s="1" t="s">
        <v>775</v>
      </c>
      <c r="V1" s="1" t="s">
        <v>774</v>
      </c>
      <c r="W1" s="1" t="s">
        <v>775</v>
      </c>
      <c r="Y1" s="1" t="s">
        <v>774</v>
      </c>
      <c r="Z1" s="1" t="s">
        <v>775</v>
      </c>
    </row>
    <row r="2" spans="1:26">
      <c r="A2" s="61" t="s">
        <v>355</v>
      </c>
      <c r="B2" s="56">
        <v>170.03</v>
      </c>
      <c r="C2" s="56">
        <v>0.25</v>
      </c>
      <c r="D2" s="56">
        <v>22</v>
      </c>
      <c r="E2" s="57">
        <v>170.04</v>
      </c>
      <c r="F2" s="57">
        <v>0.25</v>
      </c>
      <c r="G2" s="57">
        <v>68</v>
      </c>
      <c r="H2" s="58">
        <v>181.11</v>
      </c>
      <c r="I2" s="58">
        <v>1</v>
      </c>
      <c r="J2" s="58">
        <v>222</v>
      </c>
      <c r="K2" s="59">
        <v>181.1</v>
      </c>
      <c r="L2" s="59">
        <v>0.5</v>
      </c>
      <c r="M2" s="59">
        <v>153</v>
      </c>
      <c r="N2" s="60">
        <f t="shared" ref="N2:N97" si="0">$D2+$G2+$J2+$M2</f>
        <v>465</v>
      </c>
      <c r="O2" s="11">
        <v>170.03</v>
      </c>
      <c r="P2">
        <v>85</v>
      </c>
      <c r="Q2">
        <v>86</v>
      </c>
      <c r="R2" s="11">
        <v>170.04</v>
      </c>
      <c r="S2">
        <v>347</v>
      </c>
      <c r="T2">
        <v>273</v>
      </c>
      <c r="U2" s="11">
        <v>181.11</v>
      </c>
      <c r="V2">
        <v>226</v>
      </c>
      <c r="W2">
        <v>222</v>
      </c>
      <c r="X2" s="11">
        <v>181.1</v>
      </c>
      <c r="Y2">
        <v>333</v>
      </c>
      <c r="Z2">
        <v>306</v>
      </c>
    </row>
    <row r="3" spans="1:26">
      <c r="A3" s="61" t="s">
        <v>341</v>
      </c>
      <c r="B3" s="56">
        <v>170.07</v>
      </c>
      <c r="C3" s="56">
        <v>0.5</v>
      </c>
      <c r="D3" s="56">
        <v>113</v>
      </c>
      <c r="E3" s="57">
        <v>170.08</v>
      </c>
      <c r="F3" s="57">
        <v>0.5</v>
      </c>
      <c r="G3" s="57">
        <v>81</v>
      </c>
      <c r="H3" s="58"/>
      <c r="I3" s="58"/>
      <c r="J3" s="58">
        <v>0</v>
      </c>
      <c r="K3" s="59"/>
      <c r="L3" s="59"/>
      <c r="M3" s="59">
        <v>0</v>
      </c>
      <c r="N3" s="60">
        <f t="shared" si="0"/>
        <v>194</v>
      </c>
      <c r="O3" s="11">
        <v>170.07</v>
      </c>
      <c r="P3">
        <v>333</v>
      </c>
      <c r="Q3">
        <v>225</v>
      </c>
      <c r="R3" s="11">
        <v>170.08</v>
      </c>
      <c r="S3">
        <v>203</v>
      </c>
      <c r="T3">
        <v>162</v>
      </c>
    </row>
    <row r="4" spans="1:26">
      <c r="A4" s="61" t="s">
        <v>398</v>
      </c>
      <c r="B4" s="56">
        <v>170.08</v>
      </c>
      <c r="C4" s="56">
        <v>0.5</v>
      </c>
      <c r="D4" s="56">
        <v>81</v>
      </c>
      <c r="E4" s="57">
        <v>170.07</v>
      </c>
      <c r="F4" s="57">
        <v>0.5</v>
      </c>
      <c r="G4" s="57">
        <v>113</v>
      </c>
      <c r="H4" s="58">
        <v>170.05</v>
      </c>
      <c r="I4" s="58">
        <v>1</v>
      </c>
      <c r="J4" s="58">
        <v>54</v>
      </c>
      <c r="K4" s="59">
        <v>170.03</v>
      </c>
      <c r="L4" s="59">
        <v>0.75</v>
      </c>
      <c r="M4" s="59">
        <v>65</v>
      </c>
      <c r="N4" s="60">
        <f t="shared" si="0"/>
        <v>313</v>
      </c>
      <c r="O4" s="11">
        <v>170.08</v>
      </c>
      <c r="P4">
        <v>203</v>
      </c>
      <c r="Q4">
        <v>162</v>
      </c>
      <c r="R4" s="11">
        <v>170.07</v>
      </c>
      <c r="S4">
        <v>333</v>
      </c>
      <c r="T4">
        <v>225</v>
      </c>
      <c r="U4" s="11">
        <v>170.05</v>
      </c>
      <c r="V4">
        <v>73</v>
      </c>
      <c r="W4">
        <v>54</v>
      </c>
      <c r="X4" s="11">
        <v>170.03</v>
      </c>
      <c r="Y4">
        <v>85</v>
      </c>
      <c r="Z4">
        <v>86</v>
      </c>
    </row>
    <row r="5" spans="1:26">
      <c r="A5" s="61" t="s">
        <v>384</v>
      </c>
      <c r="B5" s="56">
        <v>180.01</v>
      </c>
      <c r="C5" s="56">
        <v>0.5</v>
      </c>
      <c r="D5" s="56">
        <v>371</v>
      </c>
      <c r="E5" s="57"/>
      <c r="F5" s="57"/>
      <c r="G5" s="57">
        <v>0</v>
      </c>
      <c r="H5" s="58"/>
      <c r="I5" s="58"/>
      <c r="J5" s="58">
        <v>0</v>
      </c>
      <c r="K5" s="59"/>
      <c r="L5" s="59"/>
      <c r="M5" s="59">
        <v>0</v>
      </c>
      <c r="N5" s="60">
        <f t="shared" si="0"/>
        <v>371</v>
      </c>
      <c r="O5" s="11">
        <v>180.01</v>
      </c>
      <c r="P5">
        <v>1351</v>
      </c>
      <c r="Q5">
        <v>742</v>
      </c>
    </row>
    <row r="6" spans="1:26">
      <c r="A6" s="61" t="s">
        <v>356</v>
      </c>
      <c r="B6" s="56">
        <v>180.03</v>
      </c>
      <c r="C6" s="56">
        <v>0.25</v>
      </c>
      <c r="D6" s="56">
        <v>187</v>
      </c>
      <c r="E6" s="57"/>
      <c r="F6" s="57"/>
      <c r="G6" s="57">
        <v>0</v>
      </c>
      <c r="H6" s="58"/>
      <c r="I6" s="58"/>
      <c r="J6" s="58">
        <v>0</v>
      </c>
      <c r="K6" s="59"/>
      <c r="L6" s="59"/>
      <c r="M6" s="59">
        <v>0</v>
      </c>
      <c r="N6" s="60">
        <f t="shared" si="0"/>
        <v>187</v>
      </c>
      <c r="O6" s="11">
        <v>180.03</v>
      </c>
      <c r="P6">
        <v>987</v>
      </c>
      <c r="Q6">
        <v>747</v>
      </c>
    </row>
    <row r="7" spans="1:26">
      <c r="A7" s="61" t="s">
        <v>379</v>
      </c>
      <c r="B7" s="56">
        <v>180.03</v>
      </c>
      <c r="C7" s="56">
        <v>0.5</v>
      </c>
      <c r="D7" s="56">
        <v>374</v>
      </c>
      <c r="E7" s="57"/>
      <c r="F7" s="57"/>
      <c r="G7" s="57">
        <v>0</v>
      </c>
      <c r="H7" s="58"/>
      <c r="I7" s="58"/>
      <c r="J7" s="58">
        <v>0</v>
      </c>
      <c r="K7" s="59"/>
      <c r="L7" s="59"/>
      <c r="M7" s="59">
        <v>0</v>
      </c>
      <c r="N7" s="60">
        <f t="shared" si="0"/>
        <v>374</v>
      </c>
      <c r="O7" s="11">
        <v>180.03</v>
      </c>
      <c r="P7">
        <v>987</v>
      </c>
      <c r="Q7">
        <v>747</v>
      </c>
    </row>
    <row r="8" spans="1:26">
      <c r="A8" s="61" t="s">
        <v>331</v>
      </c>
      <c r="B8" s="56">
        <v>180.03</v>
      </c>
      <c r="C8" s="56">
        <v>0.25</v>
      </c>
      <c r="D8" s="56">
        <v>187</v>
      </c>
      <c r="E8" s="57"/>
      <c r="F8" s="57"/>
      <c r="G8" s="57">
        <v>0</v>
      </c>
      <c r="H8" s="58"/>
      <c r="I8" s="58"/>
      <c r="J8" s="58">
        <v>0</v>
      </c>
      <c r="K8" s="59"/>
      <c r="L8" s="59"/>
      <c r="M8" s="59">
        <v>0</v>
      </c>
      <c r="N8" s="60">
        <f t="shared" si="0"/>
        <v>187</v>
      </c>
      <c r="O8" s="11">
        <v>180.03</v>
      </c>
      <c r="P8">
        <v>987</v>
      </c>
      <c r="Q8">
        <v>747</v>
      </c>
    </row>
    <row r="9" spans="1:26">
      <c r="A9" s="61" t="s">
        <v>392</v>
      </c>
      <c r="B9" s="56">
        <v>180.04</v>
      </c>
      <c r="C9" s="56">
        <v>1</v>
      </c>
      <c r="D9" s="56">
        <v>803</v>
      </c>
      <c r="E9" s="57"/>
      <c r="F9" s="57"/>
      <c r="G9" s="57">
        <v>0</v>
      </c>
      <c r="H9" s="58"/>
      <c r="I9" s="58"/>
      <c r="J9" s="58">
        <v>0</v>
      </c>
      <c r="K9" s="59"/>
      <c r="L9" s="59"/>
      <c r="M9" s="59">
        <v>0</v>
      </c>
      <c r="N9" s="60">
        <f t="shared" si="0"/>
        <v>803</v>
      </c>
      <c r="O9" s="11">
        <v>180.04</v>
      </c>
      <c r="P9">
        <v>1058</v>
      </c>
      <c r="Q9">
        <v>803</v>
      </c>
    </row>
    <row r="10" spans="1:26">
      <c r="A10" s="61" t="s">
        <v>332</v>
      </c>
      <c r="B10" s="56">
        <v>181.03</v>
      </c>
      <c r="C10" s="56">
        <v>0.5</v>
      </c>
      <c r="D10" s="56">
        <v>205</v>
      </c>
      <c r="E10" s="57"/>
      <c r="F10" s="57"/>
      <c r="G10" s="57">
        <v>0</v>
      </c>
      <c r="H10" s="58"/>
      <c r="I10" s="58"/>
      <c r="J10" s="58">
        <v>0</v>
      </c>
      <c r="K10" s="59"/>
      <c r="L10" s="59"/>
      <c r="M10" s="59">
        <v>0</v>
      </c>
      <c r="N10" s="60">
        <f t="shared" si="0"/>
        <v>205</v>
      </c>
      <c r="O10" s="11">
        <v>181.03</v>
      </c>
      <c r="P10">
        <v>488</v>
      </c>
      <c r="Q10">
        <v>410</v>
      </c>
    </row>
    <row r="11" spans="1:26">
      <c r="A11" s="61" t="s">
        <v>340</v>
      </c>
      <c r="B11" s="56">
        <v>181.07</v>
      </c>
      <c r="C11" s="56">
        <v>1</v>
      </c>
      <c r="D11" s="56">
        <v>266</v>
      </c>
      <c r="E11" s="57"/>
      <c r="F11" s="57"/>
      <c r="G11" s="57">
        <v>0</v>
      </c>
      <c r="H11" s="58"/>
      <c r="I11" s="58"/>
      <c r="J11" s="58">
        <v>0</v>
      </c>
      <c r="K11" s="59"/>
      <c r="L11" s="59"/>
      <c r="M11" s="59">
        <v>0</v>
      </c>
      <c r="N11" s="60">
        <f t="shared" si="0"/>
        <v>266</v>
      </c>
      <c r="O11" s="11">
        <v>181.07</v>
      </c>
      <c r="P11">
        <v>336</v>
      </c>
      <c r="Q11">
        <v>266</v>
      </c>
    </row>
    <row r="12" spans="1:26">
      <c r="A12" s="61" t="s">
        <v>383</v>
      </c>
      <c r="B12" s="56">
        <v>181.08</v>
      </c>
      <c r="C12" s="56">
        <v>1</v>
      </c>
      <c r="D12" s="56">
        <v>169</v>
      </c>
      <c r="E12" s="57">
        <v>181.09</v>
      </c>
      <c r="F12" s="57">
        <v>1</v>
      </c>
      <c r="G12" s="57">
        <v>540</v>
      </c>
      <c r="H12" s="58"/>
      <c r="I12" s="58"/>
      <c r="J12" s="58">
        <v>0</v>
      </c>
      <c r="K12" s="59"/>
      <c r="L12" s="59"/>
      <c r="M12" s="59">
        <v>0</v>
      </c>
      <c r="N12" s="60">
        <f t="shared" si="0"/>
        <v>709</v>
      </c>
      <c r="O12" s="11">
        <v>181.08</v>
      </c>
      <c r="P12">
        <v>248</v>
      </c>
      <c r="Q12">
        <v>169</v>
      </c>
      <c r="R12" s="11">
        <v>181.09</v>
      </c>
      <c r="S12">
        <v>614</v>
      </c>
      <c r="T12">
        <v>540</v>
      </c>
    </row>
    <row r="13" spans="1:26">
      <c r="A13" s="61" t="s">
        <v>296</v>
      </c>
      <c r="B13" s="56">
        <v>181.1</v>
      </c>
      <c r="C13" s="56">
        <v>0.5</v>
      </c>
      <c r="D13" s="56">
        <v>153</v>
      </c>
      <c r="E13" s="57">
        <v>170.04</v>
      </c>
      <c r="F13" s="57">
        <v>0.75</v>
      </c>
      <c r="G13" s="57">
        <v>205</v>
      </c>
      <c r="H13" s="58"/>
      <c r="I13" s="58"/>
      <c r="J13" s="58">
        <v>0</v>
      </c>
      <c r="K13" s="59"/>
      <c r="L13" s="59"/>
      <c r="M13" s="59">
        <v>0</v>
      </c>
      <c r="N13" s="60">
        <f t="shared" si="0"/>
        <v>358</v>
      </c>
      <c r="O13" s="11">
        <v>181.1</v>
      </c>
      <c r="P13">
        <v>333</v>
      </c>
      <c r="Q13">
        <v>306</v>
      </c>
      <c r="R13" s="11">
        <v>170.04</v>
      </c>
      <c r="S13">
        <v>347</v>
      </c>
      <c r="T13">
        <v>273</v>
      </c>
    </row>
    <row r="14" spans="1:26">
      <c r="A14" s="61" t="s">
        <v>318</v>
      </c>
      <c r="B14" s="56">
        <v>181.12</v>
      </c>
      <c r="C14" s="56">
        <v>0.5</v>
      </c>
      <c r="D14" s="56">
        <v>119</v>
      </c>
      <c r="E14" s="57">
        <v>181.03</v>
      </c>
      <c r="F14" s="57">
        <v>0.5</v>
      </c>
      <c r="G14" s="57">
        <v>205</v>
      </c>
      <c r="H14" s="58"/>
      <c r="I14" s="58"/>
      <c r="J14" s="58">
        <v>0</v>
      </c>
      <c r="K14" s="59"/>
      <c r="L14" s="59"/>
      <c r="M14" s="59">
        <v>0</v>
      </c>
      <c r="N14" s="60">
        <f t="shared" si="0"/>
        <v>324</v>
      </c>
      <c r="O14" s="11">
        <v>181.12</v>
      </c>
      <c r="P14">
        <v>311</v>
      </c>
      <c r="Q14">
        <v>237</v>
      </c>
      <c r="R14" s="11">
        <v>181.03</v>
      </c>
      <c r="S14">
        <v>488</v>
      </c>
      <c r="T14">
        <v>410</v>
      </c>
    </row>
    <row r="15" spans="1:26">
      <c r="A15" s="61" t="s">
        <v>386</v>
      </c>
      <c r="B15" s="56">
        <v>181.13</v>
      </c>
      <c r="C15" s="56">
        <v>1</v>
      </c>
      <c r="D15" s="56">
        <v>275</v>
      </c>
      <c r="E15" s="57">
        <v>181.12</v>
      </c>
      <c r="F15" s="57">
        <v>0.5</v>
      </c>
      <c r="G15" s="57">
        <v>119</v>
      </c>
      <c r="H15" s="58">
        <v>181.14</v>
      </c>
      <c r="I15" s="58">
        <v>0.5</v>
      </c>
      <c r="J15" s="58">
        <v>141</v>
      </c>
      <c r="K15" s="59"/>
      <c r="L15" s="59"/>
      <c r="M15" s="59">
        <v>0</v>
      </c>
      <c r="N15" s="60">
        <f t="shared" si="0"/>
        <v>535</v>
      </c>
      <c r="O15" s="11">
        <v>181.13</v>
      </c>
      <c r="P15">
        <v>341</v>
      </c>
      <c r="Q15">
        <v>275</v>
      </c>
      <c r="R15" s="11">
        <v>181.12</v>
      </c>
      <c r="S15">
        <v>311</v>
      </c>
      <c r="T15">
        <v>237</v>
      </c>
      <c r="U15" s="11">
        <v>181.14</v>
      </c>
      <c r="V15">
        <v>391</v>
      </c>
      <c r="W15">
        <v>281</v>
      </c>
    </row>
    <row r="16" spans="1:26">
      <c r="A16" s="61" t="s">
        <v>337</v>
      </c>
      <c r="B16" s="56">
        <v>181.14</v>
      </c>
      <c r="C16" s="56">
        <v>0.5</v>
      </c>
      <c r="D16" s="56">
        <v>141</v>
      </c>
      <c r="E16" s="57">
        <v>181.05</v>
      </c>
      <c r="F16" s="57">
        <v>1</v>
      </c>
      <c r="G16" s="57">
        <v>399</v>
      </c>
      <c r="H16" s="58"/>
      <c r="I16" s="58"/>
      <c r="J16" s="58">
        <v>0</v>
      </c>
      <c r="K16" s="59"/>
      <c r="L16" s="59"/>
      <c r="M16" s="59">
        <v>0</v>
      </c>
      <c r="N16" s="60">
        <f t="shared" si="0"/>
        <v>540</v>
      </c>
      <c r="O16" s="11">
        <v>181.14</v>
      </c>
      <c r="P16">
        <v>391</v>
      </c>
      <c r="Q16">
        <v>281</v>
      </c>
      <c r="R16" s="11">
        <v>181.05</v>
      </c>
      <c r="S16">
        <v>524</v>
      </c>
      <c r="T16">
        <v>399</v>
      </c>
    </row>
    <row r="17" spans="1:23">
      <c r="A17" s="61" t="s">
        <v>389</v>
      </c>
      <c r="B17" s="56">
        <v>181.16</v>
      </c>
      <c r="C17" s="56">
        <v>1</v>
      </c>
      <c r="D17" s="56">
        <v>200</v>
      </c>
      <c r="E17" s="57">
        <v>181.15</v>
      </c>
      <c r="F17" s="57">
        <v>1</v>
      </c>
      <c r="G17" s="57">
        <v>399</v>
      </c>
      <c r="H17" s="58"/>
      <c r="I17" s="58"/>
      <c r="J17" s="58">
        <v>0</v>
      </c>
      <c r="K17" s="59"/>
      <c r="L17" s="59"/>
      <c r="M17" s="59">
        <v>0</v>
      </c>
      <c r="N17" s="60">
        <f t="shared" si="0"/>
        <v>599</v>
      </c>
      <c r="O17" s="11">
        <v>181.16</v>
      </c>
      <c r="P17">
        <v>270</v>
      </c>
      <c r="Q17">
        <v>200</v>
      </c>
      <c r="R17" s="11">
        <v>181.05</v>
      </c>
      <c r="S17">
        <v>524</v>
      </c>
      <c r="T17">
        <v>399</v>
      </c>
    </row>
    <row r="18" spans="1:23">
      <c r="A18" s="61" t="s">
        <v>344</v>
      </c>
      <c r="B18" s="56">
        <v>182.01</v>
      </c>
      <c r="C18" s="56">
        <v>0.25</v>
      </c>
      <c r="D18" s="56">
        <v>116</v>
      </c>
      <c r="E18" s="57">
        <v>183.07</v>
      </c>
      <c r="F18" s="57">
        <v>0.3</v>
      </c>
      <c r="G18" s="57">
        <v>145</v>
      </c>
      <c r="H18" s="58"/>
      <c r="I18" s="58"/>
      <c r="J18" s="58">
        <v>0</v>
      </c>
      <c r="K18" s="59"/>
      <c r="L18" s="59"/>
      <c r="M18" s="59">
        <v>0</v>
      </c>
      <c r="N18" s="60">
        <f t="shared" si="0"/>
        <v>261</v>
      </c>
      <c r="O18" s="11">
        <v>182.01</v>
      </c>
      <c r="P18">
        <v>652</v>
      </c>
      <c r="Q18">
        <v>462</v>
      </c>
      <c r="R18" s="11">
        <v>183.07</v>
      </c>
      <c r="S18">
        <v>646</v>
      </c>
      <c r="T18">
        <v>482</v>
      </c>
    </row>
    <row r="19" spans="1:23">
      <c r="A19" s="61" t="s">
        <v>375</v>
      </c>
      <c r="B19" s="56">
        <v>182.01</v>
      </c>
      <c r="C19" s="56">
        <v>0.25</v>
      </c>
      <c r="D19" s="56">
        <v>116</v>
      </c>
      <c r="E19" s="57">
        <v>180.01</v>
      </c>
      <c r="F19" s="57">
        <v>0.5</v>
      </c>
      <c r="G19" s="57">
        <v>371</v>
      </c>
      <c r="H19" s="58"/>
      <c r="I19" s="58"/>
      <c r="J19" s="58">
        <v>0</v>
      </c>
      <c r="K19" s="59"/>
      <c r="L19" s="59"/>
      <c r="M19" s="59">
        <v>0</v>
      </c>
      <c r="N19" s="60">
        <f t="shared" si="0"/>
        <v>487</v>
      </c>
      <c r="O19" s="11">
        <v>182.01</v>
      </c>
      <c r="P19">
        <v>652</v>
      </c>
      <c r="Q19">
        <v>462</v>
      </c>
      <c r="R19" s="11">
        <v>180.01</v>
      </c>
      <c r="S19">
        <v>1351</v>
      </c>
      <c r="T19">
        <v>742</v>
      </c>
    </row>
    <row r="20" spans="1:23">
      <c r="A20" s="61" t="s">
        <v>393</v>
      </c>
      <c r="B20" s="56">
        <v>182.02</v>
      </c>
      <c r="C20" s="56">
        <v>0.5</v>
      </c>
      <c r="D20" s="56">
        <v>371</v>
      </c>
      <c r="E20" s="57"/>
      <c r="F20" s="57"/>
      <c r="G20" s="57">
        <v>0</v>
      </c>
      <c r="H20" s="58"/>
      <c r="I20" s="58"/>
      <c r="J20" s="58">
        <v>0</v>
      </c>
      <c r="K20" s="59"/>
      <c r="L20" s="59"/>
      <c r="M20" s="59">
        <v>0</v>
      </c>
      <c r="N20" s="60">
        <f t="shared" si="0"/>
        <v>371</v>
      </c>
      <c r="O20" s="11">
        <v>182.02</v>
      </c>
      <c r="P20">
        <v>1632</v>
      </c>
      <c r="Q20">
        <v>741</v>
      </c>
    </row>
    <row r="21" spans="1:23">
      <c r="A21" s="61" t="s">
        <v>291</v>
      </c>
      <c r="B21" s="56">
        <v>182.02</v>
      </c>
      <c r="C21" s="56">
        <v>0.5</v>
      </c>
      <c r="D21" s="56">
        <v>371</v>
      </c>
      <c r="E21" s="57"/>
      <c r="F21" s="57"/>
      <c r="G21" s="57">
        <v>0</v>
      </c>
      <c r="H21" s="58"/>
      <c r="I21" s="58"/>
      <c r="J21" s="58">
        <v>0</v>
      </c>
      <c r="K21" s="59"/>
      <c r="L21" s="59"/>
      <c r="M21" s="59">
        <v>0</v>
      </c>
      <c r="N21" s="60">
        <f t="shared" si="0"/>
        <v>371</v>
      </c>
      <c r="O21" s="11">
        <v>182.02</v>
      </c>
      <c r="P21">
        <v>1632</v>
      </c>
      <c r="Q21">
        <v>741</v>
      </c>
    </row>
    <row r="22" spans="1:23">
      <c r="A22" s="61" t="s">
        <v>400</v>
      </c>
      <c r="B22" s="56">
        <v>182.04</v>
      </c>
      <c r="C22" s="56">
        <v>1</v>
      </c>
      <c r="D22" s="56">
        <v>182</v>
      </c>
      <c r="E22" s="57">
        <v>187.16</v>
      </c>
      <c r="F22" s="57">
        <v>0.66700000000000004</v>
      </c>
      <c r="G22" s="57">
        <v>199</v>
      </c>
      <c r="H22" s="58"/>
      <c r="I22" s="58"/>
      <c r="J22" s="58">
        <v>0</v>
      </c>
      <c r="K22" s="59"/>
      <c r="L22" s="59"/>
      <c r="M22" s="59">
        <v>0</v>
      </c>
      <c r="N22" s="60">
        <f t="shared" si="0"/>
        <v>381</v>
      </c>
      <c r="O22" s="11">
        <v>182.04</v>
      </c>
      <c r="P22">
        <v>208</v>
      </c>
      <c r="Q22">
        <v>182</v>
      </c>
      <c r="R22" s="11">
        <v>187.16</v>
      </c>
      <c r="S22">
        <v>399</v>
      </c>
      <c r="T22">
        <v>298</v>
      </c>
    </row>
    <row r="23" spans="1:23">
      <c r="A23" s="61" t="s">
        <v>322</v>
      </c>
      <c r="B23" s="56">
        <v>182.05</v>
      </c>
      <c r="C23" s="56">
        <v>1</v>
      </c>
      <c r="D23" s="56">
        <v>686</v>
      </c>
      <c r="E23" s="57"/>
      <c r="F23" s="57"/>
      <c r="G23" s="57">
        <v>0</v>
      </c>
      <c r="H23" s="58"/>
      <c r="I23" s="58"/>
      <c r="J23" s="58">
        <v>0</v>
      </c>
      <c r="K23" s="59"/>
      <c r="L23" s="59"/>
      <c r="M23" s="59">
        <v>0</v>
      </c>
      <c r="N23" s="60">
        <f t="shared" si="0"/>
        <v>686</v>
      </c>
      <c r="O23" s="11">
        <v>182.05</v>
      </c>
      <c r="P23">
        <v>1010</v>
      </c>
      <c r="Q23">
        <v>686</v>
      </c>
    </row>
    <row r="24" spans="1:23">
      <c r="A24" s="61" t="s">
        <v>351</v>
      </c>
      <c r="B24" s="56">
        <v>183.01</v>
      </c>
      <c r="C24" s="56">
        <v>1</v>
      </c>
      <c r="D24" s="56">
        <v>533</v>
      </c>
      <c r="E24" s="57"/>
      <c r="F24" s="57"/>
      <c r="G24" s="57">
        <v>0</v>
      </c>
      <c r="H24" s="58"/>
      <c r="I24" s="58"/>
      <c r="J24" s="58">
        <v>0</v>
      </c>
      <c r="K24" s="59"/>
      <c r="L24" s="59"/>
      <c r="M24" s="59">
        <v>0</v>
      </c>
      <c r="N24" s="60">
        <f t="shared" si="0"/>
        <v>533</v>
      </c>
      <c r="O24" s="11">
        <v>183.01</v>
      </c>
      <c r="P24">
        <v>771</v>
      </c>
      <c r="Q24">
        <v>533</v>
      </c>
    </row>
    <row r="25" spans="1:23">
      <c r="A25" s="61" t="s">
        <v>329</v>
      </c>
      <c r="B25" s="56">
        <v>183.03</v>
      </c>
      <c r="C25" s="56">
        <v>0.5</v>
      </c>
      <c r="D25" s="56">
        <v>199</v>
      </c>
      <c r="E25" s="57">
        <v>183.07</v>
      </c>
      <c r="F25" s="57">
        <v>0.2</v>
      </c>
      <c r="G25" s="57">
        <v>96</v>
      </c>
      <c r="H25" s="58"/>
      <c r="I25" s="58"/>
      <c r="J25" s="58">
        <v>0</v>
      </c>
      <c r="K25" s="59"/>
      <c r="L25" s="59"/>
      <c r="M25" s="59">
        <v>0</v>
      </c>
      <c r="N25" s="60">
        <f t="shared" si="0"/>
        <v>295</v>
      </c>
      <c r="O25" s="11">
        <v>183.03</v>
      </c>
      <c r="P25">
        <v>573</v>
      </c>
      <c r="Q25">
        <v>398</v>
      </c>
      <c r="R25" s="11">
        <v>183.07</v>
      </c>
      <c r="S25">
        <v>646</v>
      </c>
      <c r="T25">
        <v>482</v>
      </c>
    </row>
    <row r="26" spans="1:23">
      <c r="A26" s="61" t="s">
        <v>339</v>
      </c>
      <c r="B26" s="56">
        <v>183.03</v>
      </c>
      <c r="C26" s="56">
        <v>0.5</v>
      </c>
      <c r="D26" s="56">
        <v>199</v>
      </c>
      <c r="E26" s="57">
        <v>183.07</v>
      </c>
      <c r="F26" s="57">
        <v>0.1</v>
      </c>
      <c r="G26" s="57">
        <v>48</v>
      </c>
      <c r="H26" s="58">
        <v>182.01</v>
      </c>
      <c r="I26" s="58">
        <v>0.25</v>
      </c>
      <c r="J26" s="58">
        <v>116</v>
      </c>
      <c r="K26" s="59"/>
      <c r="L26" s="59"/>
      <c r="M26" s="59">
        <v>0</v>
      </c>
      <c r="N26" s="60">
        <f t="shared" si="0"/>
        <v>363</v>
      </c>
      <c r="O26" s="11">
        <v>183.03</v>
      </c>
      <c r="P26">
        <v>573</v>
      </c>
      <c r="Q26">
        <v>398</v>
      </c>
      <c r="R26" s="11">
        <v>183.07</v>
      </c>
      <c r="S26">
        <v>646</v>
      </c>
      <c r="T26">
        <v>482</v>
      </c>
      <c r="U26" s="11">
        <v>182.01</v>
      </c>
      <c r="V26">
        <v>652</v>
      </c>
      <c r="W26">
        <v>462</v>
      </c>
    </row>
    <row r="27" spans="1:23">
      <c r="A27" s="61" t="s">
        <v>359</v>
      </c>
      <c r="B27" s="56">
        <v>183.05</v>
      </c>
      <c r="C27" s="56">
        <v>0.5</v>
      </c>
      <c r="D27" s="56">
        <v>520</v>
      </c>
      <c r="E27" s="57"/>
      <c r="F27" s="57"/>
      <c r="G27" s="57">
        <v>0</v>
      </c>
      <c r="H27" s="58"/>
      <c r="I27" s="58"/>
      <c r="J27" s="58">
        <v>0</v>
      </c>
      <c r="K27" s="59"/>
      <c r="L27" s="59"/>
      <c r="M27" s="59">
        <v>0</v>
      </c>
      <c r="N27" s="60">
        <f t="shared" si="0"/>
        <v>520</v>
      </c>
      <c r="O27" s="11">
        <v>183.05</v>
      </c>
      <c r="P27">
        <v>1960</v>
      </c>
      <c r="Q27">
        <v>1040</v>
      </c>
    </row>
    <row r="28" spans="1:23">
      <c r="A28" s="61" t="s">
        <v>294</v>
      </c>
      <c r="B28" s="56">
        <v>183.05</v>
      </c>
      <c r="C28" s="56">
        <v>0.5</v>
      </c>
      <c r="D28" s="56">
        <v>520</v>
      </c>
      <c r="E28" s="57"/>
      <c r="F28" s="57"/>
      <c r="G28" s="57">
        <v>0</v>
      </c>
      <c r="H28" s="58"/>
      <c r="I28" s="58"/>
      <c r="J28" s="58">
        <v>0</v>
      </c>
      <c r="K28" s="59"/>
      <c r="L28" s="59"/>
      <c r="M28" s="59">
        <v>0</v>
      </c>
      <c r="N28" s="60">
        <f t="shared" si="0"/>
        <v>520</v>
      </c>
      <c r="O28" s="11">
        <v>183.05</v>
      </c>
      <c r="P28">
        <v>1960</v>
      </c>
      <c r="Q28">
        <v>1040</v>
      </c>
    </row>
    <row r="29" spans="1:23">
      <c r="A29" s="61" t="s">
        <v>369</v>
      </c>
      <c r="B29" s="56">
        <v>183.07</v>
      </c>
      <c r="C29" s="56">
        <v>0.4</v>
      </c>
      <c r="D29" s="56">
        <v>193</v>
      </c>
      <c r="E29" s="57">
        <v>183.06</v>
      </c>
      <c r="F29" s="57">
        <v>1</v>
      </c>
      <c r="G29" s="57">
        <v>138</v>
      </c>
      <c r="H29" s="58">
        <v>182.01</v>
      </c>
      <c r="I29" s="58">
        <v>0.25</v>
      </c>
      <c r="J29" s="58">
        <v>116</v>
      </c>
      <c r="K29" s="59"/>
      <c r="L29" s="59"/>
      <c r="M29" s="59">
        <v>0</v>
      </c>
      <c r="N29" s="60">
        <f t="shared" si="0"/>
        <v>447</v>
      </c>
      <c r="O29" s="11">
        <v>183.07</v>
      </c>
      <c r="P29">
        <v>646</v>
      </c>
      <c r="Q29">
        <v>482</v>
      </c>
      <c r="R29" s="11">
        <v>183.06</v>
      </c>
      <c r="S29">
        <v>222</v>
      </c>
      <c r="T29">
        <v>138</v>
      </c>
      <c r="U29" s="11">
        <v>182.01</v>
      </c>
      <c r="V29">
        <v>652</v>
      </c>
      <c r="W29">
        <v>462</v>
      </c>
    </row>
    <row r="30" spans="1:23">
      <c r="A30" s="61" t="s">
        <v>366</v>
      </c>
      <c r="B30" s="56">
        <v>183.08</v>
      </c>
      <c r="C30" s="56">
        <v>1</v>
      </c>
      <c r="D30" s="56">
        <v>556</v>
      </c>
      <c r="E30" s="57"/>
      <c r="F30" s="57"/>
      <c r="G30" s="57">
        <v>0</v>
      </c>
      <c r="H30" s="58"/>
      <c r="I30" s="58"/>
      <c r="J30" s="58">
        <v>0</v>
      </c>
      <c r="K30" s="59"/>
      <c r="L30" s="59"/>
      <c r="M30" s="59">
        <v>0</v>
      </c>
      <c r="N30" s="60">
        <f t="shared" si="0"/>
        <v>556</v>
      </c>
      <c r="O30" s="11">
        <v>183.08</v>
      </c>
      <c r="P30">
        <v>1038</v>
      </c>
      <c r="Q30">
        <v>556</v>
      </c>
    </row>
    <row r="31" spans="1:23">
      <c r="A31" s="61" t="s">
        <v>358</v>
      </c>
      <c r="B31" s="56">
        <v>183.09</v>
      </c>
      <c r="C31" s="56">
        <v>0.5</v>
      </c>
      <c r="D31" s="56">
        <v>703</v>
      </c>
      <c r="E31" s="57"/>
      <c r="F31" s="57"/>
      <c r="G31" s="57">
        <v>0</v>
      </c>
      <c r="H31" s="58"/>
      <c r="I31" s="58"/>
      <c r="J31" s="58">
        <v>0</v>
      </c>
      <c r="K31" s="59"/>
      <c r="L31" s="59"/>
      <c r="M31" s="59">
        <v>0</v>
      </c>
      <c r="N31" s="60">
        <f t="shared" si="0"/>
        <v>703</v>
      </c>
      <c r="O31" s="21">
        <v>183.09</v>
      </c>
      <c r="P31">
        <v>2374</v>
      </c>
      <c r="Q31">
        <v>1406</v>
      </c>
    </row>
    <row r="32" spans="1:23">
      <c r="A32" s="61" t="s">
        <v>321</v>
      </c>
      <c r="B32" s="56">
        <v>183.09</v>
      </c>
      <c r="C32" s="56">
        <v>0.5</v>
      </c>
      <c r="D32" s="56">
        <v>703</v>
      </c>
      <c r="E32" s="57"/>
      <c r="F32" s="57"/>
      <c r="G32" s="57">
        <v>0</v>
      </c>
      <c r="H32" s="58"/>
      <c r="I32" s="58"/>
      <c r="J32" s="58">
        <v>0</v>
      </c>
      <c r="K32" s="59"/>
      <c r="L32" s="59"/>
      <c r="M32" s="59">
        <v>0</v>
      </c>
      <c r="N32" s="60">
        <f t="shared" si="0"/>
        <v>703</v>
      </c>
      <c r="O32" s="21">
        <v>183.09</v>
      </c>
      <c r="P32">
        <v>2374</v>
      </c>
      <c r="Q32">
        <v>1406</v>
      </c>
    </row>
    <row r="33" spans="1:23">
      <c r="A33" s="61" t="s">
        <v>297</v>
      </c>
      <c r="B33" s="56">
        <v>184.02</v>
      </c>
      <c r="C33" s="56">
        <v>1</v>
      </c>
      <c r="D33" s="56">
        <v>521</v>
      </c>
      <c r="E33" s="57">
        <v>184.16</v>
      </c>
      <c r="F33" s="57">
        <v>0.25</v>
      </c>
      <c r="G33" s="57">
        <v>114</v>
      </c>
      <c r="H33" s="58"/>
      <c r="I33" s="58"/>
      <c r="J33" s="58">
        <v>0</v>
      </c>
      <c r="K33" s="59"/>
      <c r="L33" s="59"/>
      <c r="M33" s="59">
        <v>0</v>
      </c>
      <c r="N33" s="60">
        <f t="shared" si="0"/>
        <v>635</v>
      </c>
      <c r="O33" s="11">
        <v>184.02</v>
      </c>
      <c r="P33">
        <v>869</v>
      </c>
      <c r="Q33">
        <v>521</v>
      </c>
      <c r="R33" s="11">
        <v>184.16</v>
      </c>
      <c r="S33">
        <v>667</v>
      </c>
      <c r="T33">
        <v>457</v>
      </c>
    </row>
    <row r="34" spans="1:23">
      <c r="A34" s="61" t="s">
        <v>394</v>
      </c>
      <c r="B34" s="56">
        <v>184.06</v>
      </c>
      <c r="C34" s="56">
        <v>0.66700000000000004</v>
      </c>
      <c r="D34" s="56">
        <v>764</v>
      </c>
      <c r="E34" s="57">
        <v>182.03</v>
      </c>
      <c r="F34" s="57">
        <v>0.2</v>
      </c>
      <c r="G34" s="57">
        <v>71</v>
      </c>
      <c r="H34" s="58"/>
      <c r="I34" s="58"/>
      <c r="J34" s="58">
        <v>0</v>
      </c>
      <c r="K34" s="59"/>
      <c r="L34" s="59"/>
      <c r="M34" s="59">
        <v>0</v>
      </c>
      <c r="N34" s="60">
        <f t="shared" si="0"/>
        <v>835</v>
      </c>
      <c r="O34" s="11">
        <v>184.06</v>
      </c>
      <c r="P34">
        <v>2149</v>
      </c>
      <c r="Q34">
        <v>1146</v>
      </c>
      <c r="R34" s="11">
        <v>182.03</v>
      </c>
      <c r="S34">
        <v>361</v>
      </c>
      <c r="T34">
        <v>357</v>
      </c>
    </row>
    <row r="35" spans="1:23">
      <c r="A35" s="61" t="s">
        <v>352</v>
      </c>
      <c r="B35" s="56">
        <v>184.06</v>
      </c>
      <c r="C35" s="56">
        <v>0.33300000000000002</v>
      </c>
      <c r="D35" s="56">
        <v>382</v>
      </c>
      <c r="E35" s="57">
        <v>184.07</v>
      </c>
      <c r="F35" s="57">
        <v>1</v>
      </c>
      <c r="G35" s="57">
        <v>359</v>
      </c>
      <c r="H35" s="58"/>
      <c r="I35" s="58"/>
      <c r="J35" s="58">
        <v>0</v>
      </c>
      <c r="K35" s="59"/>
      <c r="L35" s="59"/>
      <c r="M35" s="59">
        <v>0</v>
      </c>
      <c r="N35" s="60">
        <f t="shared" si="0"/>
        <v>741</v>
      </c>
      <c r="O35" s="11">
        <v>184.06</v>
      </c>
      <c r="P35">
        <v>2149</v>
      </c>
      <c r="Q35">
        <v>1146</v>
      </c>
      <c r="R35" s="11">
        <v>184.07</v>
      </c>
      <c r="S35">
        <v>562</v>
      </c>
      <c r="T35">
        <v>359</v>
      </c>
    </row>
    <row r="36" spans="1:23">
      <c r="A36" s="61" t="s">
        <v>362</v>
      </c>
      <c r="B36" s="56">
        <v>184.08</v>
      </c>
      <c r="C36" s="56">
        <v>1</v>
      </c>
      <c r="D36" s="56">
        <v>570</v>
      </c>
      <c r="E36" s="57"/>
      <c r="F36" s="57"/>
      <c r="G36" s="57">
        <v>0</v>
      </c>
      <c r="H36" s="58"/>
      <c r="I36" s="58"/>
      <c r="J36" s="58">
        <v>0</v>
      </c>
      <c r="K36" s="59"/>
      <c r="L36" s="59"/>
      <c r="M36" s="59">
        <v>0</v>
      </c>
      <c r="N36" s="60">
        <f t="shared" si="0"/>
        <v>570</v>
      </c>
      <c r="O36" s="11">
        <v>184.08</v>
      </c>
      <c r="P36">
        <v>872</v>
      </c>
      <c r="Q36">
        <v>570</v>
      </c>
    </row>
    <row r="37" spans="1:23">
      <c r="A37" s="61" t="s">
        <v>372</v>
      </c>
      <c r="B37" s="56">
        <v>184.09</v>
      </c>
      <c r="C37" s="56">
        <v>0.5</v>
      </c>
      <c r="D37" s="56">
        <v>193</v>
      </c>
      <c r="E37" s="57">
        <v>184.1</v>
      </c>
      <c r="F37" s="57">
        <v>0.5</v>
      </c>
      <c r="G37" s="57">
        <v>288</v>
      </c>
      <c r="H37" s="58"/>
      <c r="I37" s="58"/>
      <c r="J37" s="58">
        <v>0</v>
      </c>
      <c r="K37" s="59"/>
      <c r="L37" s="59"/>
      <c r="M37" s="59">
        <v>0</v>
      </c>
      <c r="N37" s="60">
        <f t="shared" si="0"/>
        <v>481</v>
      </c>
      <c r="O37" s="11">
        <v>184.09</v>
      </c>
      <c r="P37">
        <v>581</v>
      </c>
      <c r="Q37">
        <v>386</v>
      </c>
      <c r="R37" s="11">
        <v>184.1</v>
      </c>
      <c r="S37">
        <v>778</v>
      </c>
      <c r="T37">
        <v>575</v>
      </c>
    </row>
    <row r="38" spans="1:23">
      <c r="A38" s="61" t="s">
        <v>365</v>
      </c>
      <c r="B38" s="56">
        <v>184.1</v>
      </c>
      <c r="C38" s="56">
        <v>0.5</v>
      </c>
      <c r="D38" s="56">
        <v>288</v>
      </c>
      <c r="E38" s="57"/>
      <c r="F38" s="57"/>
      <c r="G38" s="57">
        <v>0</v>
      </c>
      <c r="H38" s="58"/>
      <c r="I38" s="58"/>
      <c r="J38" s="58">
        <v>0</v>
      </c>
      <c r="K38" s="59"/>
      <c r="L38" s="59"/>
      <c r="M38" s="59">
        <v>0</v>
      </c>
      <c r="N38" s="60">
        <f t="shared" si="0"/>
        <v>288</v>
      </c>
      <c r="O38" s="11">
        <v>184.1</v>
      </c>
      <c r="P38">
        <v>778</v>
      </c>
      <c r="Q38">
        <v>575</v>
      </c>
    </row>
    <row r="39" spans="1:23">
      <c r="A39" s="61" t="s">
        <v>319</v>
      </c>
      <c r="B39" s="56">
        <v>184.11</v>
      </c>
      <c r="C39" s="56">
        <v>1</v>
      </c>
      <c r="D39" s="56">
        <v>1016</v>
      </c>
      <c r="E39" s="57"/>
      <c r="F39" s="57"/>
      <c r="G39" s="57">
        <v>0</v>
      </c>
      <c r="H39" s="58"/>
      <c r="I39" s="58"/>
      <c r="J39" s="58">
        <v>0</v>
      </c>
      <c r="K39" s="59"/>
      <c r="L39" s="59"/>
      <c r="M39" s="59">
        <v>0</v>
      </c>
      <c r="N39" s="60">
        <f t="shared" si="0"/>
        <v>1016</v>
      </c>
      <c r="O39" s="11">
        <v>184.11</v>
      </c>
      <c r="P39">
        <v>1598</v>
      </c>
      <c r="Q39">
        <v>1016</v>
      </c>
    </row>
    <row r="40" spans="1:23">
      <c r="A40" s="61" t="s">
        <v>353</v>
      </c>
      <c r="B40" s="56">
        <v>184.12</v>
      </c>
      <c r="C40" s="56">
        <v>0.5</v>
      </c>
      <c r="D40" s="56">
        <v>337</v>
      </c>
      <c r="E40" s="57">
        <v>184.13</v>
      </c>
      <c r="F40" s="57">
        <v>0.1</v>
      </c>
      <c r="G40" s="57">
        <v>42</v>
      </c>
      <c r="H40" s="58">
        <v>184.14</v>
      </c>
      <c r="I40" s="58">
        <v>0.2</v>
      </c>
      <c r="J40" s="58">
        <v>143</v>
      </c>
      <c r="K40" s="59"/>
      <c r="L40" s="59"/>
      <c r="M40" s="59">
        <v>0</v>
      </c>
      <c r="N40" s="60">
        <f t="shared" si="0"/>
        <v>522</v>
      </c>
      <c r="O40" s="11">
        <v>184.12</v>
      </c>
      <c r="P40">
        <v>1034</v>
      </c>
      <c r="Q40">
        <v>673</v>
      </c>
      <c r="R40" s="11">
        <v>184.13</v>
      </c>
      <c r="S40">
        <v>659</v>
      </c>
      <c r="T40">
        <v>417</v>
      </c>
      <c r="U40" s="11">
        <v>184.14</v>
      </c>
      <c r="V40">
        <v>1595</v>
      </c>
      <c r="W40">
        <v>717</v>
      </c>
    </row>
    <row r="41" spans="1:23">
      <c r="A41" s="61" t="s">
        <v>345</v>
      </c>
      <c r="B41" s="56">
        <v>184.13</v>
      </c>
      <c r="C41" s="56">
        <v>0.3</v>
      </c>
      <c r="D41" s="56">
        <v>125</v>
      </c>
      <c r="E41" s="57">
        <v>184.12</v>
      </c>
      <c r="F41" s="57">
        <v>0.3</v>
      </c>
      <c r="G41" s="57">
        <v>202</v>
      </c>
      <c r="H41" s="58"/>
      <c r="I41" s="58"/>
      <c r="J41" s="58">
        <v>0</v>
      </c>
      <c r="K41" s="59"/>
      <c r="L41" s="59"/>
      <c r="M41" s="59">
        <v>0</v>
      </c>
      <c r="N41" s="60">
        <f t="shared" si="0"/>
        <v>327</v>
      </c>
      <c r="O41" s="11">
        <v>184.13</v>
      </c>
      <c r="P41">
        <v>659</v>
      </c>
      <c r="Q41">
        <v>417</v>
      </c>
      <c r="R41" s="11">
        <v>184.12</v>
      </c>
      <c r="S41">
        <v>1034</v>
      </c>
      <c r="T41">
        <v>673</v>
      </c>
    </row>
    <row r="42" spans="1:23">
      <c r="A42" s="61" t="s">
        <v>391</v>
      </c>
      <c r="B42" s="56">
        <v>184.13</v>
      </c>
      <c r="C42" s="56">
        <v>0.2</v>
      </c>
      <c r="D42" s="56">
        <v>83</v>
      </c>
      <c r="E42" s="57">
        <v>182.03</v>
      </c>
      <c r="F42" s="57">
        <v>0.4</v>
      </c>
      <c r="G42" s="57">
        <v>143</v>
      </c>
      <c r="H42" s="58"/>
      <c r="I42" s="58"/>
      <c r="J42" s="58">
        <v>0</v>
      </c>
      <c r="K42" s="59"/>
      <c r="L42" s="59"/>
      <c r="M42" s="59">
        <v>0</v>
      </c>
      <c r="N42" s="60">
        <f t="shared" si="0"/>
        <v>226</v>
      </c>
      <c r="O42" s="11">
        <v>184.13</v>
      </c>
      <c r="P42">
        <v>659</v>
      </c>
      <c r="Q42">
        <v>417</v>
      </c>
      <c r="R42" s="11">
        <v>182.03</v>
      </c>
      <c r="S42">
        <v>361</v>
      </c>
      <c r="T42">
        <v>357</v>
      </c>
    </row>
    <row r="43" spans="1:23">
      <c r="A43" s="61" t="s">
        <v>316</v>
      </c>
      <c r="B43" s="56">
        <v>184.14</v>
      </c>
      <c r="C43" s="56">
        <v>0.8</v>
      </c>
      <c r="D43" s="56">
        <v>574</v>
      </c>
      <c r="E43" s="57">
        <v>184.13</v>
      </c>
      <c r="F43" s="57">
        <v>0.2</v>
      </c>
      <c r="G43" s="57">
        <v>83</v>
      </c>
      <c r="H43" s="58"/>
      <c r="I43" s="58"/>
      <c r="J43" s="58">
        <v>0</v>
      </c>
      <c r="K43" s="59"/>
      <c r="L43" s="59"/>
      <c r="M43" s="59">
        <v>0</v>
      </c>
      <c r="N43" s="60">
        <f t="shared" si="0"/>
        <v>657</v>
      </c>
      <c r="O43" s="11">
        <v>184.14</v>
      </c>
      <c r="P43">
        <v>1595</v>
      </c>
      <c r="Q43">
        <v>717</v>
      </c>
      <c r="R43" s="11">
        <v>184.13</v>
      </c>
      <c r="S43">
        <v>659</v>
      </c>
      <c r="T43">
        <v>417</v>
      </c>
    </row>
    <row r="44" spans="1:23">
      <c r="A44" s="61" t="s">
        <v>371</v>
      </c>
      <c r="B44" s="56">
        <v>184.16</v>
      </c>
      <c r="C44" s="56">
        <v>0.6</v>
      </c>
      <c r="D44" s="56">
        <v>274</v>
      </c>
      <c r="E44" s="57"/>
      <c r="F44" s="57"/>
      <c r="G44" s="57">
        <v>0</v>
      </c>
      <c r="H44" s="58"/>
      <c r="I44" s="58"/>
      <c r="J44" s="58">
        <v>0</v>
      </c>
      <c r="K44" s="59"/>
      <c r="L44" s="59"/>
      <c r="M44" s="59">
        <v>0</v>
      </c>
      <c r="N44" s="60">
        <f t="shared" si="0"/>
        <v>274</v>
      </c>
      <c r="O44" s="11">
        <v>184.16</v>
      </c>
      <c r="P44">
        <v>667</v>
      </c>
      <c r="Q44">
        <v>457</v>
      </c>
    </row>
    <row r="45" spans="1:23">
      <c r="A45" s="61" t="s">
        <v>315</v>
      </c>
      <c r="B45" s="56">
        <v>184.16</v>
      </c>
      <c r="C45" s="56">
        <v>0.15</v>
      </c>
      <c r="D45" s="56">
        <v>69</v>
      </c>
      <c r="E45" s="57">
        <v>184.15</v>
      </c>
      <c r="F45" s="57">
        <v>1</v>
      </c>
      <c r="G45" s="57">
        <v>305</v>
      </c>
      <c r="H45" s="58">
        <v>184.09</v>
      </c>
      <c r="I45" s="58">
        <v>0.5</v>
      </c>
      <c r="J45" s="58">
        <v>193</v>
      </c>
      <c r="K45" s="59"/>
      <c r="L45" s="59"/>
      <c r="M45" s="59">
        <v>0</v>
      </c>
      <c r="N45" s="60">
        <f t="shared" si="0"/>
        <v>567</v>
      </c>
      <c r="O45" s="11">
        <v>184.16</v>
      </c>
      <c r="P45">
        <v>667</v>
      </c>
      <c r="Q45">
        <v>457</v>
      </c>
      <c r="R45" s="11">
        <v>184.15</v>
      </c>
      <c r="S45">
        <v>347</v>
      </c>
      <c r="T45">
        <v>305</v>
      </c>
      <c r="U45" s="11">
        <v>184.09</v>
      </c>
      <c r="V45">
        <v>581</v>
      </c>
      <c r="W45">
        <v>386</v>
      </c>
    </row>
    <row r="46" spans="1:23">
      <c r="A46" s="61" t="s">
        <v>395</v>
      </c>
      <c r="B46" s="56">
        <v>185.05</v>
      </c>
      <c r="C46" s="56">
        <v>0.8</v>
      </c>
      <c r="D46" s="56">
        <v>470</v>
      </c>
      <c r="E46" s="57"/>
      <c r="F46" s="57"/>
      <c r="G46" s="57">
        <v>0</v>
      </c>
      <c r="H46" s="58"/>
      <c r="I46" s="58"/>
      <c r="J46" s="58">
        <v>0</v>
      </c>
      <c r="K46" s="59"/>
      <c r="L46" s="59"/>
      <c r="M46" s="59">
        <v>0</v>
      </c>
      <c r="N46" s="60">
        <f t="shared" si="0"/>
        <v>470</v>
      </c>
      <c r="O46" s="1">
        <v>185.05</v>
      </c>
      <c r="P46">
        <v>805</v>
      </c>
      <c r="Q46">
        <v>587</v>
      </c>
    </row>
    <row r="47" spans="1:23">
      <c r="A47" s="61" t="s">
        <v>380</v>
      </c>
      <c r="B47" s="56">
        <v>185.07</v>
      </c>
      <c r="C47" s="56">
        <v>0.33300000000000002</v>
      </c>
      <c r="D47" s="56">
        <v>306</v>
      </c>
      <c r="E47" s="57"/>
      <c r="F47" s="57"/>
      <c r="G47" s="57">
        <v>0</v>
      </c>
      <c r="H47" s="58"/>
      <c r="I47" s="58"/>
      <c r="J47" s="58">
        <v>0</v>
      </c>
      <c r="K47" s="59"/>
      <c r="L47" s="59"/>
      <c r="M47" s="59">
        <v>0</v>
      </c>
      <c r="N47" s="60">
        <f t="shared" si="0"/>
        <v>306</v>
      </c>
      <c r="O47" s="11">
        <v>185.07</v>
      </c>
      <c r="P47">
        <v>1379</v>
      </c>
      <c r="Q47">
        <v>919</v>
      </c>
    </row>
    <row r="48" spans="1:23">
      <c r="A48" s="61" t="s">
        <v>377</v>
      </c>
      <c r="B48" s="56">
        <v>185.07</v>
      </c>
      <c r="C48" s="56">
        <v>0.33300000000000002</v>
      </c>
      <c r="D48" s="56">
        <v>306</v>
      </c>
      <c r="E48" s="57">
        <v>184.12</v>
      </c>
      <c r="F48" s="57">
        <v>0.2</v>
      </c>
      <c r="G48" s="57">
        <v>135</v>
      </c>
      <c r="H48" s="58">
        <v>184.13</v>
      </c>
      <c r="I48" s="58">
        <v>0.2</v>
      </c>
      <c r="J48" s="58">
        <v>83</v>
      </c>
      <c r="K48" s="59"/>
      <c r="L48" s="59"/>
      <c r="M48" s="59">
        <v>0</v>
      </c>
      <c r="N48" s="60">
        <f t="shared" si="0"/>
        <v>524</v>
      </c>
      <c r="O48" s="11">
        <v>185.07</v>
      </c>
      <c r="P48">
        <v>1379</v>
      </c>
      <c r="Q48">
        <v>919</v>
      </c>
      <c r="R48" s="11">
        <v>184.12</v>
      </c>
      <c r="S48">
        <v>1034</v>
      </c>
      <c r="T48">
        <v>673</v>
      </c>
      <c r="U48" s="11">
        <v>184.13</v>
      </c>
      <c r="V48">
        <v>659</v>
      </c>
      <c r="W48">
        <v>417</v>
      </c>
    </row>
    <row r="49" spans="1:23">
      <c r="A49" s="61" t="s">
        <v>367</v>
      </c>
      <c r="B49" s="56">
        <v>185.09</v>
      </c>
      <c r="C49" s="56">
        <v>0.66700000000000004</v>
      </c>
      <c r="D49" s="56">
        <v>237</v>
      </c>
      <c r="E49" s="57"/>
      <c r="F49" s="57"/>
      <c r="G49" s="57">
        <v>0</v>
      </c>
      <c r="H49" s="58"/>
      <c r="I49" s="58"/>
      <c r="J49" s="58">
        <v>0</v>
      </c>
      <c r="K49" s="59"/>
      <c r="L49" s="59"/>
      <c r="M49" s="59">
        <v>0</v>
      </c>
      <c r="N49" s="60">
        <f t="shared" si="0"/>
        <v>237</v>
      </c>
      <c r="O49" s="11">
        <v>185.09</v>
      </c>
      <c r="P49">
        <v>602</v>
      </c>
      <c r="Q49">
        <v>356</v>
      </c>
    </row>
    <row r="50" spans="1:23">
      <c r="A50" s="61" t="s">
        <v>390</v>
      </c>
      <c r="B50" s="56">
        <v>185.1</v>
      </c>
      <c r="C50" s="56">
        <v>0.5</v>
      </c>
      <c r="D50" s="56">
        <v>239</v>
      </c>
      <c r="E50" s="57">
        <v>185.11</v>
      </c>
      <c r="F50" s="57">
        <v>0.33300000000000002</v>
      </c>
      <c r="G50" s="57">
        <v>196</v>
      </c>
      <c r="H50" s="58"/>
      <c r="I50" s="58"/>
      <c r="J50" s="58">
        <v>0</v>
      </c>
      <c r="K50" s="59"/>
      <c r="L50" s="59"/>
      <c r="M50" s="59">
        <v>0</v>
      </c>
      <c r="N50" s="60">
        <f t="shared" si="0"/>
        <v>435</v>
      </c>
      <c r="O50" s="11">
        <v>185.1</v>
      </c>
      <c r="P50">
        <v>845</v>
      </c>
      <c r="Q50">
        <v>477</v>
      </c>
      <c r="R50" s="11">
        <v>185.11</v>
      </c>
      <c r="S50">
        <v>1103</v>
      </c>
      <c r="T50">
        <v>589</v>
      </c>
    </row>
    <row r="51" spans="1:23">
      <c r="A51" s="61" t="s">
        <v>397</v>
      </c>
      <c r="B51" s="56">
        <v>185.11</v>
      </c>
      <c r="C51" s="56">
        <v>0.66700000000000004</v>
      </c>
      <c r="D51" s="56">
        <v>393</v>
      </c>
      <c r="E51" s="57"/>
      <c r="F51" s="57"/>
      <c r="G51" s="57">
        <v>0</v>
      </c>
      <c r="H51" s="58"/>
      <c r="I51" s="58"/>
      <c r="J51" s="58">
        <v>0</v>
      </c>
      <c r="K51" s="59"/>
      <c r="L51" s="59"/>
      <c r="M51" s="59">
        <v>0</v>
      </c>
      <c r="N51" s="60">
        <f t="shared" si="0"/>
        <v>393</v>
      </c>
      <c r="O51" s="11">
        <v>185.11</v>
      </c>
      <c r="P51">
        <v>1103</v>
      </c>
      <c r="Q51">
        <v>589</v>
      </c>
    </row>
    <row r="52" spans="1:23">
      <c r="A52" s="61" t="s">
        <v>373</v>
      </c>
      <c r="B52" s="56">
        <v>185.12</v>
      </c>
      <c r="C52" s="56">
        <v>0.5</v>
      </c>
      <c r="D52" s="56">
        <v>266</v>
      </c>
      <c r="E52" s="57"/>
      <c r="F52" s="57"/>
      <c r="G52" s="57">
        <v>0</v>
      </c>
      <c r="H52" s="58"/>
      <c r="I52" s="58"/>
      <c r="J52" s="58">
        <v>0</v>
      </c>
      <c r="K52" s="59"/>
      <c r="L52" s="59"/>
      <c r="M52" s="59">
        <v>0</v>
      </c>
      <c r="N52" s="60">
        <f t="shared" si="0"/>
        <v>266</v>
      </c>
      <c r="O52" s="11">
        <v>185.12</v>
      </c>
      <c r="P52">
        <v>865</v>
      </c>
      <c r="Q52">
        <v>532</v>
      </c>
    </row>
    <row r="53" spans="1:23">
      <c r="A53" s="61" t="s">
        <v>336</v>
      </c>
      <c r="B53" s="56">
        <v>185.12</v>
      </c>
      <c r="C53" s="56">
        <v>0.5</v>
      </c>
      <c r="D53" s="56">
        <v>266</v>
      </c>
      <c r="E53" s="57">
        <v>185.05</v>
      </c>
      <c r="F53" s="57">
        <v>0.2</v>
      </c>
      <c r="G53" s="57">
        <v>117</v>
      </c>
      <c r="H53" s="58"/>
      <c r="I53" s="58"/>
      <c r="J53" s="58">
        <v>0</v>
      </c>
      <c r="K53" s="59"/>
      <c r="L53" s="59"/>
      <c r="M53" s="59">
        <v>0</v>
      </c>
      <c r="N53" s="60">
        <f t="shared" si="0"/>
        <v>383</v>
      </c>
      <c r="O53" s="11">
        <v>185.12</v>
      </c>
      <c r="P53">
        <v>865</v>
      </c>
      <c r="Q53">
        <v>532</v>
      </c>
      <c r="R53" s="1">
        <v>185.05</v>
      </c>
      <c r="S53">
        <v>805</v>
      </c>
      <c r="T53">
        <v>587</v>
      </c>
    </row>
    <row r="54" spans="1:23">
      <c r="A54" s="61" t="s">
        <v>376</v>
      </c>
      <c r="B54" s="56">
        <v>185.15</v>
      </c>
      <c r="C54" s="56">
        <v>0.66700000000000004</v>
      </c>
      <c r="D54" s="56">
        <v>265</v>
      </c>
      <c r="E54" s="57">
        <v>185.16</v>
      </c>
      <c r="F54" s="57">
        <v>0.5</v>
      </c>
      <c r="G54" s="57">
        <v>209</v>
      </c>
      <c r="H54" s="58"/>
      <c r="I54" s="58"/>
      <c r="J54" s="58">
        <v>0</v>
      </c>
      <c r="K54" s="59"/>
      <c r="L54" s="59"/>
      <c r="M54" s="59">
        <v>0</v>
      </c>
      <c r="N54" s="60">
        <f t="shared" si="0"/>
        <v>474</v>
      </c>
      <c r="O54" s="11">
        <v>185.15</v>
      </c>
      <c r="P54">
        <v>708</v>
      </c>
      <c r="Q54">
        <v>397</v>
      </c>
      <c r="R54" s="11">
        <v>185.16</v>
      </c>
      <c r="S54">
        <v>664</v>
      </c>
      <c r="T54">
        <v>418</v>
      </c>
    </row>
    <row r="55" spans="1:23">
      <c r="A55" s="61" t="s">
        <v>330</v>
      </c>
      <c r="B55" s="56">
        <v>185.16</v>
      </c>
      <c r="C55" s="56">
        <v>0.5</v>
      </c>
      <c r="D55" s="56">
        <v>209</v>
      </c>
      <c r="E55" s="57">
        <v>185.1</v>
      </c>
      <c r="F55" s="57">
        <v>0.5</v>
      </c>
      <c r="G55" s="57">
        <v>239</v>
      </c>
      <c r="H55" s="58"/>
      <c r="I55" s="58"/>
      <c r="J55" s="58">
        <v>0</v>
      </c>
      <c r="K55" s="59"/>
      <c r="L55" s="59"/>
      <c r="M55" s="59">
        <v>0</v>
      </c>
      <c r="N55" s="60">
        <f t="shared" si="0"/>
        <v>448</v>
      </c>
      <c r="O55" s="11">
        <v>185.16</v>
      </c>
      <c r="P55">
        <v>664</v>
      </c>
      <c r="Q55">
        <v>418</v>
      </c>
      <c r="R55" s="11">
        <v>185.1</v>
      </c>
      <c r="S55">
        <v>845</v>
      </c>
      <c r="T55">
        <v>477</v>
      </c>
    </row>
    <row r="56" spans="1:23">
      <c r="A56" s="61" t="s">
        <v>313</v>
      </c>
      <c r="B56" s="56">
        <v>185.17</v>
      </c>
      <c r="C56" s="56">
        <v>1</v>
      </c>
      <c r="D56" s="56">
        <v>267</v>
      </c>
      <c r="E56" s="57"/>
      <c r="F56" s="57"/>
      <c r="G56" s="57">
        <v>0</v>
      </c>
      <c r="H56" s="58"/>
      <c r="I56" s="58"/>
      <c r="J56" s="58">
        <v>0</v>
      </c>
      <c r="K56" s="59"/>
      <c r="L56" s="59"/>
      <c r="M56" s="59">
        <v>0</v>
      </c>
      <c r="N56" s="60">
        <f t="shared" si="0"/>
        <v>267</v>
      </c>
      <c r="O56" s="11">
        <v>185.17</v>
      </c>
      <c r="P56">
        <v>341</v>
      </c>
      <c r="Q56">
        <v>267</v>
      </c>
    </row>
    <row r="57" spans="1:23">
      <c r="A57" s="61" t="s">
        <v>363</v>
      </c>
      <c r="B57" s="56">
        <v>185.18</v>
      </c>
      <c r="C57" s="56">
        <v>0.66700000000000004</v>
      </c>
      <c r="D57" s="56">
        <v>257</v>
      </c>
      <c r="E57" s="57"/>
      <c r="F57" s="57"/>
      <c r="G57" s="57">
        <v>0</v>
      </c>
      <c r="H57" s="58"/>
      <c r="I57" s="58"/>
      <c r="J57" s="58">
        <v>0</v>
      </c>
      <c r="K57" s="59"/>
      <c r="L57" s="59"/>
      <c r="M57" s="59">
        <v>0</v>
      </c>
      <c r="N57" s="60">
        <f t="shared" si="0"/>
        <v>257</v>
      </c>
      <c r="O57" s="11">
        <v>185.18</v>
      </c>
      <c r="P57">
        <v>554</v>
      </c>
      <c r="Q57">
        <v>385</v>
      </c>
    </row>
    <row r="58" spans="1:23">
      <c r="A58" s="61" t="s">
        <v>323</v>
      </c>
      <c r="B58" s="56">
        <v>185.18</v>
      </c>
      <c r="C58" s="56">
        <v>0.33300000000000002</v>
      </c>
      <c r="D58" s="56">
        <v>128</v>
      </c>
      <c r="E58" s="57">
        <v>185.08</v>
      </c>
      <c r="F58" s="57">
        <v>1</v>
      </c>
      <c r="G58" s="57">
        <v>124</v>
      </c>
      <c r="H58" s="58">
        <v>185.07</v>
      </c>
      <c r="I58" s="58">
        <v>0.33300000000000002</v>
      </c>
      <c r="J58" s="58">
        <v>306</v>
      </c>
      <c r="K58" s="59"/>
      <c r="L58" s="59"/>
      <c r="M58" s="59">
        <v>0</v>
      </c>
      <c r="N58" s="60">
        <f t="shared" si="0"/>
        <v>558</v>
      </c>
      <c r="O58" s="11">
        <v>185.18</v>
      </c>
      <c r="P58">
        <v>554</v>
      </c>
      <c r="Q58">
        <v>385</v>
      </c>
      <c r="R58" s="11">
        <v>185.08</v>
      </c>
      <c r="S58">
        <v>147</v>
      </c>
      <c r="T58">
        <v>124</v>
      </c>
      <c r="U58" s="11">
        <v>185.07</v>
      </c>
      <c r="V58">
        <v>1379</v>
      </c>
      <c r="W58">
        <v>919</v>
      </c>
    </row>
    <row r="59" spans="1:23">
      <c r="A59" s="61" t="s">
        <v>298</v>
      </c>
      <c r="B59" s="56">
        <v>185.19</v>
      </c>
      <c r="C59" s="56">
        <v>1</v>
      </c>
      <c r="D59" s="56">
        <v>546</v>
      </c>
      <c r="E59" s="57">
        <v>185.2</v>
      </c>
      <c r="F59" s="57">
        <v>1</v>
      </c>
      <c r="G59" s="57">
        <v>490</v>
      </c>
      <c r="H59" s="58"/>
      <c r="I59" s="58"/>
      <c r="J59" s="58">
        <v>0</v>
      </c>
      <c r="K59" s="59"/>
      <c r="L59" s="59"/>
      <c r="M59" s="59">
        <v>0</v>
      </c>
      <c r="N59" s="60">
        <f t="shared" si="0"/>
        <v>1036</v>
      </c>
      <c r="O59" s="11">
        <v>185.19</v>
      </c>
      <c r="P59">
        <v>874</v>
      </c>
      <c r="Q59">
        <v>546</v>
      </c>
      <c r="R59" s="11">
        <v>185.2</v>
      </c>
      <c r="S59">
        <v>823</v>
      </c>
      <c r="T59">
        <v>490</v>
      </c>
    </row>
    <row r="60" spans="1:23">
      <c r="A60" s="61" t="s">
        <v>324</v>
      </c>
      <c r="B60" s="56">
        <v>185.21</v>
      </c>
      <c r="C60" s="56">
        <v>1</v>
      </c>
      <c r="D60" s="56">
        <v>278</v>
      </c>
      <c r="E60" s="57">
        <v>185.22</v>
      </c>
      <c r="F60" s="57">
        <v>1</v>
      </c>
      <c r="G60" s="57">
        <v>302</v>
      </c>
      <c r="H60" s="58"/>
      <c r="I60" s="58"/>
      <c r="J60" s="58">
        <v>0</v>
      </c>
      <c r="K60" s="59"/>
      <c r="L60" s="59"/>
      <c r="M60" s="59">
        <v>0</v>
      </c>
      <c r="N60" s="60">
        <f t="shared" si="0"/>
        <v>580</v>
      </c>
      <c r="O60" s="11">
        <v>185.21</v>
      </c>
      <c r="P60">
        <v>466</v>
      </c>
      <c r="Q60">
        <v>278</v>
      </c>
      <c r="R60" s="11">
        <v>185.22</v>
      </c>
      <c r="S60">
        <v>494</v>
      </c>
      <c r="T60">
        <v>302</v>
      </c>
    </row>
    <row r="61" spans="1:23">
      <c r="A61" s="61" t="s">
        <v>317</v>
      </c>
      <c r="B61" s="56">
        <v>186.01</v>
      </c>
      <c r="C61" s="56">
        <v>0.25</v>
      </c>
      <c r="D61" s="56">
        <v>137</v>
      </c>
      <c r="E61" s="57">
        <v>186.02</v>
      </c>
      <c r="F61" s="57">
        <v>0.25</v>
      </c>
      <c r="G61" s="57">
        <v>109</v>
      </c>
      <c r="H61" s="58"/>
      <c r="I61" s="58"/>
      <c r="J61" s="58">
        <v>0</v>
      </c>
      <c r="K61" s="59"/>
      <c r="L61" s="59"/>
      <c r="M61" s="59">
        <v>0</v>
      </c>
      <c r="N61" s="60">
        <f t="shared" si="0"/>
        <v>246</v>
      </c>
      <c r="O61" s="11">
        <v>186.01</v>
      </c>
      <c r="P61">
        <v>809</v>
      </c>
      <c r="Q61">
        <v>549</v>
      </c>
      <c r="R61" s="11">
        <v>186.02</v>
      </c>
      <c r="S61">
        <v>653</v>
      </c>
      <c r="T61">
        <v>437</v>
      </c>
    </row>
    <row r="62" spans="1:23">
      <c r="A62" s="61" t="s">
        <v>382</v>
      </c>
      <c r="B62" s="56">
        <v>186.01</v>
      </c>
      <c r="C62" s="56">
        <v>0.25</v>
      </c>
      <c r="D62" s="56">
        <v>137</v>
      </c>
      <c r="E62" s="57">
        <v>186.02</v>
      </c>
      <c r="F62" s="57">
        <v>0.75</v>
      </c>
      <c r="G62" s="57">
        <v>328</v>
      </c>
      <c r="H62" s="58">
        <v>192</v>
      </c>
      <c r="I62" s="58">
        <v>0.33</v>
      </c>
      <c r="J62" s="58">
        <v>92</v>
      </c>
      <c r="K62" s="59"/>
      <c r="L62" s="59"/>
      <c r="M62" s="59">
        <v>0</v>
      </c>
      <c r="N62" s="60">
        <f t="shared" si="0"/>
        <v>557</v>
      </c>
      <c r="O62" s="11">
        <v>186.01</v>
      </c>
      <c r="P62">
        <v>809</v>
      </c>
      <c r="Q62">
        <v>549</v>
      </c>
      <c r="R62" s="11">
        <v>186.02</v>
      </c>
      <c r="S62">
        <v>653</v>
      </c>
      <c r="T62">
        <v>437</v>
      </c>
      <c r="U62" s="11">
        <v>192</v>
      </c>
      <c r="V62">
        <v>415</v>
      </c>
      <c r="W62">
        <v>278</v>
      </c>
    </row>
    <row r="63" spans="1:23">
      <c r="A63" s="61" t="s">
        <v>385</v>
      </c>
      <c r="B63" s="56">
        <v>186.01</v>
      </c>
      <c r="C63" s="56">
        <v>0.5</v>
      </c>
      <c r="D63" s="56">
        <v>275</v>
      </c>
      <c r="E63" s="57"/>
      <c r="F63" s="57"/>
      <c r="G63" s="57">
        <v>0</v>
      </c>
      <c r="H63" s="58"/>
      <c r="I63" s="58"/>
      <c r="J63" s="58">
        <v>0</v>
      </c>
      <c r="K63" s="59"/>
      <c r="L63" s="59"/>
      <c r="M63" s="59">
        <v>0</v>
      </c>
      <c r="N63" s="60">
        <f t="shared" si="0"/>
        <v>275</v>
      </c>
      <c r="O63" s="11">
        <v>186.01</v>
      </c>
      <c r="P63">
        <v>809</v>
      </c>
      <c r="Q63">
        <v>549</v>
      </c>
    </row>
    <row r="64" spans="1:23">
      <c r="A64" s="61" t="s">
        <v>368</v>
      </c>
      <c r="B64" s="56">
        <v>186.05</v>
      </c>
      <c r="C64" s="56">
        <v>0.5</v>
      </c>
      <c r="D64" s="56">
        <v>335</v>
      </c>
      <c r="E64" s="57">
        <v>186.06</v>
      </c>
      <c r="F64" s="57">
        <v>0.5</v>
      </c>
      <c r="G64" s="57">
        <v>159</v>
      </c>
      <c r="H64" s="58"/>
      <c r="I64" s="58"/>
      <c r="J64" s="58">
        <v>0</v>
      </c>
      <c r="K64" s="59"/>
      <c r="L64" s="59"/>
      <c r="M64" s="59">
        <v>0</v>
      </c>
      <c r="N64" s="60">
        <f t="shared" si="0"/>
        <v>494</v>
      </c>
      <c r="O64" s="11">
        <v>186.05</v>
      </c>
      <c r="P64">
        <v>1053</v>
      </c>
      <c r="Q64">
        <v>670</v>
      </c>
      <c r="R64" s="11">
        <v>186.06</v>
      </c>
      <c r="S64">
        <v>546</v>
      </c>
      <c r="T64">
        <v>317</v>
      </c>
    </row>
    <row r="65" spans="1:26">
      <c r="A65" s="61" t="s">
        <v>387</v>
      </c>
      <c r="B65" s="56">
        <v>186.05</v>
      </c>
      <c r="C65" s="56">
        <v>0.5</v>
      </c>
      <c r="D65" s="56">
        <v>335</v>
      </c>
      <c r="E65" s="57">
        <v>186.06</v>
      </c>
      <c r="F65" s="57">
        <v>0.25</v>
      </c>
      <c r="G65" s="57">
        <v>79</v>
      </c>
      <c r="H65" s="58"/>
      <c r="I65" s="58"/>
      <c r="J65" s="58">
        <v>0</v>
      </c>
      <c r="K65" s="59"/>
      <c r="L65" s="59"/>
      <c r="M65" s="59">
        <v>0</v>
      </c>
      <c r="N65" s="60">
        <f t="shared" si="0"/>
        <v>414</v>
      </c>
      <c r="O65" s="11">
        <v>186.05</v>
      </c>
      <c r="P65">
        <v>1053</v>
      </c>
      <c r="Q65">
        <v>670</v>
      </c>
      <c r="R65" s="11">
        <v>186.06</v>
      </c>
      <c r="S65">
        <v>546</v>
      </c>
      <c r="T65">
        <v>317</v>
      </c>
    </row>
    <row r="66" spans="1:26">
      <c r="A66" s="61" t="s">
        <v>303</v>
      </c>
      <c r="B66" s="56">
        <v>186.05</v>
      </c>
      <c r="C66" s="56">
        <v>0.5</v>
      </c>
      <c r="D66" s="56">
        <v>335</v>
      </c>
      <c r="E66" s="57">
        <v>186.06</v>
      </c>
      <c r="F66" s="57">
        <v>0.25</v>
      </c>
      <c r="G66" s="57">
        <v>79</v>
      </c>
      <c r="H66" s="58"/>
      <c r="I66" s="58"/>
      <c r="J66" s="58">
        <v>0</v>
      </c>
      <c r="K66" s="59"/>
      <c r="L66" s="59"/>
      <c r="M66" s="59">
        <v>0</v>
      </c>
      <c r="N66" s="60">
        <f t="shared" si="0"/>
        <v>414</v>
      </c>
      <c r="O66" s="11">
        <v>186.05</v>
      </c>
      <c r="P66">
        <v>1053</v>
      </c>
      <c r="Q66">
        <v>670</v>
      </c>
      <c r="R66" s="11">
        <v>186.06</v>
      </c>
      <c r="S66">
        <v>546</v>
      </c>
      <c r="T66">
        <v>317</v>
      </c>
    </row>
    <row r="67" spans="1:26">
      <c r="A67" s="61" t="s">
        <v>327</v>
      </c>
      <c r="B67" s="56">
        <v>186.06</v>
      </c>
      <c r="C67" s="56">
        <v>0.25</v>
      </c>
      <c r="D67" s="56">
        <v>79</v>
      </c>
      <c r="E67" s="57">
        <v>185.09</v>
      </c>
      <c r="F67" s="57">
        <v>0.33300000000000002</v>
      </c>
      <c r="G67" s="57">
        <v>106</v>
      </c>
      <c r="H67" s="58">
        <v>186.07</v>
      </c>
      <c r="I67" s="58">
        <v>0.5</v>
      </c>
      <c r="J67" s="58">
        <v>242</v>
      </c>
      <c r="K67" s="59">
        <v>185.15</v>
      </c>
      <c r="L67" s="59">
        <v>0.33300000000000002</v>
      </c>
      <c r="M67" s="59">
        <v>67</v>
      </c>
      <c r="N67" s="60">
        <f t="shared" si="0"/>
        <v>494</v>
      </c>
      <c r="O67" s="11">
        <v>186.06</v>
      </c>
      <c r="P67">
        <v>546</v>
      </c>
      <c r="Q67">
        <v>317</v>
      </c>
      <c r="R67" s="11">
        <v>186.06</v>
      </c>
      <c r="S67">
        <v>546</v>
      </c>
      <c r="T67">
        <v>317</v>
      </c>
      <c r="U67" s="11">
        <v>186.07</v>
      </c>
      <c r="V67">
        <v>805</v>
      </c>
      <c r="W67">
        <v>484</v>
      </c>
      <c r="X67" s="11">
        <v>181.15</v>
      </c>
      <c r="Y67">
        <v>270</v>
      </c>
      <c r="Z67">
        <v>200</v>
      </c>
    </row>
    <row r="68" spans="1:26">
      <c r="A68" s="61" t="s">
        <v>320</v>
      </c>
      <c r="B68" s="56">
        <v>186.08</v>
      </c>
      <c r="C68" s="56">
        <v>0.5</v>
      </c>
      <c r="D68" s="56">
        <v>288</v>
      </c>
      <c r="E68" s="57">
        <v>186.07</v>
      </c>
      <c r="F68" s="57">
        <v>0.5</v>
      </c>
      <c r="G68" s="57">
        <v>242</v>
      </c>
      <c r="H68" s="58"/>
      <c r="I68" s="58"/>
      <c r="J68" s="58">
        <v>0</v>
      </c>
      <c r="K68" s="59"/>
      <c r="L68" s="59"/>
      <c r="M68" s="59">
        <v>0</v>
      </c>
      <c r="N68" s="60">
        <f t="shared" si="0"/>
        <v>530</v>
      </c>
      <c r="O68" s="11">
        <v>186.08</v>
      </c>
      <c r="P68">
        <v>896</v>
      </c>
      <c r="Q68">
        <v>575</v>
      </c>
      <c r="R68" s="11">
        <v>186.07</v>
      </c>
      <c r="S68">
        <v>805</v>
      </c>
      <c r="T68">
        <v>484</v>
      </c>
    </row>
    <row r="69" spans="1:26">
      <c r="A69" s="61" t="s">
        <v>354</v>
      </c>
      <c r="B69" s="56">
        <v>187.03</v>
      </c>
      <c r="C69" s="56">
        <v>0.5</v>
      </c>
      <c r="D69" s="56">
        <v>291</v>
      </c>
      <c r="E69" s="57">
        <v>187.05</v>
      </c>
      <c r="F69" s="57">
        <v>0.25</v>
      </c>
      <c r="G69" s="57">
        <v>144</v>
      </c>
      <c r="H69" s="58"/>
      <c r="I69" s="58"/>
      <c r="J69" s="58">
        <v>0</v>
      </c>
      <c r="K69" s="59"/>
      <c r="L69" s="59"/>
      <c r="M69" s="59">
        <v>0</v>
      </c>
      <c r="N69" s="60">
        <f t="shared" si="0"/>
        <v>435</v>
      </c>
      <c r="O69" s="11">
        <v>187.03</v>
      </c>
      <c r="P69">
        <v>894</v>
      </c>
      <c r="Q69">
        <v>582</v>
      </c>
      <c r="R69" s="11">
        <v>187.05</v>
      </c>
      <c r="S69">
        <v>961</v>
      </c>
      <c r="T69">
        <v>577</v>
      </c>
    </row>
    <row r="70" spans="1:26">
      <c r="A70" s="61" t="s">
        <v>304</v>
      </c>
      <c r="B70" s="56">
        <v>187.03</v>
      </c>
      <c r="C70" s="56">
        <v>0.25</v>
      </c>
      <c r="D70" s="56">
        <v>146</v>
      </c>
      <c r="E70" s="57">
        <v>189.05</v>
      </c>
      <c r="F70" s="57">
        <v>0.66700000000000004</v>
      </c>
      <c r="G70" s="57">
        <v>319</v>
      </c>
      <c r="H70" s="58"/>
      <c r="I70" s="58"/>
      <c r="J70" s="58">
        <v>0</v>
      </c>
      <c r="K70" s="59"/>
      <c r="L70" s="59"/>
      <c r="M70" s="59">
        <v>0</v>
      </c>
      <c r="N70" s="60">
        <f t="shared" si="0"/>
        <v>465</v>
      </c>
      <c r="O70" s="11">
        <v>187.03</v>
      </c>
      <c r="P70">
        <v>894</v>
      </c>
      <c r="Q70">
        <v>582</v>
      </c>
      <c r="R70" s="11">
        <v>189.05</v>
      </c>
      <c r="S70">
        <v>704</v>
      </c>
      <c r="T70">
        <v>479</v>
      </c>
    </row>
    <row r="71" spans="1:26">
      <c r="A71" s="61" t="s">
        <v>343</v>
      </c>
      <c r="B71" s="56">
        <v>187.04</v>
      </c>
      <c r="C71" s="56">
        <v>1</v>
      </c>
      <c r="D71" s="56">
        <v>113</v>
      </c>
      <c r="E71" s="57">
        <v>187.05</v>
      </c>
      <c r="F71" s="57">
        <v>0.25</v>
      </c>
      <c r="G71" s="57">
        <v>144</v>
      </c>
      <c r="H71" s="58">
        <v>190.01</v>
      </c>
      <c r="I71" s="58">
        <v>0.25</v>
      </c>
      <c r="J71" s="58">
        <v>135</v>
      </c>
      <c r="K71" s="59"/>
      <c r="L71" s="59"/>
      <c r="M71" s="59">
        <v>0</v>
      </c>
      <c r="N71" s="60">
        <f t="shared" si="0"/>
        <v>392</v>
      </c>
      <c r="O71" s="11">
        <v>187.04</v>
      </c>
      <c r="P71">
        <v>186</v>
      </c>
      <c r="Q71">
        <v>113</v>
      </c>
      <c r="R71" s="11">
        <v>187.05</v>
      </c>
      <c r="S71">
        <v>961</v>
      </c>
      <c r="T71">
        <v>577</v>
      </c>
      <c r="U71" s="11">
        <v>190.01</v>
      </c>
      <c r="V71">
        <v>814</v>
      </c>
      <c r="W71">
        <v>540</v>
      </c>
    </row>
    <row r="72" spans="1:26">
      <c r="A72" s="61" t="s">
        <v>326</v>
      </c>
      <c r="B72" s="56">
        <v>187.05</v>
      </c>
      <c r="C72" s="56">
        <v>0.5</v>
      </c>
      <c r="D72" s="56">
        <v>289</v>
      </c>
      <c r="E72" s="57"/>
      <c r="F72" s="57"/>
      <c r="G72" s="57">
        <v>0</v>
      </c>
      <c r="H72" s="58"/>
      <c r="I72" s="58"/>
      <c r="J72" s="58">
        <v>0</v>
      </c>
      <c r="K72" s="59"/>
      <c r="L72" s="59"/>
      <c r="M72" s="59">
        <v>0</v>
      </c>
      <c r="N72" s="60">
        <f t="shared" si="0"/>
        <v>289</v>
      </c>
      <c r="O72" s="11">
        <v>187.05</v>
      </c>
      <c r="P72">
        <v>961</v>
      </c>
      <c r="Q72">
        <v>577</v>
      </c>
    </row>
    <row r="73" spans="1:26">
      <c r="A73" s="61" t="s">
        <v>401</v>
      </c>
      <c r="B73" s="56">
        <v>187.06</v>
      </c>
      <c r="C73" s="56">
        <v>0.5</v>
      </c>
      <c r="D73" s="56">
        <v>369</v>
      </c>
      <c r="E73" s="57">
        <v>187.11</v>
      </c>
      <c r="F73" s="57">
        <v>0.33300000000000002</v>
      </c>
      <c r="G73" s="57">
        <v>206</v>
      </c>
      <c r="H73" s="58"/>
      <c r="I73" s="58"/>
      <c r="J73" s="58">
        <v>0</v>
      </c>
      <c r="K73" s="59"/>
      <c r="L73" s="59"/>
      <c r="M73" s="59">
        <v>0</v>
      </c>
      <c r="N73" s="60">
        <f t="shared" si="0"/>
        <v>575</v>
      </c>
      <c r="O73" s="11">
        <v>187.06</v>
      </c>
      <c r="P73">
        <v>979</v>
      </c>
      <c r="Q73">
        <v>737</v>
      </c>
      <c r="R73" s="11">
        <v>187.11</v>
      </c>
      <c r="S73">
        <v>1010</v>
      </c>
      <c r="T73">
        <v>618</v>
      </c>
    </row>
    <row r="74" spans="1:26">
      <c r="A74" s="61" t="s">
        <v>388</v>
      </c>
      <c r="B74" s="56">
        <v>187.06</v>
      </c>
      <c r="C74" s="56">
        <v>0.5</v>
      </c>
      <c r="D74" s="56">
        <v>369</v>
      </c>
      <c r="E74" s="57">
        <v>188.04</v>
      </c>
      <c r="F74" s="57">
        <v>1</v>
      </c>
      <c r="G74" s="57">
        <v>446</v>
      </c>
      <c r="H74" s="58"/>
      <c r="I74" s="58"/>
      <c r="J74" s="58">
        <v>0</v>
      </c>
      <c r="K74" s="59"/>
      <c r="L74" s="59"/>
      <c r="M74" s="59">
        <v>0</v>
      </c>
      <c r="N74" s="60">
        <f t="shared" si="0"/>
        <v>815</v>
      </c>
      <c r="O74" s="11">
        <v>187.06</v>
      </c>
      <c r="P74">
        <v>979</v>
      </c>
      <c r="Q74">
        <v>737</v>
      </c>
      <c r="R74" s="11">
        <v>188.04</v>
      </c>
      <c r="S74">
        <v>552</v>
      </c>
      <c r="T74">
        <v>446</v>
      </c>
    </row>
    <row r="75" spans="1:26">
      <c r="A75" s="61" t="s">
        <v>335</v>
      </c>
      <c r="B75" s="56">
        <v>187.11</v>
      </c>
      <c r="C75" s="56">
        <v>0.66700000000000004</v>
      </c>
      <c r="D75" s="56">
        <v>412</v>
      </c>
      <c r="E75" s="57">
        <v>187.07</v>
      </c>
      <c r="F75" s="57">
        <v>1</v>
      </c>
      <c r="G75" s="57">
        <v>203</v>
      </c>
      <c r="H75" s="58"/>
      <c r="I75" s="58"/>
      <c r="J75" s="58">
        <v>0</v>
      </c>
      <c r="K75" s="59"/>
      <c r="L75" s="59"/>
      <c r="M75" s="59">
        <v>0</v>
      </c>
      <c r="N75" s="60">
        <f t="shared" si="0"/>
        <v>615</v>
      </c>
      <c r="O75" s="11">
        <v>187.11</v>
      </c>
      <c r="P75">
        <v>1010</v>
      </c>
      <c r="Q75">
        <v>618</v>
      </c>
      <c r="R75" s="11">
        <v>187.07</v>
      </c>
      <c r="S75">
        <v>247</v>
      </c>
      <c r="T75">
        <v>203</v>
      </c>
    </row>
    <row r="76" spans="1:26">
      <c r="A76" s="61" t="s">
        <v>301</v>
      </c>
      <c r="B76" s="56">
        <v>187.12</v>
      </c>
      <c r="C76" s="56">
        <v>1</v>
      </c>
      <c r="D76" s="56">
        <v>353</v>
      </c>
      <c r="E76" s="57"/>
      <c r="F76" s="57"/>
      <c r="G76" s="57">
        <v>0</v>
      </c>
      <c r="H76" s="58"/>
      <c r="I76" s="58"/>
      <c r="J76" s="58">
        <v>0</v>
      </c>
      <c r="K76" s="59"/>
      <c r="L76" s="59"/>
      <c r="M76" s="59">
        <v>0</v>
      </c>
      <c r="N76" s="60">
        <f t="shared" si="0"/>
        <v>353</v>
      </c>
      <c r="O76" s="11">
        <v>187.12</v>
      </c>
      <c r="P76">
        <v>503</v>
      </c>
      <c r="Q76">
        <v>353</v>
      </c>
    </row>
    <row r="77" spans="1:26">
      <c r="A77" s="61" t="s">
        <v>325</v>
      </c>
      <c r="B77" s="56">
        <v>187.13</v>
      </c>
      <c r="C77" s="56">
        <v>1</v>
      </c>
      <c r="D77" s="56">
        <v>199</v>
      </c>
      <c r="E77" s="57">
        <v>182.03</v>
      </c>
      <c r="F77" s="57">
        <v>0.4</v>
      </c>
      <c r="G77" s="57">
        <v>143</v>
      </c>
      <c r="H77" s="58"/>
      <c r="I77" s="58"/>
      <c r="J77" s="58">
        <v>0</v>
      </c>
      <c r="K77" s="59"/>
      <c r="L77" s="59"/>
      <c r="M77" s="59">
        <v>0</v>
      </c>
      <c r="N77" s="60">
        <f t="shared" si="0"/>
        <v>342</v>
      </c>
      <c r="O77" s="11">
        <v>187.13</v>
      </c>
      <c r="P77">
        <v>262</v>
      </c>
      <c r="Q77">
        <v>199</v>
      </c>
      <c r="R77" s="11">
        <v>182.03</v>
      </c>
      <c r="S77">
        <v>361</v>
      </c>
      <c r="T77">
        <v>357</v>
      </c>
    </row>
    <row r="78" spans="1:26">
      <c r="A78" s="61" t="s">
        <v>396</v>
      </c>
      <c r="B78" s="56">
        <v>187.16</v>
      </c>
      <c r="C78" s="56">
        <v>0.33300000000000002</v>
      </c>
      <c r="D78" s="56">
        <v>99</v>
      </c>
      <c r="E78" s="57">
        <v>187.14</v>
      </c>
      <c r="F78" s="57">
        <v>1</v>
      </c>
      <c r="G78" s="57">
        <v>265</v>
      </c>
      <c r="H78" s="58">
        <v>187.15</v>
      </c>
      <c r="I78" s="58">
        <v>1</v>
      </c>
      <c r="J78" s="58">
        <v>390</v>
      </c>
      <c r="K78" s="59"/>
      <c r="L78" s="59"/>
      <c r="M78" s="59">
        <v>0</v>
      </c>
      <c r="N78" s="60">
        <f t="shared" si="0"/>
        <v>754</v>
      </c>
      <c r="O78" s="11">
        <v>187.16</v>
      </c>
      <c r="P78">
        <v>399</v>
      </c>
      <c r="Q78">
        <v>298</v>
      </c>
      <c r="R78" s="11">
        <v>187.14</v>
      </c>
      <c r="S78">
        <v>443</v>
      </c>
      <c r="T78">
        <v>265</v>
      </c>
      <c r="U78" s="11">
        <v>187.15</v>
      </c>
      <c r="V78">
        <v>540</v>
      </c>
      <c r="W78">
        <v>390</v>
      </c>
    </row>
    <row r="79" spans="1:26">
      <c r="A79" s="61" t="s">
        <v>328</v>
      </c>
      <c r="B79" s="56">
        <v>188.01</v>
      </c>
      <c r="C79" s="56">
        <v>1</v>
      </c>
      <c r="D79" s="56">
        <v>337</v>
      </c>
      <c r="E79" s="57">
        <v>188.02</v>
      </c>
      <c r="F79" s="57">
        <v>0.75</v>
      </c>
      <c r="G79" s="57">
        <v>263</v>
      </c>
      <c r="H79" s="58"/>
      <c r="I79" s="58"/>
      <c r="J79" s="58">
        <v>0</v>
      </c>
      <c r="K79" s="59"/>
      <c r="L79" s="59"/>
      <c r="M79" s="59">
        <v>0</v>
      </c>
      <c r="N79" s="60">
        <f t="shared" si="0"/>
        <v>600</v>
      </c>
      <c r="O79" s="11">
        <v>188.01</v>
      </c>
      <c r="P79">
        <v>436</v>
      </c>
      <c r="Q79">
        <v>337</v>
      </c>
      <c r="R79" s="11">
        <v>188.02</v>
      </c>
      <c r="S79">
        <v>414</v>
      </c>
      <c r="T79">
        <v>350</v>
      </c>
    </row>
    <row r="80" spans="1:26">
      <c r="A80" s="61" t="s">
        <v>333</v>
      </c>
      <c r="B80" s="56">
        <v>188.02</v>
      </c>
      <c r="C80" s="56">
        <v>0.25</v>
      </c>
      <c r="D80" s="56">
        <v>88</v>
      </c>
      <c r="E80" s="57">
        <v>188.08</v>
      </c>
      <c r="F80" s="57">
        <v>0.5</v>
      </c>
      <c r="G80" s="57">
        <v>278</v>
      </c>
      <c r="H80" s="58">
        <v>188.07</v>
      </c>
      <c r="I80" s="58">
        <v>0.25</v>
      </c>
      <c r="J80" s="58">
        <v>116</v>
      </c>
      <c r="K80" s="59"/>
      <c r="L80" s="59"/>
      <c r="M80" s="59">
        <v>0</v>
      </c>
      <c r="N80" s="60">
        <f t="shared" si="0"/>
        <v>482</v>
      </c>
      <c r="O80" s="11">
        <v>188.02</v>
      </c>
      <c r="P80">
        <v>414</v>
      </c>
      <c r="Q80">
        <v>350</v>
      </c>
      <c r="R80" s="11">
        <v>188.08</v>
      </c>
      <c r="S80">
        <v>606</v>
      </c>
      <c r="T80">
        <v>556</v>
      </c>
      <c r="U80" s="11">
        <v>188.07</v>
      </c>
      <c r="V80">
        <v>474</v>
      </c>
      <c r="W80">
        <v>463</v>
      </c>
    </row>
    <row r="81" spans="1:23">
      <c r="A81" s="61" t="s">
        <v>311</v>
      </c>
      <c r="B81" s="56">
        <v>188.05</v>
      </c>
      <c r="C81" s="56">
        <v>1</v>
      </c>
      <c r="D81" s="56">
        <v>298</v>
      </c>
      <c r="E81" s="57">
        <v>188.06</v>
      </c>
      <c r="F81" s="57">
        <v>0.8</v>
      </c>
      <c r="G81" s="57">
        <v>110</v>
      </c>
      <c r="H81" s="58"/>
      <c r="I81" s="58"/>
      <c r="J81" s="58">
        <v>0</v>
      </c>
      <c r="K81" s="59"/>
      <c r="L81" s="59"/>
      <c r="M81" s="59">
        <v>0</v>
      </c>
      <c r="N81" s="60">
        <f t="shared" si="0"/>
        <v>408</v>
      </c>
      <c r="O81" s="11">
        <v>188.05</v>
      </c>
      <c r="P81">
        <v>332</v>
      </c>
      <c r="Q81">
        <v>298</v>
      </c>
      <c r="R81" s="11">
        <v>188.06</v>
      </c>
      <c r="S81">
        <v>190</v>
      </c>
      <c r="T81">
        <v>138</v>
      </c>
    </row>
    <row r="82" spans="1:23">
      <c r="A82" s="61" t="s">
        <v>381</v>
      </c>
      <c r="B82" s="56">
        <v>188.06</v>
      </c>
      <c r="C82" s="56">
        <v>0.2</v>
      </c>
      <c r="D82" s="56">
        <v>28</v>
      </c>
      <c r="E82" s="57">
        <v>182.06</v>
      </c>
      <c r="F82" s="57">
        <v>1</v>
      </c>
      <c r="G82" s="57">
        <v>92</v>
      </c>
      <c r="H82" s="58"/>
      <c r="I82" s="58"/>
      <c r="J82" s="58">
        <v>0</v>
      </c>
      <c r="K82" s="59"/>
      <c r="L82" s="59"/>
      <c r="M82" s="59">
        <v>0</v>
      </c>
      <c r="N82" s="60">
        <f t="shared" si="0"/>
        <v>120</v>
      </c>
      <c r="O82" s="11">
        <v>188.06</v>
      </c>
      <c r="P82">
        <v>190</v>
      </c>
      <c r="Q82">
        <v>138</v>
      </c>
      <c r="R82" s="11">
        <v>182.06</v>
      </c>
      <c r="S82">
        <v>120</v>
      </c>
      <c r="T82">
        <v>92</v>
      </c>
    </row>
    <row r="83" spans="1:23">
      <c r="A83" s="61" t="s">
        <v>334</v>
      </c>
      <c r="B83" s="56">
        <v>188.07</v>
      </c>
      <c r="C83" s="56">
        <v>0.75</v>
      </c>
      <c r="D83" s="56">
        <v>347</v>
      </c>
      <c r="E83" s="57">
        <v>188.08</v>
      </c>
      <c r="F83" s="57">
        <v>0.5</v>
      </c>
      <c r="G83" s="57">
        <v>278</v>
      </c>
      <c r="H83" s="58"/>
      <c r="I83" s="58"/>
      <c r="J83" s="58">
        <v>0</v>
      </c>
      <c r="K83" s="59"/>
      <c r="L83" s="59"/>
      <c r="M83" s="59">
        <v>0</v>
      </c>
      <c r="N83" s="60">
        <f t="shared" si="0"/>
        <v>625</v>
      </c>
      <c r="O83" s="11">
        <v>188.07</v>
      </c>
      <c r="P83">
        <v>474</v>
      </c>
      <c r="Q83">
        <v>463</v>
      </c>
      <c r="R83" s="11">
        <v>188.08</v>
      </c>
      <c r="S83">
        <v>606</v>
      </c>
      <c r="T83">
        <v>556</v>
      </c>
    </row>
    <row r="84" spans="1:23">
      <c r="A84" s="61" t="s">
        <v>342</v>
      </c>
      <c r="B84" s="56">
        <v>189.03</v>
      </c>
      <c r="C84" s="56">
        <v>0.75</v>
      </c>
      <c r="D84" s="56">
        <v>204</v>
      </c>
      <c r="E84" s="57"/>
      <c r="F84" s="57"/>
      <c r="G84" s="57">
        <v>0</v>
      </c>
      <c r="H84" s="58"/>
      <c r="I84" s="58"/>
      <c r="J84" s="58">
        <v>0</v>
      </c>
      <c r="K84" s="59"/>
      <c r="L84" s="59"/>
      <c r="M84" s="59">
        <v>0</v>
      </c>
      <c r="N84" s="60">
        <f t="shared" si="0"/>
        <v>204</v>
      </c>
      <c r="O84" s="11">
        <v>189.03</v>
      </c>
      <c r="P84">
        <v>373</v>
      </c>
      <c r="Q84">
        <v>272</v>
      </c>
    </row>
    <row r="85" spans="1:23">
      <c r="A85" s="61" t="s">
        <v>360</v>
      </c>
      <c r="B85" s="56">
        <v>189.05</v>
      </c>
      <c r="C85" s="56">
        <v>0.33300000000000002</v>
      </c>
      <c r="D85" s="56">
        <v>160</v>
      </c>
      <c r="E85" s="57">
        <v>190.03</v>
      </c>
      <c r="F85" s="57">
        <v>0.2</v>
      </c>
      <c r="G85" s="57">
        <v>117</v>
      </c>
      <c r="H85" s="58"/>
      <c r="I85" s="58"/>
      <c r="J85" s="58">
        <v>0</v>
      </c>
      <c r="K85" s="59"/>
      <c r="L85" s="59"/>
      <c r="M85" s="59">
        <v>0</v>
      </c>
      <c r="N85" s="60">
        <f t="shared" si="0"/>
        <v>277</v>
      </c>
      <c r="O85" s="11">
        <v>189.05</v>
      </c>
      <c r="P85">
        <v>704</v>
      </c>
      <c r="Q85">
        <v>479</v>
      </c>
      <c r="R85" s="11">
        <v>190.03</v>
      </c>
      <c r="S85">
        <v>803</v>
      </c>
      <c r="T85">
        <v>584</v>
      </c>
    </row>
    <row r="86" spans="1:23">
      <c r="A86" s="61" t="s">
        <v>357</v>
      </c>
      <c r="B86" s="56">
        <v>189.07</v>
      </c>
      <c r="C86" s="56">
        <v>1</v>
      </c>
      <c r="D86" s="56">
        <v>239</v>
      </c>
      <c r="E86" s="57">
        <v>189.1</v>
      </c>
      <c r="F86" s="57">
        <v>0.5</v>
      </c>
      <c r="G86" s="57">
        <v>355</v>
      </c>
      <c r="H86" s="58">
        <v>189.09</v>
      </c>
      <c r="I86" s="58">
        <v>0.5</v>
      </c>
      <c r="J86" s="58">
        <v>184</v>
      </c>
      <c r="K86" s="59"/>
      <c r="L86" s="59"/>
      <c r="M86" s="59">
        <v>0</v>
      </c>
      <c r="N86" s="60">
        <f t="shared" si="0"/>
        <v>778</v>
      </c>
      <c r="O86" s="11">
        <v>189.07</v>
      </c>
      <c r="P86">
        <v>393</v>
      </c>
      <c r="Q86">
        <v>239</v>
      </c>
      <c r="R86" s="11">
        <v>189.1</v>
      </c>
      <c r="S86">
        <v>903</v>
      </c>
      <c r="T86">
        <v>710</v>
      </c>
      <c r="U86" s="11">
        <v>189.09</v>
      </c>
      <c r="V86">
        <v>443</v>
      </c>
      <c r="W86">
        <v>368</v>
      </c>
    </row>
    <row r="87" spans="1:23">
      <c r="A87" s="61" t="s">
        <v>361</v>
      </c>
      <c r="B87" s="56">
        <v>189.08</v>
      </c>
      <c r="C87" s="56">
        <v>1</v>
      </c>
      <c r="D87" s="56">
        <v>511</v>
      </c>
      <c r="E87" s="57"/>
      <c r="F87" s="57"/>
      <c r="G87" s="57">
        <v>0</v>
      </c>
      <c r="H87" s="58"/>
      <c r="I87" s="58"/>
      <c r="J87" s="58">
        <v>0</v>
      </c>
      <c r="K87" s="59"/>
      <c r="L87" s="59"/>
      <c r="M87" s="59">
        <v>0</v>
      </c>
      <c r="N87" s="60">
        <f t="shared" si="0"/>
        <v>511</v>
      </c>
      <c r="O87" s="11">
        <v>189.08</v>
      </c>
      <c r="P87">
        <v>826</v>
      </c>
      <c r="Q87">
        <v>511</v>
      </c>
    </row>
    <row r="88" spans="1:23">
      <c r="A88" s="61" t="s">
        <v>399</v>
      </c>
      <c r="B88" s="56">
        <v>189.1</v>
      </c>
      <c r="C88" s="56">
        <v>0.5</v>
      </c>
      <c r="D88" s="56">
        <v>355</v>
      </c>
      <c r="E88" s="57">
        <v>189.09</v>
      </c>
      <c r="F88" s="57">
        <v>0.5</v>
      </c>
      <c r="G88" s="57">
        <v>184</v>
      </c>
      <c r="H88" s="58"/>
      <c r="I88" s="58"/>
      <c r="J88" s="58">
        <v>0</v>
      </c>
      <c r="K88" s="59"/>
      <c r="L88" s="59"/>
      <c r="M88" s="59">
        <v>0</v>
      </c>
      <c r="N88" s="60">
        <f t="shared" si="0"/>
        <v>539</v>
      </c>
      <c r="O88" s="11">
        <v>189.1</v>
      </c>
      <c r="P88">
        <v>903</v>
      </c>
      <c r="Q88">
        <v>710</v>
      </c>
      <c r="R88" s="11">
        <v>189.09</v>
      </c>
      <c r="S88">
        <v>443</v>
      </c>
      <c r="T88">
        <v>368</v>
      </c>
    </row>
    <row r="89" spans="1:23">
      <c r="A89" s="61" t="s">
        <v>370</v>
      </c>
      <c r="B89" s="56">
        <v>190.01</v>
      </c>
      <c r="C89" s="56">
        <v>0.75</v>
      </c>
      <c r="D89" s="56">
        <v>405</v>
      </c>
      <c r="E89" s="57">
        <v>189.06</v>
      </c>
      <c r="F89" s="57">
        <v>1</v>
      </c>
      <c r="G89" s="57">
        <v>238</v>
      </c>
      <c r="H89" s="58">
        <v>187.03</v>
      </c>
      <c r="I89" s="58">
        <v>0.25</v>
      </c>
      <c r="J89" s="58">
        <v>146</v>
      </c>
      <c r="K89" s="59"/>
      <c r="L89" s="59"/>
      <c r="M89" s="59">
        <v>0</v>
      </c>
      <c r="N89" s="60">
        <f t="shared" si="0"/>
        <v>789</v>
      </c>
      <c r="O89" s="11">
        <v>190.01</v>
      </c>
      <c r="P89">
        <v>814</v>
      </c>
      <c r="Q89">
        <v>540</v>
      </c>
      <c r="R89" s="11">
        <v>189.06</v>
      </c>
      <c r="S89">
        <v>348</v>
      </c>
      <c r="T89">
        <v>238</v>
      </c>
      <c r="U89" s="11">
        <v>187.03</v>
      </c>
      <c r="V89">
        <v>894</v>
      </c>
      <c r="W89">
        <v>582</v>
      </c>
    </row>
    <row r="90" spans="1:23">
      <c r="A90" s="61" t="s">
        <v>374</v>
      </c>
      <c r="B90" s="56">
        <v>190.03</v>
      </c>
      <c r="C90" s="56">
        <v>0.8</v>
      </c>
      <c r="D90" s="56">
        <v>467</v>
      </c>
      <c r="E90" s="57">
        <v>190.04</v>
      </c>
      <c r="F90" s="57">
        <v>0.1</v>
      </c>
      <c r="G90" s="57">
        <v>54</v>
      </c>
      <c r="H90" s="58"/>
      <c r="I90" s="58"/>
      <c r="J90" s="58">
        <v>0</v>
      </c>
      <c r="K90" s="59"/>
      <c r="L90" s="59"/>
      <c r="M90" s="59">
        <v>0</v>
      </c>
      <c r="N90" s="60">
        <f t="shared" si="0"/>
        <v>521</v>
      </c>
      <c r="O90" s="11">
        <v>190.03</v>
      </c>
      <c r="P90">
        <v>803</v>
      </c>
      <c r="Q90">
        <v>584</v>
      </c>
      <c r="R90" s="11">
        <v>190.04</v>
      </c>
      <c r="S90">
        <v>750</v>
      </c>
      <c r="T90">
        <v>541</v>
      </c>
    </row>
    <row r="91" spans="1:23">
      <c r="A91" s="61" t="s">
        <v>349</v>
      </c>
      <c r="B91" s="56">
        <v>190.04</v>
      </c>
      <c r="C91" s="56">
        <v>0.3</v>
      </c>
      <c r="D91" s="56">
        <v>162</v>
      </c>
      <c r="E91" s="57">
        <v>189.03</v>
      </c>
      <c r="F91" s="57">
        <v>0.25</v>
      </c>
      <c r="G91" s="57">
        <v>68</v>
      </c>
      <c r="H91" s="58"/>
      <c r="I91" s="58"/>
      <c r="J91" s="58">
        <v>0</v>
      </c>
      <c r="K91" s="59"/>
      <c r="L91" s="59"/>
      <c r="M91" s="59">
        <v>0</v>
      </c>
      <c r="N91" s="60">
        <f t="shared" si="0"/>
        <v>230</v>
      </c>
      <c r="O91" s="11">
        <v>190.04</v>
      </c>
      <c r="P91">
        <v>750</v>
      </c>
      <c r="Q91">
        <v>541</v>
      </c>
      <c r="R91" s="11">
        <v>189.03</v>
      </c>
      <c r="S91">
        <v>373</v>
      </c>
      <c r="T91">
        <v>272</v>
      </c>
    </row>
    <row r="92" spans="1:23">
      <c r="A92" s="61" t="s">
        <v>364</v>
      </c>
      <c r="B92" s="56">
        <v>190.04</v>
      </c>
      <c r="C92" s="56">
        <v>0.6</v>
      </c>
      <c r="D92" s="56">
        <v>325</v>
      </c>
      <c r="E92" s="57"/>
      <c r="F92" s="57"/>
      <c r="G92" s="57">
        <v>0</v>
      </c>
      <c r="H92" s="58"/>
      <c r="I92" s="58"/>
      <c r="J92" s="58">
        <v>0</v>
      </c>
      <c r="K92" s="59"/>
      <c r="L92" s="59"/>
      <c r="M92" s="59">
        <v>0</v>
      </c>
      <c r="N92" s="60">
        <f t="shared" si="0"/>
        <v>325</v>
      </c>
      <c r="O92" s="11">
        <v>190.04</v>
      </c>
      <c r="P92">
        <v>750</v>
      </c>
      <c r="Q92">
        <v>541</v>
      </c>
    </row>
    <row r="93" spans="1:23">
      <c r="A93" s="61" t="s">
        <v>378</v>
      </c>
      <c r="B93" s="56">
        <v>191.03</v>
      </c>
      <c r="C93" s="56">
        <v>0.5</v>
      </c>
      <c r="D93" s="56">
        <v>217</v>
      </c>
      <c r="E93" s="57">
        <v>191.04</v>
      </c>
      <c r="F93" s="57">
        <v>0.5</v>
      </c>
      <c r="G93" s="57">
        <v>203</v>
      </c>
      <c r="H93" s="58"/>
      <c r="I93" s="58"/>
      <c r="J93" s="58">
        <v>0</v>
      </c>
      <c r="K93" s="59"/>
      <c r="L93" s="59"/>
      <c r="M93" s="59">
        <v>0</v>
      </c>
      <c r="N93" s="60">
        <f t="shared" si="0"/>
        <v>420</v>
      </c>
      <c r="O93" s="11">
        <v>191.03</v>
      </c>
      <c r="P93">
        <v>665</v>
      </c>
      <c r="Q93">
        <v>434</v>
      </c>
      <c r="R93" s="11">
        <v>191.04</v>
      </c>
      <c r="S93">
        <v>614</v>
      </c>
      <c r="T93">
        <v>405</v>
      </c>
    </row>
    <row r="94" spans="1:23">
      <c r="A94" s="61" t="s">
        <v>288</v>
      </c>
      <c r="B94" s="56">
        <v>191.03</v>
      </c>
      <c r="C94" s="56">
        <v>0.5</v>
      </c>
      <c r="D94" s="56">
        <v>217</v>
      </c>
      <c r="E94" s="57">
        <v>191.04</v>
      </c>
      <c r="F94" s="57">
        <v>0.5</v>
      </c>
      <c r="G94" s="57">
        <v>203</v>
      </c>
      <c r="H94" s="58"/>
      <c r="I94" s="58"/>
      <c r="J94" s="58">
        <v>0</v>
      </c>
      <c r="K94" s="59"/>
      <c r="L94" s="59"/>
      <c r="M94" s="59">
        <v>0</v>
      </c>
      <c r="N94" s="60">
        <f t="shared" si="0"/>
        <v>420</v>
      </c>
      <c r="O94" s="11">
        <v>191.03</v>
      </c>
      <c r="P94">
        <v>665</v>
      </c>
      <c r="Q94">
        <v>434</v>
      </c>
      <c r="R94" s="11">
        <v>191.04</v>
      </c>
      <c r="S94">
        <v>614</v>
      </c>
      <c r="T94">
        <v>405</v>
      </c>
    </row>
    <row r="95" spans="1:23">
      <c r="A95" s="61" t="s">
        <v>338</v>
      </c>
      <c r="B95" s="56">
        <v>191.05</v>
      </c>
      <c r="C95" s="56">
        <v>1</v>
      </c>
      <c r="D95" s="56">
        <v>295</v>
      </c>
      <c r="E95" s="57">
        <v>191.07</v>
      </c>
      <c r="F95" s="57">
        <v>1</v>
      </c>
      <c r="G95" s="57">
        <v>245</v>
      </c>
      <c r="H95" s="58">
        <v>191.06</v>
      </c>
      <c r="I95" s="58">
        <v>0.5</v>
      </c>
      <c r="J95" s="58">
        <v>72</v>
      </c>
      <c r="K95" s="59"/>
      <c r="L95" s="59"/>
      <c r="M95" s="59">
        <v>0</v>
      </c>
      <c r="N95" s="60">
        <f t="shared" si="0"/>
        <v>612</v>
      </c>
      <c r="O95" s="11">
        <v>191.05</v>
      </c>
      <c r="P95">
        <v>400</v>
      </c>
      <c r="Q95">
        <v>295</v>
      </c>
      <c r="R95" s="11">
        <v>191.07</v>
      </c>
      <c r="S95">
        <v>311</v>
      </c>
      <c r="T95">
        <v>245</v>
      </c>
      <c r="U95" s="11">
        <v>191.06</v>
      </c>
      <c r="V95">
        <v>190</v>
      </c>
      <c r="W95">
        <v>143</v>
      </c>
    </row>
    <row r="96" spans="1:23">
      <c r="A96" s="61" t="s">
        <v>350</v>
      </c>
      <c r="B96" s="56">
        <v>191.06</v>
      </c>
      <c r="C96" s="56">
        <v>0.5</v>
      </c>
      <c r="D96" s="56">
        <v>72</v>
      </c>
      <c r="E96" s="57">
        <v>190.05</v>
      </c>
      <c r="F96" s="57">
        <v>1</v>
      </c>
      <c r="G96" s="57">
        <v>139</v>
      </c>
      <c r="H96" s="58">
        <v>190.03</v>
      </c>
      <c r="I96" s="58">
        <v>0.33300000000000002</v>
      </c>
      <c r="J96" s="58">
        <v>194</v>
      </c>
      <c r="K96" s="59"/>
      <c r="L96" s="59"/>
      <c r="M96" s="59">
        <v>0</v>
      </c>
      <c r="N96" s="60">
        <f t="shared" si="0"/>
        <v>405</v>
      </c>
      <c r="O96" s="11">
        <v>191.06</v>
      </c>
      <c r="P96">
        <v>190</v>
      </c>
      <c r="Q96">
        <v>143</v>
      </c>
      <c r="R96" s="11">
        <v>190.05</v>
      </c>
      <c r="S96">
        <v>202</v>
      </c>
      <c r="T96">
        <v>139</v>
      </c>
      <c r="U96" s="11">
        <v>190.03</v>
      </c>
      <c r="V96">
        <v>803</v>
      </c>
      <c r="W96">
        <v>584</v>
      </c>
    </row>
    <row r="97" spans="1:20">
      <c r="A97" s="61" t="s">
        <v>314</v>
      </c>
      <c r="B97" s="56">
        <v>192</v>
      </c>
      <c r="C97" s="56">
        <v>0.66700000000000004</v>
      </c>
      <c r="D97" s="56">
        <v>185</v>
      </c>
      <c r="E97" s="57"/>
      <c r="F97" s="57"/>
      <c r="G97" s="57">
        <v>0</v>
      </c>
      <c r="H97" s="58"/>
      <c r="I97" s="58"/>
      <c r="J97" s="58">
        <v>0</v>
      </c>
      <c r="K97" s="59"/>
      <c r="L97" s="59"/>
      <c r="M97" s="59">
        <v>0</v>
      </c>
      <c r="N97" s="60">
        <f t="shared" si="0"/>
        <v>185</v>
      </c>
      <c r="O97" s="11">
        <v>192</v>
      </c>
      <c r="P97">
        <v>415</v>
      </c>
      <c r="Q97">
        <v>278</v>
      </c>
    </row>
    <row r="98" spans="1:20" ht="15.75" customHeight="1">
      <c r="N98">
        <f>SUM(N2:N97)</f>
        <v>44310</v>
      </c>
    </row>
    <row r="99" spans="1:20" ht="15.75" customHeight="1">
      <c r="A99" s="26"/>
      <c r="B99" s="26"/>
      <c r="C99" s="26"/>
      <c r="D99" s="26"/>
      <c r="E99" s="26"/>
      <c r="F99" s="26"/>
    </row>
    <row r="100" spans="1:20" ht="15.75" customHeight="1">
      <c r="A100" s="26"/>
      <c r="E100" s="26"/>
      <c r="F100" s="26"/>
      <c r="G100" s="1" t="s">
        <v>673</v>
      </c>
      <c r="H100" s="1"/>
      <c r="I100" s="1" t="s">
        <v>519</v>
      </c>
      <c r="K100" s="1" t="s">
        <v>498</v>
      </c>
      <c r="L100" s="1" t="s">
        <v>519</v>
      </c>
      <c r="M100" s="1" t="s">
        <v>500</v>
      </c>
      <c r="N100" s="1" t="s">
        <v>907</v>
      </c>
      <c r="O100" s="1" t="s">
        <v>908</v>
      </c>
      <c r="P100" s="1" t="s">
        <v>909</v>
      </c>
    </row>
    <row r="101" spans="1:20">
      <c r="A101" s="64" t="s">
        <v>54</v>
      </c>
      <c r="B101" s="65" t="s">
        <v>517</v>
      </c>
      <c r="C101" s="65" t="s">
        <v>518</v>
      </c>
      <c r="D101" s="65" t="s">
        <v>519</v>
      </c>
      <c r="E101" s="26"/>
      <c r="F101" s="26"/>
      <c r="G101" t="s">
        <v>45</v>
      </c>
      <c r="I101">
        <v>3049</v>
      </c>
      <c r="K101" s="1">
        <v>1</v>
      </c>
      <c r="L101">
        <v>3049</v>
      </c>
      <c r="M101" s="1">
        <v>2580</v>
      </c>
      <c r="N101">
        <f t="shared" ref="N101:N119" si="1">L101-M101</f>
        <v>469</v>
      </c>
      <c r="O101" s="1">
        <v>3000</v>
      </c>
      <c r="P101">
        <f t="shared" ref="P101:P119" si="2">O101-M101</f>
        <v>420</v>
      </c>
      <c r="Q101" s="1">
        <v>4</v>
      </c>
      <c r="R101">
        <v>18</v>
      </c>
    </row>
    <row r="102" spans="1:20" ht="15.75" customHeight="1">
      <c r="A102" s="26" t="s">
        <v>520</v>
      </c>
      <c r="B102" s="26"/>
      <c r="C102" s="26"/>
      <c r="D102" s="26">
        <v>270</v>
      </c>
      <c r="E102" s="26"/>
      <c r="F102" s="26"/>
      <c r="G102" t="s">
        <v>54</v>
      </c>
      <c r="I102">
        <v>2826</v>
      </c>
      <c r="K102" s="1">
        <v>2</v>
      </c>
      <c r="L102">
        <v>2826</v>
      </c>
      <c r="M102" s="1">
        <v>3000</v>
      </c>
      <c r="N102">
        <f t="shared" si="1"/>
        <v>-174</v>
      </c>
      <c r="O102" s="1">
        <v>3000</v>
      </c>
      <c r="P102">
        <f t="shared" si="2"/>
        <v>0</v>
      </c>
      <c r="R102">
        <v>-6</v>
      </c>
    </row>
    <row r="103" spans="1:20" ht="15.75" customHeight="1">
      <c r="A103" s="26" t="s">
        <v>521</v>
      </c>
      <c r="B103" s="26"/>
      <c r="C103" s="26"/>
      <c r="D103" s="26">
        <v>157</v>
      </c>
      <c r="E103" s="26"/>
      <c r="F103" s="26"/>
      <c r="G103" s="1" t="s">
        <v>59</v>
      </c>
      <c r="I103">
        <v>1504</v>
      </c>
      <c r="K103" s="1">
        <v>3</v>
      </c>
      <c r="L103">
        <v>1504</v>
      </c>
      <c r="M103" s="1">
        <v>1200</v>
      </c>
      <c r="N103">
        <f t="shared" si="1"/>
        <v>304</v>
      </c>
      <c r="O103" s="1">
        <v>1500</v>
      </c>
      <c r="P103">
        <f t="shared" si="2"/>
        <v>300</v>
      </c>
      <c r="Q103" s="1">
        <v>3</v>
      </c>
      <c r="R103">
        <v>25</v>
      </c>
    </row>
    <row r="104" spans="1:20" ht="15.75" customHeight="1">
      <c r="A104" s="26" t="s">
        <v>522</v>
      </c>
      <c r="B104" s="26"/>
      <c r="C104" s="26"/>
      <c r="D104" s="26">
        <f>N3</f>
        <v>194</v>
      </c>
      <c r="E104" s="26"/>
      <c r="F104" s="26"/>
      <c r="G104" s="66" t="s">
        <v>78</v>
      </c>
      <c r="I104">
        <v>2115</v>
      </c>
      <c r="K104" s="1">
        <v>4</v>
      </c>
      <c r="L104">
        <v>2115</v>
      </c>
      <c r="M104" s="1">
        <v>1300</v>
      </c>
      <c r="N104">
        <f t="shared" si="1"/>
        <v>815</v>
      </c>
      <c r="O104" s="1">
        <v>1300</v>
      </c>
      <c r="P104">
        <f t="shared" si="2"/>
        <v>0</v>
      </c>
      <c r="R104">
        <v>63</v>
      </c>
      <c r="T104" s="1"/>
    </row>
    <row r="105" spans="1:20" ht="15.75" customHeight="1">
      <c r="A105" s="26" t="s">
        <v>523</v>
      </c>
      <c r="B105" s="26"/>
      <c r="C105" s="26"/>
      <c r="D105" s="26">
        <f>N17</f>
        <v>599</v>
      </c>
      <c r="E105" s="26"/>
      <c r="F105" s="26"/>
      <c r="G105" t="s">
        <v>81</v>
      </c>
      <c r="I105">
        <v>1947</v>
      </c>
      <c r="K105" s="1">
        <v>5</v>
      </c>
      <c r="L105">
        <v>1947</v>
      </c>
      <c r="M105" s="1">
        <v>1200</v>
      </c>
      <c r="N105">
        <f t="shared" si="1"/>
        <v>747</v>
      </c>
      <c r="O105" s="1">
        <v>1500</v>
      </c>
      <c r="P105">
        <f t="shared" si="2"/>
        <v>300</v>
      </c>
      <c r="Q105" s="1">
        <v>3</v>
      </c>
      <c r="R105">
        <v>62</v>
      </c>
    </row>
    <row r="106" spans="1:20" ht="15.75" customHeight="1">
      <c r="A106" s="26" t="s">
        <v>524</v>
      </c>
      <c r="B106" s="26"/>
      <c r="C106" s="26"/>
      <c r="D106" s="26">
        <f t="shared" ref="D106:D108" si="3">N6</f>
        <v>187</v>
      </c>
      <c r="E106" s="26"/>
      <c r="F106" s="26"/>
      <c r="G106" t="s">
        <v>82</v>
      </c>
      <c r="I106">
        <v>2714</v>
      </c>
      <c r="K106" s="1">
        <v>6</v>
      </c>
      <c r="L106">
        <v>2714</v>
      </c>
      <c r="M106" s="1">
        <v>1400</v>
      </c>
      <c r="N106">
        <f t="shared" si="1"/>
        <v>1314</v>
      </c>
      <c r="O106" s="1">
        <v>1500</v>
      </c>
      <c r="P106">
        <f t="shared" si="2"/>
        <v>100</v>
      </c>
      <c r="Q106" s="1">
        <v>1</v>
      </c>
      <c r="R106">
        <v>94</v>
      </c>
      <c r="T106" s="1"/>
    </row>
    <row r="107" spans="1:20" ht="15.75" customHeight="1">
      <c r="A107" s="26" t="s">
        <v>525</v>
      </c>
      <c r="B107" s="26"/>
      <c r="C107" s="26"/>
      <c r="D107" s="26">
        <f t="shared" si="3"/>
        <v>374</v>
      </c>
      <c r="E107" s="26"/>
      <c r="F107" s="26"/>
      <c r="G107" s="66" t="s">
        <v>148</v>
      </c>
      <c r="I107">
        <v>1771</v>
      </c>
      <c r="K107" s="1">
        <v>7</v>
      </c>
      <c r="L107">
        <v>1771</v>
      </c>
      <c r="M107" s="1">
        <v>1525</v>
      </c>
      <c r="N107">
        <f t="shared" si="1"/>
        <v>246</v>
      </c>
      <c r="O107" s="1">
        <v>1525</v>
      </c>
      <c r="P107">
        <f t="shared" si="2"/>
        <v>0</v>
      </c>
      <c r="R107">
        <v>16</v>
      </c>
    </row>
    <row r="108" spans="1:20" ht="15.75" customHeight="1">
      <c r="A108" s="26" t="s">
        <v>526</v>
      </c>
      <c r="B108" s="26"/>
      <c r="C108" s="26"/>
      <c r="D108" s="26">
        <f t="shared" si="3"/>
        <v>187</v>
      </c>
      <c r="E108" s="26"/>
      <c r="F108" s="26"/>
      <c r="G108" t="s">
        <v>205</v>
      </c>
      <c r="I108">
        <v>1771</v>
      </c>
      <c r="K108" s="1">
        <v>8</v>
      </c>
      <c r="L108">
        <v>1771</v>
      </c>
      <c r="M108" s="1">
        <v>1400</v>
      </c>
      <c r="N108">
        <f t="shared" si="1"/>
        <v>371</v>
      </c>
      <c r="O108" s="1">
        <v>1500</v>
      </c>
      <c r="P108">
        <f t="shared" si="2"/>
        <v>100</v>
      </c>
      <c r="Q108" s="1">
        <v>1</v>
      </c>
      <c r="R108">
        <v>27</v>
      </c>
    </row>
    <row r="109" spans="1:20" ht="15.75" customHeight="1">
      <c r="A109" s="26" t="s">
        <v>527</v>
      </c>
      <c r="B109" s="26"/>
      <c r="C109" s="26"/>
      <c r="D109" s="26">
        <f>N19</f>
        <v>487</v>
      </c>
      <c r="E109" s="26"/>
      <c r="F109" s="26"/>
      <c r="G109" t="s">
        <v>208</v>
      </c>
      <c r="I109">
        <v>1477</v>
      </c>
      <c r="K109" s="1">
        <v>9</v>
      </c>
      <c r="L109">
        <v>1477</v>
      </c>
      <c r="M109" s="1">
        <v>1200</v>
      </c>
      <c r="N109">
        <f t="shared" si="1"/>
        <v>277</v>
      </c>
      <c r="O109" s="1">
        <v>1500</v>
      </c>
      <c r="P109">
        <f t="shared" si="2"/>
        <v>300</v>
      </c>
      <c r="Q109" s="1">
        <v>3</v>
      </c>
      <c r="R109">
        <v>23</v>
      </c>
    </row>
    <row r="110" spans="1:20" ht="15.75" customHeight="1">
      <c r="A110" s="26" t="s">
        <v>528</v>
      </c>
      <c r="B110" s="26"/>
      <c r="C110" s="26"/>
      <c r="D110" s="26">
        <f>N5</f>
        <v>371</v>
      </c>
      <c r="E110" s="26"/>
      <c r="F110" s="26"/>
      <c r="G110" t="s">
        <v>212</v>
      </c>
      <c r="I110">
        <v>3501</v>
      </c>
      <c r="K110" s="1">
        <v>10</v>
      </c>
      <c r="L110">
        <v>3501</v>
      </c>
      <c r="M110" s="1">
        <v>1200</v>
      </c>
      <c r="N110">
        <f t="shared" si="1"/>
        <v>2301</v>
      </c>
      <c r="O110" s="1">
        <v>1500</v>
      </c>
      <c r="P110">
        <f t="shared" si="2"/>
        <v>300</v>
      </c>
      <c r="Q110" s="1">
        <v>3</v>
      </c>
      <c r="R110">
        <v>192</v>
      </c>
      <c r="T110" s="1"/>
    </row>
    <row r="111" spans="1:20">
      <c r="A111" s="64" t="s">
        <v>529</v>
      </c>
      <c r="B111" s="26"/>
      <c r="C111" s="26"/>
      <c r="D111" s="65">
        <f>SUM(D102:D110)</f>
        <v>2826</v>
      </c>
      <c r="E111" s="26"/>
      <c r="F111" s="26"/>
      <c r="G111" t="s">
        <v>216</v>
      </c>
      <c r="I111">
        <v>2532</v>
      </c>
      <c r="K111" s="1">
        <v>11</v>
      </c>
      <c r="L111">
        <v>2532</v>
      </c>
      <c r="M111" s="1">
        <v>1050</v>
      </c>
      <c r="N111">
        <f t="shared" si="1"/>
        <v>1482</v>
      </c>
      <c r="O111" s="1">
        <v>1500</v>
      </c>
      <c r="P111">
        <f t="shared" si="2"/>
        <v>450</v>
      </c>
      <c r="Q111" s="1">
        <v>4</v>
      </c>
      <c r="R111">
        <v>141</v>
      </c>
      <c r="T111" s="1"/>
    </row>
    <row r="112" spans="1:20" ht="15.75" customHeight="1">
      <c r="A112" s="26"/>
      <c r="E112" s="26"/>
      <c r="F112" s="26"/>
      <c r="G112" t="s">
        <v>220</v>
      </c>
      <c r="I112">
        <v>1866</v>
      </c>
      <c r="K112" s="1">
        <v>12</v>
      </c>
      <c r="L112">
        <v>1866</v>
      </c>
      <c r="M112" s="1">
        <v>1450</v>
      </c>
      <c r="N112">
        <f t="shared" si="1"/>
        <v>416</v>
      </c>
      <c r="O112" s="1">
        <v>1500</v>
      </c>
      <c r="P112">
        <f t="shared" si="2"/>
        <v>50</v>
      </c>
      <c r="R112">
        <v>29</v>
      </c>
    </row>
    <row r="113" spans="1:20">
      <c r="A113" s="64" t="s">
        <v>59</v>
      </c>
      <c r="B113" s="65" t="s">
        <v>517</v>
      </c>
      <c r="C113" s="65" t="s">
        <v>518</v>
      </c>
      <c r="D113" s="65" t="s">
        <v>519</v>
      </c>
      <c r="E113" s="26"/>
      <c r="F113" s="26"/>
      <c r="G113" t="s">
        <v>222</v>
      </c>
      <c r="I113">
        <v>2223</v>
      </c>
      <c r="K113" s="1">
        <v>13</v>
      </c>
      <c r="L113">
        <v>2223</v>
      </c>
      <c r="M113" s="1">
        <v>1400</v>
      </c>
      <c r="N113">
        <f t="shared" si="1"/>
        <v>823</v>
      </c>
      <c r="O113" s="1">
        <v>1500</v>
      </c>
      <c r="P113">
        <f t="shared" si="2"/>
        <v>100</v>
      </c>
      <c r="Q113" s="1">
        <v>1</v>
      </c>
      <c r="R113">
        <v>59</v>
      </c>
    </row>
    <row r="114" spans="1:20" ht="15.75" customHeight="1">
      <c r="A114" s="26" t="s">
        <v>530</v>
      </c>
      <c r="B114" s="26">
        <v>181.07</v>
      </c>
      <c r="C114" s="26">
        <v>1</v>
      </c>
      <c r="D114">
        <f>Q11</f>
        <v>266</v>
      </c>
      <c r="E114" s="26"/>
      <c r="F114" s="26"/>
      <c r="G114" s="66" t="s">
        <v>225</v>
      </c>
      <c r="I114">
        <v>2961</v>
      </c>
      <c r="K114" s="1">
        <v>14</v>
      </c>
      <c r="L114">
        <v>2961</v>
      </c>
      <c r="M114" s="1">
        <v>1500</v>
      </c>
      <c r="N114">
        <f t="shared" si="1"/>
        <v>1461</v>
      </c>
      <c r="O114" s="1">
        <v>1500</v>
      </c>
      <c r="P114">
        <f t="shared" si="2"/>
        <v>0</v>
      </c>
      <c r="R114">
        <v>97</v>
      </c>
      <c r="T114" s="1"/>
    </row>
    <row r="115" spans="1:20" ht="15.75" customHeight="1">
      <c r="A115" s="26" t="s">
        <v>531</v>
      </c>
      <c r="B115" s="67">
        <v>181.03</v>
      </c>
      <c r="C115" s="67">
        <v>0.5</v>
      </c>
      <c r="D115" s="67">
        <v>205</v>
      </c>
      <c r="E115" s="26"/>
      <c r="F115" s="26"/>
      <c r="G115" t="s">
        <v>228</v>
      </c>
      <c r="I115">
        <v>2220</v>
      </c>
      <c r="K115" s="1">
        <v>15</v>
      </c>
      <c r="L115">
        <v>2220</v>
      </c>
      <c r="M115" s="1">
        <v>1500</v>
      </c>
      <c r="N115">
        <f t="shared" si="1"/>
        <v>720</v>
      </c>
      <c r="O115" s="1">
        <v>1500</v>
      </c>
      <c r="P115">
        <f t="shared" si="2"/>
        <v>0</v>
      </c>
      <c r="R115">
        <v>48</v>
      </c>
    </row>
    <row r="116" spans="1:20" ht="15.75" customHeight="1">
      <c r="A116" s="26" t="s">
        <v>532</v>
      </c>
      <c r="B116" s="67">
        <v>181.12</v>
      </c>
      <c r="C116" s="67">
        <v>0.5</v>
      </c>
      <c r="D116" s="67">
        <v>119</v>
      </c>
      <c r="E116" s="26"/>
      <c r="F116" s="26"/>
      <c r="G116" t="s">
        <v>232</v>
      </c>
      <c r="I116">
        <v>2539</v>
      </c>
      <c r="K116" s="1">
        <v>16</v>
      </c>
      <c r="L116">
        <v>2539</v>
      </c>
      <c r="M116" s="1">
        <v>1400</v>
      </c>
      <c r="N116">
        <f t="shared" si="1"/>
        <v>1139</v>
      </c>
      <c r="O116" s="1">
        <v>1500</v>
      </c>
      <c r="P116">
        <f t="shared" si="2"/>
        <v>100</v>
      </c>
      <c r="Q116" s="1">
        <v>1</v>
      </c>
      <c r="R116">
        <v>81</v>
      </c>
      <c r="T116" s="1"/>
    </row>
    <row r="117" spans="1:20" ht="15.75" customHeight="1">
      <c r="A117" s="26" t="s">
        <v>533</v>
      </c>
      <c r="B117" s="67">
        <v>181.08</v>
      </c>
      <c r="C117" s="67">
        <v>1</v>
      </c>
      <c r="D117" s="67">
        <f>Q12</f>
        <v>169</v>
      </c>
      <c r="E117" s="26"/>
      <c r="F117" s="26"/>
      <c r="G117" t="s">
        <v>234</v>
      </c>
      <c r="I117">
        <v>1320</v>
      </c>
      <c r="K117" s="1">
        <v>17</v>
      </c>
      <c r="L117">
        <v>1320</v>
      </c>
      <c r="M117" s="1">
        <v>1300</v>
      </c>
      <c r="N117">
        <f t="shared" si="1"/>
        <v>20</v>
      </c>
      <c r="O117" s="1">
        <v>1500</v>
      </c>
      <c r="P117">
        <f t="shared" si="2"/>
        <v>200</v>
      </c>
      <c r="Q117" s="1">
        <v>2</v>
      </c>
      <c r="R117">
        <v>2</v>
      </c>
    </row>
    <row r="118" spans="1:20" ht="15.75" customHeight="1">
      <c r="A118" s="26"/>
      <c r="B118" s="68">
        <v>181.03</v>
      </c>
      <c r="C118" s="68">
        <v>0.5</v>
      </c>
      <c r="D118" s="68">
        <v>205</v>
      </c>
      <c r="E118" s="26"/>
      <c r="F118" s="26"/>
      <c r="G118" s="66" t="s">
        <v>235</v>
      </c>
      <c r="I118">
        <v>1732</v>
      </c>
      <c r="K118" s="1">
        <v>18</v>
      </c>
      <c r="L118">
        <v>1732</v>
      </c>
      <c r="M118" s="1">
        <v>1700</v>
      </c>
      <c r="N118">
        <f t="shared" si="1"/>
        <v>32</v>
      </c>
      <c r="O118" s="1">
        <v>1700</v>
      </c>
      <c r="P118">
        <f t="shared" si="2"/>
        <v>0</v>
      </c>
      <c r="R118">
        <v>2</v>
      </c>
    </row>
    <row r="119" spans="1:20" ht="15.75" customHeight="1">
      <c r="A119" s="26"/>
      <c r="B119" s="68">
        <v>181.09</v>
      </c>
      <c r="C119" s="68">
        <v>1</v>
      </c>
      <c r="D119" s="68">
        <f>T12</f>
        <v>540</v>
      </c>
      <c r="E119" s="26"/>
      <c r="F119" s="26"/>
      <c r="G119" s="66" t="s">
        <v>238</v>
      </c>
      <c r="I119">
        <v>2406</v>
      </c>
      <c r="K119" s="1">
        <v>19</v>
      </c>
      <c r="L119">
        <v>2406</v>
      </c>
      <c r="M119" s="1">
        <v>1500</v>
      </c>
      <c r="N119">
        <f t="shared" si="1"/>
        <v>906</v>
      </c>
      <c r="O119" s="1">
        <v>1500</v>
      </c>
      <c r="P119">
        <f t="shared" si="2"/>
        <v>0</v>
      </c>
      <c r="R119">
        <v>60</v>
      </c>
      <c r="T119" s="1"/>
    </row>
    <row r="120" spans="1:20">
      <c r="A120" s="64" t="s">
        <v>529</v>
      </c>
      <c r="B120" s="26"/>
      <c r="C120" s="26"/>
      <c r="D120" s="65">
        <f>SUM(D114:D119)</f>
        <v>1504</v>
      </c>
      <c r="E120" s="26"/>
      <c r="F120" s="26"/>
      <c r="L120">
        <f t="shared" ref="L120:N120" si="4">SUM(L101:L119)</f>
        <v>42474</v>
      </c>
      <c r="M120">
        <f t="shared" si="4"/>
        <v>28805</v>
      </c>
      <c r="N120">
        <f t="shared" si="4"/>
        <v>13669</v>
      </c>
      <c r="O120" s="1" t="s">
        <v>910</v>
      </c>
      <c r="Q120">
        <f>2.6*SUM(Q101:Q119)</f>
        <v>67.600000000000009</v>
      </c>
      <c r="R120">
        <f>ROUND(N120/M120*100,2)</f>
        <v>47.45</v>
      </c>
    </row>
    <row r="121" spans="1:20">
      <c r="A121" s="64"/>
      <c r="B121" s="65"/>
      <c r="C121" s="65"/>
      <c r="D121" s="65"/>
      <c r="E121" s="26"/>
      <c r="F121" s="26"/>
      <c r="K121" s="1"/>
      <c r="L121" s="1"/>
    </row>
    <row r="122" spans="1:20">
      <c r="A122" s="64"/>
      <c r="E122" s="26"/>
      <c r="F122" s="26"/>
      <c r="K122" s="1"/>
      <c r="L122" s="1"/>
    </row>
    <row r="123" spans="1:20">
      <c r="A123" s="64" t="s">
        <v>78</v>
      </c>
      <c r="B123" s="65" t="s">
        <v>517</v>
      </c>
      <c r="C123" s="65" t="s">
        <v>518</v>
      </c>
      <c r="D123" s="65" t="s">
        <v>519</v>
      </c>
      <c r="E123" s="26"/>
      <c r="F123" s="26"/>
      <c r="K123" s="1"/>
      <c r="L123" s="1"/>
    </row>
    <row r="124" spans="1:20" ht="15.75" customHeight="1">
      <c r="A124" s="26" t="s">
        <v>534</v>
      </c>
      <c r="B124" s="69">
        <v>188.01</v>
      </c>
      <c r="C124" s="69">
        <v>1</v>
      </c>
      <c r="D124" s="69">
        <f>Q79</f>
        <v>337</v>
      </c>
      <c r="E124" s="26"/>
      <c r="F124" s="26"/>
      <c r="K124" s="1"/>
      <c r="L124" s="1"/>
    </row>
    <row r="125" spans="1:20" ht="15.75" customHeight="1">
      <c r="A125" s="26"/>
      <c r="B125" s="69">
        <v>188.02</v>
      </c>
      <c r="C125" s="69">
        <v>0.75</v>
      </c>
      <c r="D125" s="69">
        <v>263</v>
      </c>
      <c r="E125" s="26"/>
      <c r="F125" s="26"/>
      <c r="K125" s="1"/>
      <c r="L125" s="1"/>
    </row>
    <row r="126" spans="1:20" ht="15.75" customHeight="1">
      <c r="A126" s="26" t="s">
        <v>535</v>
      </c>
      <c r="B126" s="69">
        <v>188.02</v>
      </c>
      <c r="C126" s="69">
        <v>0.25</v>
      </c>
      <c r="D126" s="69">
        <v>88</v>
      </c>
      <c r="E126" s="26"/>
      <c r="F126" s="26"/>
      <c r="K126" s="1"/>
      <c r="L126" s="1"/>
    </row>
    <row r="127" spans="1:20" ht="15.75" customHeight="1">
      <c r="A127" s="26"/>
      <c r="B127" s="69">
        <v>188.08</v>
      </c>
      <c r="C127" s="69">
        <v>0.5</v>
      </c>
      <c r="D127" s="69">
        <v>278</v>
      </c>
      <c r="E127" s="26"/>
      <c r="F127" s="26"/>
      <c r="K127" s="1"/>
      <c r="L127" s="1"/>
    </row>
    <row r="128" spans="1:20" ht="15.75" customHeight="1">
      <c r="A128" s="26"/>
      <c r="B128" s="69">
        <v>188.07</v>
      </c>
      <c r="C128" s="69">
        <v>0.25</v>
      </c>
      <c r="D128" s="69">
        <v>116</v>
      </c>
      <c r="E128" s="26"/>
      <c r="F128" s="26"/>
      <c r="K128" s="1"/>
      <c r="L128" s="1"/>
    </row>
    <row r="129" spans="1:17" ht="15.75" customHeight="1">
      <c r="A129" s="26" t="s">
        <v>536</v>
      </c>
      <c r="B129" s="69">
        <v>188.07</v>
      </c>
      <c r="C129" s="69">
        <v>0.75</v>
      </c>
      <c r="D129" s="69">
        <v>347</v>
      </c>
      <c r="E129" s="26"/>
      <c r="F129" s="26"/>
      <c r="K129" s="1"/>
      <c r="L129" s="1"/>
    </row>
    <row r="130" spans="1:17" ht="15.75" customHeight="1">
      <c r="A130" s="26"/>
      <c r="B130" s="69">
        <v>188.08</v>
      </c>
      <c r="C130" s="69">
        <v>0.5</v>
      </c>
      <c r="D130" s="69">
        <v>278</v>
      </c>
      <c r="E130" s="26"/>
      <c r="F130" s="26"/>
      <c r="K130" s="1"/>
      <c r="L130" s="1"/>
    </row>
    <row r="131" spans="1:17" ht="15.75" customHeight="1">
      <c r="A131" s="26" t="s">
        <v>537</v>
      </c>
      <c r="B131" s="69">
        <v>188.05</v>
      </c>
      <c r="C131" s="69">
        <v>1</v>
      </c>
      <c r="D131" s="69">
        <f>Q81</f>
        <v>298</v>
      </c>
      <c r="E131" s="26"/>
      <c r="F131" s="26"/>
      <c r="K131" s="1"/>
      <c r="L131" s="1"/>
    </row>
    <row r="132" spans="1:17" ht="15.75" customHeight="1">
      <c r="A132" s="26"/>
      <c r="B132" s="69">
        <v>188.06</v>
      </c>
      <c r="C132" s="69">
        <v>0.8</v>
      </c>
      <c r="D132" s="69">
        <v>110</v>
      </c>
      <c r="E132" s="26"/>
      <c r="F132" s="26"/>
      <c r="K132" s="1"/>
      <c r="L132" s="1"/>
    </row>
    <row r="133" spans="1:17" ht="15.75" customHeight="1">
      <c r="A133" s="65" t="s">
        <v>529</v>
      </c>
      <c r="B133" s="65"/>
      <c r="C133" s="65"/>
      <c r="D133" s="65">
        <f>SUM(D124:D132)</f>
        <v>2115</v>
      </c>
      <c r="E133" s="65"/>
      <c r="F133" s="65"/>
      <c r="G133" s="5"/>
      <c r="H133" s="5"/>
      <c r="I133" s="5"/>
      <c r="J133" s="5"/>
      <c r="K133" s="1"/>
      <c r="L133" s="1"/>
      <c r="M133" s="5"/>
      <c r="N133" s="5"/>
      <c r="O133" s="5"/>
      <c r="P133" s="5"/>
      <c r="Q133" s="5"/>
    </row>
    <row r="134" spans="1:17" ht="15.75" customHeight="1">
      <c r="A134" s="26"/>
      <c r="B134" s="26"/>
      <c r="C134" s="26"/>
      <c r="D134" s="26"/>
      <c r="E134" s="26"/>
      <c r="F134" s="26"/>
      <c r="K134" s="1"/>
      <c r="L134" s="1"/>
    </row>
    <row r="135" spans="1:17">
      <c r="A135" s="64"/>
      <c r="E135" s="26"/>
      <c r="F135" s="26"/>
      <c r="K135" s="1"/>
      <c r="L135" s="1"/>
    </row>
    <row r="136" spans="1:17">
      <c r="A136" s="64" t="s">
        <v>81</v>
      </c>
      <c r="B136" s="65" t="s">
        <v>517</v>
      </c>
      <c r="C136" s="65" t="s">
        <v>518</v>
      </c>
      <c r="D136" s="65" t="s">
        <v>519</v>
      </c>
      <c r="E136" s="26"/>
      <c r="F136" s="26"/>
      <c r="K136" s="1"/>
      <c r="L136" s="1"/>
    </row>
    <row r="137" spans="1:17">
      <c r="A137" s="26" t="s">
        <v>538</v>
      </c>
      <c r="B137" s="12">
        <v>192</v>
      </c>
      <c r="C137" s="12">
        <v>0.66700000000000004</v>
      </c>
      <c r="D137" s="12">
        <v>185</v>
      </c>
      <c r="E137" s="26"/>
      <c r="F137" s="26"/>
      <c r="K137" s="1"/>
      <c r="L137" s="1"/>
    </row>
    <row r="138" spans="1:17">
      <c r="A138" s="26" t="s">
        <v>539</v>
      </c>
      <c r="B138" s="12">
        <v>191.05</v>
      </c>
      <c r="C138" s="12">
        <v>1</v>
      </c>
      <c r="D138" s="12">
        <f>Q95</f>
        <v>295</v>
      </c>
      <c r="K138" s="1"/>
      <c r="L138" s="1"/>
    </row>
    <row r="139" spans="1:17">
      <c r="A139" s="26"/>
      <c r="B139" s="12">
        <v>191.07</v>
      </c>
      <c r="C139" s="12">
        <v>1</v>
      </c>
      <c r="D139" s="12">
        <f>T95</f>
        <v>245</v>
      </c>
      <c r="E139" s="26"/>
      <c r="F139" s="26"/>
      <c r="K139" s="1"/>
      <c r="L139" s="1"/>
    </row>
    <row r="140" spans="1:17">
      <c r="A140" s="26"/>
      <c r="B140" s="12">
        <v>191.06</v>
      </c>
      <c r="C140" s="12">
        <v>0.5</v>
      </c>
      <c r="D140" s="12">
        <v>72</v>
      </c>
      <c r="E140" s="26"/>
      <c r="F140" s="26"/>
    </row>
    <row r="141" spans="1:17">
      <c r="A141" s="26" t="s">
        <v>540</v>
      </c>
      <c r="B141" s="12">
        <v>191.03</v>
      </c>
      <c r="C141" s="12">
        <v>0.5</v>
      </c>
      <c r="D141" s="12">
        <v>217</v>
      </c>
    </row>
    <row r="142" spans="1:17">
      <c r="A142" s="26"/>
      <c r="B142" s="12">
        <v>191.04</v>
      </c>
      <c r="C142" s="12">
        <v>0.5</v>
      </c>
      <c r="D142" s="12">
        <v>203</v>
      </c>
      <c r="E142" s="26"/>
      <c r="F142" s="26"/>
    </row>
    <row r="143" spans="1:17">
      <c r="A143" s="26" t="s">
        <v>541</v>
      </c>
      <c r="B143" s="12">
        <v>191.06</v>
      </c>
      <c r="C143" s="12">
        <v>0.5</v>
      </c>
      <c r="D143" s="12">
        <v>72</v>
      </c>
    </row>
    <row r="144" spans="1:17">
      <c r="A144" s="26"/>
      <c r="B144" s="12">
        <v>190.05</v>
      </c>
      <c r="C144" s="12">
        <v>1</v>
      </c>
      <c r="D144" s="12">
        <f>T96</f>
        <v>139</v>
      </c>
      <c r="E144" s="26"/>
      <c r="F144" s="26"/>
    </row>
    <row r="145" spans="1:6">
      <c r="A145" s="26"/>
      <c r="B145" s="12">
        <v>190.03</v>
      </c>
      <c r="C145" s="12">
        <v>0.33300000000000002</v>
      </c>
      <c r="D145" s="12">
        <v>194</v>
      </c>
      <c r="E145" s="26"/>
      <c r="F145" s="26"/>
    </row>
    <row r="146" spans="1:6">
      <c r="A146" s="26" t="s">
        <v>542</v>
      </c>
      <c r="B146" s="12">
        <v>190.04</v>
      </c>
      <c r="C146" s="12">
        <v>0.6</v>
      </c>
      <c r="D146" s="12">
        <v>325</v>
      </c>
      <c r="E146" s="26"/>
      <c r="F146" s="26"/>
    </row>
    <row r="147" spans="1:6" ht="15.75" customHeight="1">
      <c r="A147" s="65" t="s">
        <v>529</v>
      </c>
      <c r="B147" s="26"/>
      <c r="C147" s="26"/>
      <c r="D147" s="65">
        <f>SUM(D137:D146)</f>
        <v>1947</v>
      </c>
      <c r="E147" s="26"/>
      <c r="F147" s="26"/>
    </row>
    <row r="148" spans="1:6" ht="15.75" customHeight="1">
      <c r="A148" s="26"/>
      <c r="B148" s="26"/>
      <c r="C148" s="26"/>
      <c r="D148" s="26"/>
      <c r="E148" s="26"/>
      <c r="F148" s="26"/>
    </row>
    <row r="149" spans="1:6">
      <c r="A149" s="64"/>
      <c r="E149" s="26"/>
      <c r="F149" s="26"/>
    </row>
    <row r="150" spans="1:6">
      <c r="A150" s="64" t="s">
        <v>82</v>
      </c>
      <c r="B150" s="65" t="s">
        <v>517</v>
      </c>
      <c r="C150" s="65" t="s">
        <v>518</v>
      </c>
      <c r="D150" s="65" t="s">
        <v>519</v>
      </c>
      <c r="E150" s="26"/>
      <c r="F150" s="26"/>
    </row>
    <row r="151" spans="1:6">
      <c r="A151" s="70" t="s">
        <v>543</v>
      </c>
      <c r="B151" s="12">
        <v>182.02</v>
      </c>
      <c r="C151" s="12">
        <v>0.5</v>
      </c>
      <c r="D151" s="12">
        <v>371</v>
      </c>
      <c r="E151" s="26"/>
      <c r="F151" s="26"/>
    </row>
    <row r="152" spans="1:6" ht="15.75" customHeight="1">
      <c r="A152" s="70" t="s">
        <v>544</v>
      </c>
      <c r="B152" s="12">
        <v>182.02</v>
      </c>
      <c r="C152" s="12">
        <v>0.5</v>
      </c>
      <c r="D152" s="4">
        <v>371</v>
      </c>
      <c r="E152" s="26"/>
      <c r="F152" s="26"/>
    </row>
    <row r="153" spans="1:6" ht="15.75" customHeight="1">
      <c r="A153" s="70" t="s">
        <v>545</v>
      </c>
      <c r="B153" s="12">
        <v>183.01</v>
      </c>
      <c r="C153" s="12">
        <v>1</v>
      </c>
      <c r="D153" s="4">
        <v>533</v>
      </c>
      <c r="E153" s="26"/>
      <c r="F153" s="26"/>
    </row>
    <row r="154" spans="1:6">
      <c r="A154" s="26" t="s">
        <v>546</v>
      </c>
      <c r="B154" s="12">
        <v>183.05</v>
      </c>
      <c r="C154" s="12">
        <v>0.5</v>
      </c>
      <c r="D154" s="12">
        <v>520</v>
      </c>
      <c r="E154" s="26"/>
      <c r="F154" s="26"/>
    </row>
    <row r="155" spans="1:6">
      <c r="A155" s="26" t="s">
        <v>547</v>
      </c>
      <c r="B155" s="12">
        <v>183.03</v>
      </c>
      <c r="C155" s="12">
        <v>0.5</v>
      </c>
      <c r="D155" s="12">
        <v>199</v>
      </c>
    </row>
    <row r="156" spans="1:6">
      <c r="A156" s="26"/>
      <c r="B156" s="12">
        <v>183.07</v>
      </c>
      <c r="C156" s="12">
        <v>0.2</v>
      </c>
      <c r="D156" s="12">
        <v>96</v>
      </c>
      <c r="E156" s="26"/>
      <c r="F156" s="26"/>
    </row>
    <row r="157" spans="1:6">
      <c r="A157" s="26" t="s">
        <v>548</v>
      </c>
      <c r="B157" s="12">
        <v>183.03</v>
      </c>
      <c r="C157" s="12">
        <v>0.5</v>
      </c>
      <c r="D157" s="12">
        <v>199</v>
      </c>
    </row>
    <row r="158" spans="1:6">
      <c r="A158" s="26"/>
      <c r="B158" s="12">
        <v>183.07</v>
      </c>
      <c r="C158" s="12">
        <v>0.1</v>
      </c>
      <c r="D158" s="12">
        <v>48</v>
      </c>
      <c r="E158" s="26"/>
      <c r="F158" s="26"/>
    </row>
    <row r="159" spans="1:6">
      <c r="A159" s="26"/>
      <c r="B159" s="12">
        <v>182.01</v>
      </c>
      <c r="C159" s="12">
        <v>0.25</v>
      </c>
      <c r="D159" s="12">
        <v>116</v>
      </c>
      <c r="E159" s="26"/>
      <c r="F159" s="26"/>
    </row>
    <row r="160" spans="1:6">
      <c r="A160" s="26" t="s">
        <v>549</v>
      </c>
      <c r="B160" s="12">
        <v>182.01</v>
      </c>
      <c r="C160" s="12">
        <v>0.25</v>
      </c>
      <c r="D160" s="12">
        <v>116</v>
      </c>
    </row>
    <row r="161" spans="1:6">
      <c r="A161" s="26"/>
      <c r="B161" s="12">
        <v>183.07</v>
      </c>
      <c r="C161" s="12">
        <v>0.3</v>
      </c>
      <c r="D161" s="12">
        <v>145</v>
      </c>
      <c r="E161" s="26"/>
      <c r="F161" s="26"/>
    </row>
    <row r="162" spans="1:6" ht="15.75" customHeight="1">
      <c r="A162" s="65" t="s">
        <v>529</v>
      </c>
      <c r="B162" s="26"/>
      <c r="C162" s="26"/>
      <c r="D162" s="65">
        <f>SUM(D151:D161)</f>
        <v>2714</v>
      </c>
      <c r="E162" s="26"/>
      <c r="F162" s="26"/>
    </row>
    <row r="163" spans="1:6" ht="15.75" customHeight="1">
      <c r="A163" s="26"/>
      <c r="B163" s="26"/>
      <c r="C163" s="26"/>
      <c r="D163" s="26"/>
      <c r="E163" s="26"/>
      <c r="F163" s="26"/>
    </row>
    <row r="164" spans="1:6">
      <c r="A164" s="64"/>
      <c r="E164" s="26"/>
      <c r="F164" s="26"/>
    </row>
    <row r="165" spans="1:6">
      <c r="A165" s="64" t="s">
        <v>148</v>
      </c>
      <c r="B165" s="65" t="s">
        <v>517</v>
      </c>
      <c r="C165" s="65" t="s">
        <v>518</v>
      </c>
      <c r="D165" s="65" t="s">
        <v>519</v>
      </c>
      <c r="E165" s="26"/>
      <c r="F165" s="26"/>
    </row>
    <row r="166" spans="1:6">
      <c r="A166" s="26" t="s">
        <v>550</v>
      </c>
      <c r="B166" s="12">
        <v>185.18</v>
      </c>
      <c r="C166" s="12">
        <v>0.33300000000000002</v>
      </c>
      <c r="D166" s="12">
        <v>128</v>
      </c>
    </row>
    <row r="167" spans="1:6">
      <c r="A167" s="26"/>
      <c r="B167" s="12">
        <v>185.08</v>
      </c>
      <c r="C167" s="12">
        <v>1</v>
      </c>
      <c r="D167" s="12">
        <f>T58</f>
        <v>124</v>
      </c>
      <c r="E167" s="26"/>
      <c r="F167" s="26"/>
    </row>
    <row r="168" spans="1:6">
      <c r="A168" s="26"/>
      <c r="B168" s="12">
        <v>185.07</v>
      </c>
      <c r="C168" s="12">
        <v>0.33300000000000002</v>
      </c>
      <c r="D168" s="12">
        <v>306</v>
      </c>
      <c r="E168" s="26"/>
      <c r="F168" s="26"/>
    </row>
    <row r="169" spans="1:6" ht="15.75" customHeight="1">
      <c r="A169" s="26" t="s">
        <v>551</v>
      </c>
      <c r="B169" s="56">
        <v>185.07</v>
      </c>
      <c r="C169" s="56">
        <v>0.33300000000000002</v>
      </c>
      <c r="D169" s="26">
        <v>306</v>
      </c>
      <c r="E169" s="26"/>
      <c r="F169" s="26"/>
    </row>
    <row r="170" spans="1:6">
      <c r="A170" s="26" t="s">
        <v>552</v>
      </c>
      <c r="B170" s="12">
        <v>185.12</v>
      </c>
      <c r="C170" s="12">
        <v>0.5</v>
      </c>
      <c r="D170" s="12">
        <v>266</v>
      </c>
    </row>
    <row r="171" spans="1:6">
      <c r="A171" s="26"/>
      <c r="B171" s="12">
        <v>185.05</v>
      </c>
      <c r="C171" s="12">
        <v>0.2</v>
      </c>
      <c r="D171" s="12">
        <v>117</v>
      </c>
      <c r="E171" s="26"/>
      <c r="F171" s="26"/>
    </row>
    <row r="172" spans="1:6">
      <c r="A172" s="26" t="s">
        <v>553</v>
      </c>
      <c r="B172" s="12">
        <v>185.07</v>
      </c>
      <c r="C172" s="12">
        <v>0.33300000000000002</v>
      </c>
      <c r="D172" s="12">
        <v>306</v>
      </c>
    </row>
    <row r="173" spans="1:6">
      <c r="A173" s="26"/>
      <c r="B173" s="12">
        <v>184.12</v>
      </c>
      <c r="C173" s="12">
        <v>0.2</v>
      </c>
      <c r="D173" s="12">
        <v>135</v>
      </c>
      <c r="E173" s="26"/>
      <c r="F173" s="26"/>
    </row>
    <row r="174" spans="1:6">
      <c r="A174" s="26"/>
      <c r="B174" s="12">
        <v>184.13</v>
      </c>
      <c r="C174" s="12">
        <v>0.2</v>
      </c>
      <c r="D174" s="12">
        <v>83</v>
      </c>
      <c r="E174" s="26"/>
      <c r="F174" s="26"/>
    </row>
    <row r="175" spans="1:6" ht="15.75" customHeight="1">
      <c r="A175" s="65" t="s">
        <v>529</v>
      </c>
      <c r="B175" s="26"/>
      <c r="C175" s="26"/>
      <c r="D175" s="65">
        <f>SUM(D166:D174)</f>
        <v>1771</v>
      </c>
      <c r="E175" s="26"/>
      <c r="F175" s="26"/>
    </row>
    <row r="176" spans="1:6" ht="15.75" customHeight="1">
      <c r="A176" s="26"/>
      <c r="B176" s="26"/>
      <c r="C176" s="26"/>
      <c r="D176" s="26"/>
      <c r="E176" s="26"/>
      <c r="F176" s="26"/>
    </row>
    <row r="177" spans="1:6">
      <c r="A177" s="64"/>
      <c r="E177" s="26"/>
      <c r="F177" s="26"/>
    </row>
    <row r="178" spans="1:6">
      <c r="A178" s="64" t="s">
        <v>205</v>
      </c>
      <c r="B178" s="65" t="s">
        <v>517</v>
      </c>
      <c r="C178" s="65" t="s">
        <v>518</v>
      </c>
      <c r="D178" s="65" t="s">
        <v>519</v>
      </c>
      <c r="E178" s="26"/>
      <c r="F178" s="26"/>
    </row>
    <row r="179" spans="1:6">
      <c r="A179" s="26" t="s">
        <v>554</v>
      </c>
      <c r="B179" s="12">
        <v>184.16</v>
      </c>
      <c r="C179" s="12">
        <v>0.15</v>
      </c>
      <c r="D179" s="12">
        <v>69</v>
      </c>
    </row>
    <row r="180" spans="1:6">
      <c r="A180" s="26"/>
      <c r="B180" s="12">
        <v>184.15</v>
      </c>
      <c r="C180" s="12">
        <v>1</v>
      </c>
      <c r="D180" s="12">
        <f>T45</f>
        <v>305</v>
      </c>
      <c r="E180" s="26"/>
      <c r="F180" s="26"/>
    </row>
    <row r="181" spans="1:6">
      <c r="A181" s="26"/>
      <c r="B181" s="12">
        <v>184.09</v>
      </c>
      <c r="C181" s="12">
        <v>0.5</v>
      </c>
      <c r="D181" s="12">
        <v>193</v>
      </c>
      <c r="E181" s="26"/>
      <c r="F181" s="26"/>
    </row>
    <row r="182" spans="1:6">
      <c r="A182" s="26" t="s">
        <v>555</v>
      </c>
      <c r="B182" s="12">
        <v>187.03</v>
      </c>
      <c r="C182" s="12">
        <v>0.5</v>
      </c>
      <c r="D182" s="12">
        <v>291</v>
      </c>
    </row>
    <row r="183" spans="1:6">
      <c r="A183" s="26"/>
      <c r="B183" s="12">
        <v>187.05</v>
      </c>
      <c r="C183" s="12">
        <v>0.25</v>
      </c>
      <c r="D183" s="12">
        <v>144</v>
      </c>
      <c r="E183" s="26"/>
      <c r="F183" s="26"/>
    </row>
    <row r="184" spans="1:6">
      <c r="A184" s="26" t="s">
        <v>556</v>
      </c>
      <c r="B184" s="12">
        <v>184.1</v>
      </c>
      <c r="C184" s="12">
        <v>0.5</v>
      </c>
      <c r="D184" s="12">
        <v>288</v>
      </c>
      <c r="E184" s="26"/>
      <c r="F184" s="26"/>
    </row>
    <row r="185" spans="1:6">
      <c r="A185" s="26" t="s">
        <v>557</v>
      </c>
      <c r="B185" s="12">
        <v>184.09</v>
      </c>
      <c r="C185" s="12">
        <v>0.5</v>
      </c>
      <c r="D185" s="12">
        <v>193</v>
      </c>
    </row>
    <row r="186" spans="1:6">
      <c r="A186" s="26"/>
      <c r="B186" s="12">
        <v>184.1</v>
      </c>
      <c r="C186" s="12">
        <v>0.5</v>
      </c>
      <c r="D186" s="12">
        <v>288</v>
      </c>
      <c r="E186" s="26"/>
      <c r="F186" s="26"/>
    </row>
    <row r="187" spans="1:6" ht="15.75" customHeight="1">
      <c r="A187" s="65" t="s">
        <v>529</v>
      </c>
      <c r="B187" s="26"/>
      <c r="C187" s="26"/>
      <c r="D187" s="65">
        <f>SUM(D179:D186)</f>
        <v>1771</v>
      </c>
      <c r="E187" s="26"/>
      <c r="F187" s="26"/>
    </row>
    <row r="188" spans="1:6" ht="15.75" customHeight="1">
      <c r="A188" s="26"/>
      <c r="B188" s="26"/>
      <c r="C188" s="26"/>
      <c r="D188" s="26"/>
      <c r="E188" s="26"/>
      <c r="F188" s="26"/>
    </row>
    <row r="189" spans="1:6">
      <c r="A189" s="64"/>
      <c r="E189" s="26"/>
      <c r="F189" s="26"/>
    </row>
    <row r="190" spans="1:6">
      <c r="A190" s="64" t="s">
        <v>208</v>
      </c>
      <c r="B190" s="65" t="s">
        <v>517</v>
      </c>
      <c r="C190" s="65" t="s">
        <v>518</v>
      </c>
      <c r="D190" s="65" t="s">
        <v>519</v>
      </c>
      <c r="E190" s="26"/>
      <c r="F190" s="26"/>
    </row>
    <row r="191" spans="1:6">
      <c r="A191" s="26" t="s">
        <v>558</v>
      </c>
      <c r="B191" s="12">
        <v>182.04</v>
      </c>
      <c r="C191" s="12">
        <v>1</v>
      </c>
      <c r="D191" s="12">
        <f>N22</f>
        <v>381</v>
      </c>
    </row>
    <row r="192" spans="1:6">
      <c r="A192" s="26"/>
      <c r="B192" s="12">
        <v>187.16</v>
      </c>
      <c r="C192" s="12">
        <v>0.66700000000000004</v>
      </c>
      <c r="D192" s="12"/>
      <c r="E192" s="26"/>
      <c r="F192" s="26"/>
    </row>
    <row r="193" spans="1:6">
      <c r="A193" s="26" t="s">
        <v>559</v>
      </c>
      <c r="B193" s="12">
        <v>187.13</v>
      </c>
      <c r="C193" s="12">
        <v>1</v>
      </c>
      <c r="D193" s="12">
        <f>N77</f>
        <v>342</v>
      </c>
    </row>
    <row r="194" spans="1:6">
      <c r="A194" s="26"/>
      <c r="B194" s="12">
        <v>182.03</v>
      </c>
      <c r="C194" s="12">
        <v>0.4</v>
      </c>
      <c r="D194" s="12"/>
      <c r="E194" s="26"/>
      <c r="F194" s="26"/>
    </row>
    <row r="195" spans="1:6">
      <c r="A195" s="26" t="s">
        <v>560</v>
      </c>
      <c r="B195" s="12">
        <v>187.16</v>
      </c>
      <c r="C195" s="12">
        <v>0.33300000000000002</v>
      </c>
      <c r="D195" s="12">
        <f>N78</f>
        <v>754</v>
      </c>
    </row>
    <row r="196" spans="1:6">
      <c r="A196" s="26"/>
      <c r="B196" s="12">
        <v>187.14</v>
      </c>
      <c r="C196" s="12">
        <v>1</v>
      </c>
      <c r="D196" s="12"/>
      <c r="E196" s="26"/>
      <c r="F196" s="26"/>
    </row>
    <row r="197" spans="1:6">
      <c r="A197" s="26"/>
      <c r="B197" s="12">
        <v>187.15</v>
      </c>
      <c r="C197" s="12">
        <v>1</v>
      </c>
      <c r="D197" s="12"/>
      <c r="E197" s="26"/>
      <c r="F197" s="26"/>
    </row>
    <row r="198" spans="1:6">
      <c r="A198" s="65" t="s">
        <v>529</v>
      </c>
      <c r="B198" s="12"/>
      <c r="C198" s="12"/>
      <c r="D198" s="71">
        <f>SUM(D191:D197)</f>
        <v>1477</v>
      </c>
      <c r="E198" s="26"/>
      <c r="F198" s="26"/>
    </row>
    <row r="199" spans="1:6">
      <c r="A199" s="26"/>
      <c r="B199" s="12"/>
      <c r="C199" s="12"/>
      <c r="D199" s="12"/>
      <c r="E199" s="26"/>
      <c r="F199" s="26"/>
    </row>
    <row r="200" spans="1:6">
      <c r="A200" s="64"/>
      <c r="E200" s="26"/>
      <c r="F200" s="26"/>
    </row>
    <row r="201" spans="1:6">
      <c r="A201" s="64" t="s">
        <v>212</v>
      </c>
      <c r="B201" s="65" t="s">
        <v>517</v>
      </c>
      <c r="C201" s="65" t="s">
        <v>518</v>
      </c>
      <c r="D201" s="65" t="s">
        <v>519</v>
      </c>
      <c r="E201" s="26"/>
      <c r="F201" s="26"/>
    </row>
    <row r="202" spans="1:6">
      <c r="A202" s="26" t="s">
        <v>561</v>
      </c>
      <c r="B202" s="12">
        <v>184.02</v>
      </c>
      <c r="C202" s="12">
        <v>1</v>
      </c>
      <c r="D202" s="12">
        <f>N33</f>
        <v>635</v>
      </c>
    </row>
    <row r="203" spans="1:6">
      <c r="A203" s="26"/>
      <c r="B203" s="12">
        <v>184.16</v>
      </c>
      <c r="C203" s="12">
        <v>0.25</v>
      </c>
      <c r="D203" s="12"/>
      <c r="E203" s="26"/>
      <c r="F203" s="26"/>
    </row>
    <row r="204" spans="1:6">
      <c r="A204" s="26" t="s">
        <v>562</v>
      </c>
      <c r="B204" s="12">
        <v>184.16</v>
      </c>
      <c r="C204" s="12">
        <v>0.6</v>
      </c>
      <c r="D204" s="12">
        <f>N44</f>
        <v>274</v>
      </c>
      <c r="E204" s="26"/>
      <c r="F204" s="26"/>
    </row>
    <row r="205" spans="1:6">
      <c r="A205" s="26" t="s">
        <v>563</v>
      </c>
      <c r="B205" s="12">
        <v>184.06</v>
      </c>
      <c r="C205" s="12">
        <v>0.33300000000000002</v>
      </c>
      <c r="D205" s="12">
        <f>N35</f>
        <v>741</v>
      </c>
    </row>
    <row r="206" spans="1:6">
      <c r="A206" s="26"/>
      <c r="B206" s="12">
        <v>184.07</v>
      </c>
      <c r="C206" s="12">
        <v>1</v>
      </c>
      <c r="D206" s="12"/>
      <c r="E206" s="26"/>
      <c r="F206" s="26"/>
    </row>
    <row r="207" spans="1:6">
      <c r="A207" s="26" t="s">
        <v>564</v>
      </c>
      <c r="B207" s="12">
        <v>184.06</v>
      </c>
      <c r="C207" s="12">
        <v>0.66700000000000004</v>
      </c>
      <c r="D207" s="12">
        <f>N34</f>
        <v>835</v>
      </c>
    </row>
    <row r="208" spans="1:6">
      <c r="A208" s="26"/>
      <c r="B208" s="12">
        <v>182.03</v>
      </c>
      <c r="C208" s="12">
        <v>0.2</v>
      </c>
      <c r="D208" s="12"/>
      <c r="E208" s="26"/>
      <c r="F208" s="26"/>
    </row>
    <row r="209" spans="1:6">
      <c r="A209" s="26" t="s">
        <v>565</v>
      </c>
      <c r="B209" s="12">
        <v>184.11</v>
      </c>
      <c r="C209" s="12">
        <v>1</v>
      </c>
      <c r="D209" s="12">
        <f>N39</f>
        <v>1016</v>
      </c>
      <c r="E209" s="26"/>
      <c r="F209" s="26"/>
    </row>
    <row r="210" spans="1:6" ht="15.75" customHeight="1">
      <c r="A210" s="65" t="s">
        <v>529</v>
      </c>
      <c r="B210" s="26"/>
      <c r="C210" s="26"/>
      <c r="D210" s="65">
        <f>SUM(D202:D209)</f>
        <v>3501</v>
      </c>
      <c r="E210" s="26"/>
      <c r="F210" s="26"/>
    </row>
    <row r="211" spans="1:6" ht="15.75" customHeight="1">
      <c r="A211" s="26"/>
      <c r="B211" s="26"/>
      <c r="C211" s="26"/>
      <c r="D211" s="26"/>
      <c r="E211" s="26"/>
      <c r="F211" s="26"/>
    </row>
    <row r="212" spans="1:6">
      <c r="A212" s="64"/>
      <c r="E212" s="26"/>
      <c r="F212" s="26"/>
    </row>
    <row r="213" spans="1:6">
      <c r="A213" s="64" t="s">
        <v>216</v>
      </c>
      <c r="B213" s="65" t="s">
        <v>517</v>
      </c>
      <c r="C213" s="65" t="s">
        <v>518</v>
      </c>
      <c r="D213" s="65" t="s">
        <v>519</v>
      </c>
      <c r="E213" s="26"/>
      <c r="F213" s="26"/>
    </row>
    <row r="214" spans="1:6">
      <c r="A214" s="26" t="s">
        <v>566</v>
      </c>
      <c r="B214" s="12">
        <v>190.01</v>
      </c>
      <c r="C214" s="12">
        <v>0.75</v>
      </c>
      <c r="D214" s="12">
        <f>N89</f>
        <v>789</v>
      </c>
    </row>
    <row r="215" spans="1:6">
      <c r="A215" s="26"/>
      <c r="B215" s="12">
        <v>189.06</v>
      </c>
      <c r="C215" s="12">
        <v>1</v>
      </c>
      <c r="D215" s="12"/>
      <c r="E215" s="26"/>
      <c r="F215" s="26"/>
    </row>
    <row r="216" spans="1:6">
      <c r="A216" s="26"/>
      <c r="B216" s="12">
        <v>187.03</v>
      </c>
      <c r="C216" s="12">
        <v>0.25</v>
      </c>
      <c r="D216" s="12"/>
      <c r="E216" s="26"/>
      <c r="F216" s="26"/>
    </row>
    <row r="217" spans="1:6">
      <c r="A217" s="26" t="s">
        <v>567</v>
      </c>
      <c r="B217" s="12">
        <v>190.03</v>
      </c>
      <c r="C217" s="12">
        <v>0.8</v>
      </c>
      <c r="D217" s="12">
        <f>N90</f>
        <v>521</v>
      </c>
    </row>
    <row r="218" spans="1:6">
      <c r="A218" s="26"/>
      <c r="B218" s="12">
        <v>190.04</v>
      </c>
      <c r="C218" s="12">
        <v>0.1</v>
      </c>
      <c r="D218" s="12"/>
      <c r="E218" s="26"/>
      <c r="F218" s="26"/>
    </row>
    <row r="219" spans="1:6">
      <c r="A219" s="26" t="s">
        <v>568</v>
      </c>
      <c r="B219" s="12">
        <v>189.05</v>
      </c>
      <c r="C219" s="12">
        <v>0.33300000000000002</v>
      </c>
      <c r="D219" s="12">
        <f>N85</f>
        <v>277</v>
      </c>
    </row>
    <row r="220" spans="1:6">
      <c r="A220" s="26"/>
      <c r="B220" s="12">
        <v>190.03</v>
      </c>
      <c r="C220" s="12">
        <v>0.2</v>
      </c>
      <c r="D220" s="12"/>
      <c r="E220" s="26"/>
      <c r="F220" s="26"/>
    </row>
    <row r="221" spans="1:6">
      <c r="A221" s="26" t="s">
        <v>569</v>
      </c>
      <c r="B221" s="12">
        <v>189.08</v>
      </c>
      <c r="C221" s="12">
        <v>1</v>
      </c>
      <c r="D221" s="12">
        <f>N87</f>
        <v>511</v>
      </c>
      <c r="E221" s="26"/>
      <c r="F221" s="26"/>
    </row>
    <row r="222" spans="1:6">
      <c r="A222" s="26" t="s">
        <v>570</v>
      </c>
      <c r="B222" s="12">
        <v>189.03</v>
      </c>
      <c r="C222" s="12">
        <v>0.75</v>
      </c>
      <c r="D222" s="12">
        <f>N84</f>
        <v>204</v>
      </c>
      <c r="E222" s="26"/>
      <c r="F222" s="26"/>
    </row>
    <row r="223" spans="1:6">
      <c r="A223" s="26" t="s">
        <v>571</v>
      </c>
      <c r="B223" s="12">
        <v>190.04</v>
      </c>
      <c r="C223" s="12">
        <v>0.3</v>
      </c>
      <c r="D223" s="12">
        <f>N91</f>
        <v>230</v>
      </c>
    </row>
    <row r="224" spans="1:6">
      <c r="A224" s="26"/>
      <c r="B224" s="12">
        <v>189.03</v>
      </c>
      <c r="C224" s="12">
        <v>0.25</v>
      </c>
      <c r="D224" s="12"/>
      <c r="E224" s="26"/>
      <c r="F224" s="26"/>
    </row>
    <row r="225" spans="1:6" ht="15.75" customHeight="1">
      <c r="A225" s="65" t="s">
        <v>529</v>
      </c>
      <c r="B225" s="26"/>
      <c r="C225" s="26"/>
      <c r="D225" s="65">
        <f>SUM(D214:D224)</f>
        <v>2532</v>
      </c>
      <c r="E225" s="26"/>
      <c r="F225" s="26"/>
    </row>
    <row r="226" spans="1:6">
      <c r="A226" s="64"/>
      <c r="B226" s="26"/>
      <c r="C226" s="26"/>
      <c r="D226" s="26"/>
      <c r="E226" s="26"/>
      <c r="F226" s="26"/>
    </row>
    <row r="227" spans="1:6">
      <c r="A227" s="64"/>
      <c r="E227" s="26"/>
      <c r="F227" s="26"/>
    </row>
    <row r="228" spans="1:6">
      <c r="A228" s="64" t="s">
        <v>220</v>
      </c>
      <c r="B228" s="72" t="s">
        <v>517</v>
      </c>
      <c r="C228" s="72" t="s">
        <v>518</v>
      </c>
      <c r="D228" s="72" t="s">
        <v>519</v>
      </c>
      <c r="E228" s="26"/>
      <c r="F228" s="26"/>
    </row>
    <row r="229" spans="1:6" ht="15.75" customHeight="1">
      <c r="A229" s="73" t="s">
        <v>572</v>
      </c>
      <c r="B229" s="73"/>
      <c r="C229" s="73"/>
      <c r="D229" s="73">
        <v>270</v>
      </c>
      <c r="E229" s="26"/>
      <c r="F229" s="26"/>
    </row>
    <row r="230" spans="1:6" ht="15.75" customHeight="1">
      <c r="A230" s="73" t="s">
        <v>573</v>
      </c>
      <c r="B230" s="73"/>
      <c r="C230" s="73"/>
      <c r="D230" s="73">
        <f>N76</f>
        <v>353</v>
      </c>
      <c r="E230" s="26"/>
      <c r="F230" s="26"/>
    </row>
    <row r="231" spans="1:6" ht="15.75" customHeight="1">
      <c r="A231" s="73" t="s">
        <v>574</v>
      </c>
      <c r="B231" s="73"/>
      <c r="C231" s="73"/>
      <c r="D231" s="73">
        <f>N70</f>
        <v>465</v>
      </c>
      <c r="E231" s="26"/>
      <c r="F231" s="26"/>
    </row>
    <row r="232" spans="1:6" ht="15.75" customHeight="1">
      <c r="A232" s="73" t="s">
        <v>575</v>
      </c>
      <c r="B232" s="73"/>
      <c r="C232" s="73"/>
      <c r="D232" s="73">
        <f>N86</f>
        <v>778</v>
      </c>
      <c r="E232" s="26"/>
      <c r="F232" s="26"/>
    </row>
    <row r="233" spans="1:6">
      <c r="A233" s="72" t="s">
        <v>529</v>
      </c>
      <c r="B233" s="72"/>
      <c r="C233" s="72"/>
      <c r="D233" s="72">
        <f>SUM(D229:D232)</f>
        <v>1866</v>
      </c>
      <c r="E233" s="26"/>
      <c r="F233" s="26"/>
    </row>
    <row r="234" spans="1:6" ht="15.75" customHeight="1">
      <c r="A234" s="26"/>
      <c r="B234" s="26"/>
      <c r="C234" s="26"/>
      <c r="D234" s="26"/>
      <c r="E234" s="26"/>
      <c r="F234" s="26"/>
    </row>
    <row r="235" spans="1:6">
      <c r="A235" s="64"/>
      <c r="E235" s="26"/>
      <c r="F235" s="26"/>
    </row>
    <row r="236" spans="1:6">
      <c r="A236" s="64" t="s">
        <v>222</v>
      </c>
      <c r="B236" s="72" t="s">
        <v>517</v>
      </c>
      <c r="C236" s="72" t="s">
        <v>518</v>
      </c>
      <c r="D236" s="72" t="s">
        <v>519</v>
      </c>
      <c r="E236" s="26"/>
      <c r="F236" s="26"/>
    </row>
    <row r="237" spans="1:6" ht="15.75" customHeight="1">
      <c r="A237" s="73" t="s">
        <v>576</v>
      </c>
      <c r="B237" s="73"/>
      <c r="C237" s="73"/>
      <c r="D237" s="73">
        <f t="shared" ref="D237:D238" si="5">N62</f>
        <v>557</v>
      </c>
      <c r="E237" s="26"/>
      <c r="F237" s="26"/>
    </row>
    <row r="238" spans="1:6" ht="15.75" customHeight="1">
      <c r="A238" s="73" t="s">
        <v>577</v>
      </c>
      <c r="B238" s="73"/>
      <c r="C238" s="73"/>
      <c r="D238" s="73">
        <f t="shared" si="5"/>
        <v>275</v>
      </c>
      <c r="E238" s="26"/>
      <c r="F238" s="26"/>
    </row>
    <row r="239" spans="1:6" ht="15.75" customHeight="1">
      <c r="A239" s="73" t="s">
        <v>578</v>
      </c>
      <c r="B239" s="73"/>
      <c r="C239" s="73"/>
      <c r="D239" s="73">
        <f>N61</f>
        <v>246</v>
      </c>
      <c r="E239" s="26"/>
      <c r="F239" s="26"/>
    </row>
    <row r="240" spans="1:6" ht="15.75" customHeight="1">
      <c r="A240" s="73" t="s">
        <v>579</v>
      </c>
      <c r="B240" s="73"/>
      <c r="C240" s="73"/>
      <c r="D240" s="73">
        <f>N65</f>
        <v>414</v>
      </c>
      <c r="E240" s="26"/>
      <c r="F240" s="26"/>
    </row>
    <row r="241" spans="1:6" ht="15.75" customHeight="1">
      <c r="A241" s="73" t="s">
        <v>580</v>
      </c>
      <c r="B241" s="73"/>
      <c r="C241" s="73"/>
      <c r="D241" s="73">
        <f>N64</f>
        <v>494</v>
      </c>
      <c r="E241" s="26"/>
      <c r="F241" s="26"/>
    </row>
    <row r="242" spans="1:6" ht="15.75" customHeight="1">
      <c r="A242" s="73" t="s">
        <v>581</v>
      </c>
      <c r="B242" s="73"/>
      <c r="C242" s="73"/>
      <c r="D242" s="73">
        <f>N49</f>
        <v>237</v>
      </c>
      <c r="E242" s="26"/>
      <c r="F242" s="26"/>
    </row>
    <row r="243" spans="1:6">
      <c r="A243" s="72" t="s">
        <v>529</v>
      </c>
      <c r="B243" s="72"/>
      <c r="C243" s="72"/>
      <c r="D243" s="72">
        <f>SUM(D237:D242)</f>
        <v>2223</v>
      </c>
      <c r="E243" s="26"/>
      <c r="F243" s="26"/>
    </row>
    <row r="244" spans="1:6" ht="15.75" customHeight="1">
      <c r="A244" s="26"/>
      <c r="E244" s="26"/>
      <c r="F244" s="26"/>
    </row>
    <row r="245" spans="1:6">
      <c r="A245" s="64" t="s">
        <v>225</v>
      </c>
      <c r="B245" s="72" t="s">
        <v>517</v>
      </c>
      <c r="C245" s="72" t="s">
        <v>518</v>
      </c>
      <c r="D245" s="72" t="s">
        <v>519</v>
      </c>
      <c r="E245" s="26"/>
      <c r="F245" s="26"/>
    </row>
    <row r="246" spans="1:6" ht="15.75" customHeight="1">
      <c r="A246" s="73" t="s">
        <v>582</v>
      </c>
      <c r="B246" s="73"/>
      <c r="C246" s="73"/>
      <c r="D246" s="73">
        <f>N74</f>
        <v>815</v>
      </c>
      <c r="E246" s="26"/>
      <c r="F246" s="26"/>
    </row>
    <row r="247" spans="1:6" ht="15.75" customHeight="1">
      <c r="A247" s="73" t="s">
        <v>583</v>
      </c>
      <c r="B247" s="73"/>
      <c r="C247" s="73"/>
      <c r="D247" s="73">
        <f>N73</f>
        <v>575</v>
      </c>
      <c r="E247" s="26"/>
      <c r="F247" s="26"/>
    </row>
    <row r="248" spans="1:6" ht="15.75" customHeight="1">
      <c r="A248" s="73" t="s">
        <v>584</v>
      </c>
      <c r="B248" s="73"/>
      <c r="C248" s="73"/>
      <c r="D248" s="73">
        <f>N75</f>
        <v>615</v>
      </c>
      <c r="E248" s="26"/>
      <c r="F248" s="26"/>
    </row>
    <row r="249" spans="1:6" ht="15.75" customHeight="1">
      <c r="A249" s="73" t="s">
        <v>585</v>
      </c>
      <c r="B249" s="73"/>
      <c r="C249" s="73"/>
      <c r="D249" s="73">
        <f>N23</f>
        <v>686</v>
      </c>
      <c r="E249" s="26"/>
      <c r="F249" s="26"/>
    </row>
    <row r="250" spans="1:6" ht="15.75" customHeight="1">
      <c r="A250" s="73" t="s">
        <v>572</v>
      </c>
      <c r="B250" s="73"/>
      <c r="C250" s="73"/>
      <c r="D250" s="73">
        <v>270</v>
      </c>
      <c r="E250" s="26"/>
      <c r="F250" s="26"/>
    </row>
    <row r="251" spans="1:6">
      <c r="A251" s="72" t="s">
        <v>529</v>
      </c>
      <c r="B251" s="72"/>
      <c r="C251" s="72"/>
      <c r="D251" s="72">
        <f>SUM(D246:D250)</f>
        <v>2961</v>
      </c>
      <c r="E251" s="26"/>
      <c r="F251" s="26"/>
    </row>
    <row r="252" spans="1:6" ht="15.75" customHeight="1">
      <c r="A252" s="73"/>
      <c r="B252" s="74"/>
      <c r="C252" s="74"/>
      <c r="D252" s="74"/>
      <c r="E252" s="26"/>
      <c r="F252" s="26"/>
    </row>
    <row r="253" spans="1:6">
      <c r="A253" s="64" t="s">
        <v>228</v>
      </c>
      <c r="B253" s="72" t="s">
        <v>517</v>
      </c>
      <c r="C253" s="72" t="s">
        <v>518</v>
      </c>
      <c r="D253" s="72" t="s">
        <v>519</v>
      </c>
      <c r="E253" s="26"/>
      <c r="F253" s="26"/>
    </row>
    <row r="254" spans="1:6" ht="15.75" customHeight="1">
      <c r="A254" s="73" t="s">
        <v>586</v>
      </c>
      <c r="B254" s="73"/>
      <c r="C254" s="73"/>
      <c r="D254" s="73">
        <f>N51</f>
        <v>393</v>
      </c>
      <c r="E254" s="26"/>
      <c r="F254" s="26"/>
    </row>
    <row r="255" spans="1:6" ht="15.75" customHeight="1">
      <c r="A255" s="73" t="s">
        <v>587</v>
      </c>
      <c r="B255" s="73"/>
      <c r="C255" s="73"/>
      <c r="D255" s="73">
        <f>N50</f>
        <v>435</v>
      </c>
      <c r="E255" s="26"/>
      <c r="F255" s="26"/>
    </row>
    <row r="256" spans="1:6" ht="15.75" customHeight="1">
      <c r="A256" s="73" t="s">
        <v>588</v>
      </c>
      <c r="B256" s="73"/>
      <c r="C256" s="73"/>
      <c r="D256" s="73">
        <f>N55</f>
        <v>448</v>
      </c>
      <c r="E256" s="26"/>
      <c r="F256" s="26"/>
    </row>
    <row r="257" spans="1:6" ht="15.75" customHeight="1">
      <c r="A257" s="73" t="s">
        <v>589</v>
      </c>
      <c r="B257" s="73"/>
      <c r="C257" s="73"/>
      <c r="D257" s="73">
        <f>N54</f>
        <v>474</v>
      </c>
      <c r="E257" s="26"/>
      <c r="F257" s="26"/>
    </row>
    <row r="258" spans="1:6" ht="15.75" customHeight="1">
      <c r="A258" s="73" t="s">
        <v>590</v>
      </c>
      <c r="B258" s="73"/>
      <c r="C258" s="73"/>
      <c r="D258" s="73">
        <f>N46</f>
        <v>470</v>
      </c>
      <c r="E258" s="26"/>
      <c r="F258" s="26"/>
    </row>
    <row r="259" spans="1:6">
      <c r="A259" s="72" t="s">
        <v>529</v>
      </c>
      <c r="B259" s="72"/>
      <c r="C259" s="72"/>
      <c r="D259" s="72">
        <f>SUM(D254:D258)</f>
        <v>2220</v>
      </c>
      <c r="E259" s="26"/>
      <c r="F259" s="26"/>
    </row>
    <row r="260" spans="1:6" ht="15.75" customHeight="1">
      <c r="A260" s="73"/>
      <c r="B260" s="74"/>
      <c r="C260" s="74"/>
      <c r="D260" s="74"/>
      <c r="E260" s="26"/>
      <c r="F260" s="26"/>
    </row>
    <row r="261" spans="1:6">
      <c r="A261" s="64" t="s">
        <v>232</v>
      </c>
      <c r="B261" s="72" t="s">
        <v>517</v>
      </c>
      <c r="C261" s="72" t="s">
        <v>518</v>
      </c>
      <c r="D261" s="72" t="s">
        <v>519</v>
      </c>
      <c r="E261" s="26"/>
      <c r="F261" s="26"/>
    </row>
    <row r="262" spans="1:6" ht="15.75" customHeight="1">
      <c r="A262" s="73" t="s">
        <v>591</v>
      </c>
      <c r="B262" s="73"/>
      <c r="C262" s="73"/>
      <c r="D262" s="73">
        <f>N94</f>
        <v>420</v>
      </c>
      <c r="E262" s="26"/>
      <c r="F262" s="26"/>
    </row>
    <row r="263" spans="1:6" ht="15.75" customHeight="1">
      <c r="A263" s="73" t="s">
        <v>592</v>
      </c>
      <c r="B263" s="73"/>
      <c r="C263" s="73"/>
      <c r="D263" s="73">
        <f t="shared" ref="D263:D265" si="6">N66</f>
        <v>414</v>
      </c>
      <c r="E263" s="26"/>
      <c r="F263" s="26"/>
    </row>
    <row r="264" spans="1:6" ht="15.75" customHeight="1">
      <c r="A264" s="73" t="s">
        <v>593</v>
      </c>
      <c r="B264" s="73"/>
      <c r="C264" s="73"/>
      <c r="D264" s="73">
        <f t="shared" si="6"/>
        <v>494</v>
      </c>
      <c r="E264" s="26"/>
      <c r="F264" s="26"/>
    </row>
    <row r="265" spans="1:6" ht="15.75" customHeight="1">
      <c r="A265" s="73" t="s">
        <v>594</v>
      </c>
      <c r="B265" s="73"/>
      <c r="C265" s="73"/>
      <c r="D265" s="73">
        <f t="shared" si="6"/>
        <v>530</v>
      </c>
      <c r="E265" s="26"/>
      <c r="F265" s="26"/>
    </row>
    <row r="266" spans="1:6" ht="15.75" customHeight="1">
      <c r="A266" s="73" t="s">
        <v>595</v>
      </c>
      <c r="B266" s="73"/>
      <c r="C266" s="73"/>
      <c r="D266" s="73">
        <f>N72</f>
        <v>289</v>
      </c>
      <c r="E266" s="26"/>
      <c r="F266" s="26"/>
    </row>
    <row r="267" spans="1:6" ht="15.75" customHeight="1">
      <c r="A267" s="73" t="s">
        <v>596</v>
      </c>
      <c r="B267" s="73"/>
      <c r="C267" s="73"/>
      <c r="D267" s="73">
        <f>N71</f>
        <v>392</v>
      </c>
      <c r="E267" s="26"/>
      <c r="F267" s="26"/>
    </row>
    <row r="268" spans="1:6">
      <c r="A268" s="72" t="s">
        <v>529</v>
      </c>
      <c r="B268" s="72"/>
      <c r="C268" s="72"/>
      <c r="D268" s="72">
        <f>SUM(D262:D267)</f>
        <v>2539</v>
      </c>
      <c r="E268" s="26"/>
      <c r="F268" s="26"/>
    </row>
    <row r="269" spans="1:6" ht="15.75" customHeight="1">
      <c r="A269" s="73"/>
      <c r="B269" s="74"/>
      <c r="C269" s="74"/>
      <c r="D269" s="74"/>
      <c r="E269" s="26"/>
      <c r="F269" s="26"/>
    </row>
    <row r="270" spans="1:6">
      <c r="A270" s="64" t="s">
        <v>234</v>
      </c>
      <c r="B270" s="72" t="s">
        <v>517</v>
      </c>
      <c r="C270" s="72" t="s">
        <v>518</v>
      </c>
      <c r="D270" s="72" t="s">
        <v>519</v>
      </c>
      <c r="E270" s="26"/>
      <c r="F270" s="26"/>
    </row>
    <row r="271" spans="1:6" ht="15.75" customHeight="1">
      <c r="A271" s="73" t="s">
        <v>597</v>
      </c>
      <c r="B271" s="73"/>
      <c r="C271" s="73"/>
      <c r="D271" s="73">
        <f>N13</f>
        <v>358</v>
      </c>
      <c r="E271" s="26"/>
      <c r="F271" s="26"/>
    </row>
    <row r="272" spans="1:6" ht="15.75" customHeight="1">
      <c r="A272" s="73" t="s">
        <v>598</v>
      </c>
      <c r="B272" s="73"/>
      <c r="C272" s="73"/>
      <c r="D272" s="73">
        <f>N15</f>
        <v>535</v>
      </c>
      <c r="E272" s="26"/>
      <c r="F272" s="26"/>
    </row>
    <row r="273" spans="1:6" ht="15.75" customHeight="1">
      <c r="A273" s="73" t="s">
        <v>520</v>
      </c>
      <c r="B273" s="73"/>
      <c r="C273" s="73"/>
      <c r="D273" s="73">
        <v>270</v>
      </c>
      <c r="E273" s="26"/>
      <c r="F273" s="26"/>
    </row>
    <row r="274" spans="1:6" ht="15.75" customHeight="1">
      <c r="A274" s="73" t="s">
        <v>521</v>
      </c>
      <c r="B274" s="73"/>
      <c r="C274" s="73"/>
      <c r="D274" s="73">
        <v>157</v>
      </c>
      <c r="E274" s="26"/>
      <c r="F274" s="26"/>
    </row>
    <row r="275" spans="1:6">
      <c r="A275" s="72" t="s">
        <v>529</v>
      </c>
      <c r="B275" s="72"/>
      <c r="C275" s="72"/>
      <c r="D275" s="72">
        <f>SUM(D271:D274)</f>
        <v>1320</v>
      </c>
      <c r="E275" s="26"/>
      <c r="F275" s="26"/>
    </row>
    <row r="276" spans="1:6" ht="15.75" customHeight="1">
      <c r="A276" s="73"/>
      <c r="B276" s="74"/>
      <c r="C276" s="74"/>
      <c r="D276" s="74"/>
      <c r="E276" s="26"/>
      <c r="F276" s="26"/>
    </row>
    <row r="277" spans="1:6">
      <c r="A277" s="64" t="s">
        <v>235</v>
      </c>
      <c r="B277" s="72" t="s">
        <v>517</v>
      </c>
      <c r="C277" s="72" t="s">
        <v>518</v>
      </c>
      <c r="D277" s="72" t="s">
        <v>519</v>
      </c>
      <c r="E277" s="26"/>
      <c r="F277" s="26"/>
    </row>
    <row r="278" spans="1:6" ht="15.75" customHeight="1">
      <c r="A278" s="73" t="s">
        <v>599</v>
      </c>
      <c r="B278" s="73"/>
      <c r="C278" s="73"/>
      <c r="D278" s="73">
        <f>N41</f>
        <v>327</v>
      </c>
      <c r="E278" s="26"/>
      <c r="F278" s="26"/>
    </row>
    <row r="279" spans="1:6" ht="15.75" customHeight="1">
      <c r="A279" s="73" t="s">
        <v>600</v>
      </c>
      <c r="B279" s="73"/>
      <c r="C279" s="73"/>
      <c r="D279" s="73">
        <f>N40</f>
        <v>522</v>
      </c>
      <c r="E279" s="26"/>
      <c r="F279" s="26"/>
    </row>
    <row r="280" spans="1:6" ht="15.75" customHeight="1">
      <c r="A280" s="73" t="s">
        <v>601</v>
      </c>
      <c r="B280" s="73"/>
      <c r="C280" s="73"/>
      <c r="D280" s="73">
        <f>N43</f>
        <v>657</v>
      </c>
      <c r="E280" s="26"/>
      <c r="F280" s="26"/>
    </row>
    <row r="281" spans="1:6" ht="15.75" customHeight="1">
      <c r="A281" s="73" t="s">
        <v>602</v>
      </c>
      <c r="B281" s="73"/>
      <c r="C281" s="73"/>
      <c r="D281" s="73">
        <f>N42</f>
        <v>226</v>
      </c>
      <c r="E281" s="26"/>
      <c r="F281" s="26"/>
    </row>
    <row r="282" spans="1:6">
      <c r="A282" s="72" t="s">
        <v>529</v>
      </c>
      <c r="B282" s="72"/>
      <c r="C282" s="72"/>
      <c r="D282" s="72">
        <f>SUM(D278:D281)</f>
        <v>1732</v>
      </c>
      <c r="E282" s="26"/>
      <c r="F282" s="26"/>
    </row>
    <row r="283" spans="1:6" ht="15.75" customHeight="1">
      <c r="A283" s="73"/>
      <c r="B283" s="74"/>
      <c r="C283" s="74"/>
      <c r="D283" s="74"/>
      <c r="E283" s="26"/>
      <c r="F283" s="26"/>
    </row>
    <row r="284" spans="1:6">
      <c r="A284" s="64" t="s">
        <v>238</v>
      </c>
      <c r="B284" s="72" t="s">
        <v>517</v>
      </c>
      <c r="C284" s="72" t="s">
        <v>518</v>
      </c>
      <c r="D284" s="72" t="s">
        <v>519</v>
      </c>
      <c r="E284" s="26"/>
      <c r="F284" s="26"/>
    </row>
    <row r="285" spans="1:6" ht="15.75" customHeight="1">
      <c r="A285" s="73" t="s">
        <v>603</v>
      </c>
      <c r="B285" s="73"/>
      <c r="C285" s="73"/>
      <c r="D285" s="73">
        <f>N60</f>
        <v>580</v>
      </c>
      <c r="E285" s="26"/>
      <c r="F285" s="26"/>
    </row>
    <row r="286" spans="1:6" ht="15.75" customHeight="1">
      <c r="A286" s="73" t="s">
        <v>604</v>
      </c>
      <c r="B286" s="73"/>
      <c r="C286" s="73"/>
      <c r="D286" s="73">
        <f>N59</f>
        <v>1036</v>
      </c>
      <c r="E286" s="26"/>
      <c r="F286" s="26"/>
    </row>
    <row r="287" spans="1:6" ht="15.75" customHeight="1">
      <c r="A287" s="73" t="s">
        <v>605</v>
      </c>
      <c r="B287" s="73"/>
      <c r="C287" s="73"/>
      <c r="D287" s="73">
        <f>N56</f>
        <v>267</v>
      </c>
      <c r="E287" s="26"/>
      <c r="F287" s="26"/>
    </row>
    <row r="288" spans="1:6" ht="15.75" customHeight="1">
      <c r="A288" s="73" t="s">
        <v>606</v>
      </c>
      <c r="B288" s="73"/>
      <c r="C288" s="73"/>
      <c r="D288" s="73">
        <f>N52</f>
        <v>266</v>
      </c>
      <c r="E288" s="26"/>
      <c r="F288" s="26"/>
    </row>
    <row r="289" spans="1:6" ht="15.75" customHeight="1">
      <c r="A289" s="73" t="s">
        <v>607</v>
      </c>
      <c r="B289" s="73"/>
      <c r="C289" s="73"/>
      <c r="D289" s="73">
        <f>N57</f>
        <v>257</v>
      </c>
      <c r="E289" s="26"/>
      <c r="F289" s="26"/>
    </row>
    <row r="290" spans="1:6">
      <c r="A290" s="72" t="s">
        <v>529</v>
      </c>
      <c r="B290" s="72"/>
      <c r="C290" s="72"/>
      <c r="D290" s="72">
        <f>SUM(D285:D289)</f>
        <v>2406</v>
      </c>
      <c r="E290" s="26"/>
      <c r="F290" s="26"/>
    </row>
    <row r="291" spans="1:6" ht="15.75" customHeight="1">
      <c r="A291" s="73"/>
      <c r="B291" s="74"/>
      <c r="C291" s="74"/>
      <c r="D291" s="74"/>
      <c r="E291" s="26"/>
      <c r="F291" s="26"/>
    </row>
    <row r="292" spans="1:6">
      <c r="A292" s="64" t="s">
        <v>45</v>
      </c>
      <c r="B292" s="72" t="s">
        <v>517</v>
      </c>
      <c r="C292" s="72" t="s">
        <v>518</v>
      </c>
      <c r="D292" s="72" t="s">
        <v>519</v>
      </c>
      <c r="E292" s="26"/>
      <c r="F292" s="26"/>
    </row>
    <row r="293" spans="1:6" ht="15.75" customHeight="1">
      <c r="A293" s="73" t="s">
        <v>608</v>
      </c>
      <c r="B293" s="73"/>
      <c r="C293" s="73"/>
      <c r="D293" s="73">
        <f>N82</f>
        <v>120</v>
      </c>
      <c r="E293" s="26"/>
      <c r="F293" s="26"/>
    </row>
    <row r="294" spans="1:6" ht="15.75" customHeight="1">
      <c r="A294" s="73" t="s">
        <v>609</v>
      </c>
      <c r="B294" s="73"/>
      <c r="C294" s="73"/>
      <c r="D294" s="73">
        <f>N32</f>
        <v>703</v>
      </c>
      <c r="E294" s="26"/>
      <c r="F294" s="26"/>
    </row>
    <row r="295" spans="1:6" ht="15.75" customHeight="1">
      <c r="A295" s="73" t="s">
        <v>610</v>
      </c>
      <c r="B295" s="73"/>
      <c r="C295" s="73"/>
      <c r="D295" s="73">
        <f>N31</f>
        <v>703</v>
      </c>
      <c r="E295" s="26"/>
      <c r="F295" s="26"/>
    </row>
    <row r="296" spans="1:6" ht="15.75" customHeight="1">
      <c r="A296" s="73" t="s">
        <v>611</v>
      </c>
      <c r="B296" s="73"/>
      <c r="C296" s="73"/>
      <c r="D296" s="73">
        <f>N30</f>
        <v>556</v>
      </c>
      <c r="E296" s="26"/>
      <c r="F296" s="26"/>
    </row>
    <row r="297" spans="1:6" ht="15.75" customHeight="1">
      <c r="A297" s="73" t="s">
        <v>612</v>
      </c>
      <c r="B297" s="73"/>
      <c r="C297" s="73"/>
      <c r="D297" s="73">
        <f>N27</f>
        <v>520</v>
      </c>
      <c r="E297" s="26"/>
      <c r="F297" s="26"/>
    </row>
    <row r="298" spans="1:6" ht="15.75" customHeight="1">
      <c r="A298" s="73" t="s">
        <v>613</v>
      </c>
      <c r="B298" s="73"/>
      <c r="C298" s="73"/>
      <c r="D298" s="73">
        <f>N29</f>
        <v>447</v>
      </c>
      <c r="E298" s="26"/>
      <c r="F298" s="26"/>
    </row>
    <row r="299" spans="1:6">
      <c r="A299" s="60" t="s">
        <v>529</v>
      </c>
      <c r="B299" s="60"/>
      <c r="C299" s="60"/>
      <c r="D299" s="60">
        <f>SUM(D293:D298)</f>
        <v>3049</v>
      </c>
    </row>
  </sheetData>
  <conditionalFormatting sqref="N101:N119">
    <cfRule type="cellIs" dxfId="1" priority="1" operator="greaterThanOrEqual">
      <formula>1000</formula>
    </cfRule>
  </conditionalFormatting>
  <conditionalFormatting sqref="R101:R119">
    <cfRule type="cellIs" dxfId="0" priority="2" operator="greaterThanOrEqual">
      <formula>60</formula>
    </cfRule>
  </conditionalFormatting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U99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4.42578125" defaultRowHeight="15.75" customHeight="1"/>
  <cols>
    <col min="1" max="1" width="32.7109375" customWidth="1"/>
  </cols>
  <sheetData>
    <row r="1" spans="1:99" ht="15.75" customHeight="1">
      <c r="B1" t="str">
        <f t="array" ref="B1:CS1">TRANSPOSE(A2:A97)</f>
        <v>Katzie Elementary</v>
      </c>
      <c r="C1" t="str">
        <v>École Woodward Hill</v>
      </c>
      <c r="D1" t="str">
        <v>Cambridge Elementary</v>
      </c>
      <c r="E1" t="str">
        <v>Sunnyside Elementary</v>
      </c>
      <c r="F1" t="str">
        <v>Hillcrest Elementary</v>
      </c>
      <c r="G1" t="str">
        <v>Hazelgrove Elementary</v>
      </c>
      <c r="H1" t="str">
        <v>École Erma Stephenson</v>
      </c>
      <c r="I1" t="str">
        <v>Panorama Park Elementary</v>
      </c>
      <c r="J1" t="str">
        <v>École Frost Road</v>
      </c>
      <c r="K1" t="str">
        <v>Walnut Road Elementary</v>
      </c>
      <c r="L1" t="str">
        <v>T. E. Scott Elementary</v>
      </c>
      <c r="M1" t="str">
        <v>École K.B. Woodward</v>
      </c>
      <c r="N1" t="str">
        <v>Sullivan Elementary</v>
      </c>
      <c r="O1" t="str">
        <v>Clayton Elementary</v>
      </c>
      <c r="P1" t="str">
        <v>South Meridian Elementary</v>
      </c>
      <c r="Q1" t="str">
        <v>École Ocean Cliff</v>
      </c>
      <c r="R1" t="str">
        <v>Surrey Centre Elementary</v>
      </c>
      <c r="S1" t="str">
        <v>Goldstone Park Elementary</v>
      </c>
      <c r="T1" t="str">
        <v>Rosemary Heights Elementary</v>
      </c>
      <c r="U1" t="str">
        <v>Old Yale Road Elementary</v>
      </c>
      <c r="V1" t="str">
        <v>Semiahmoo Trail Elementary</v>
      </c>
      <c r="W1" t="str">
        <v>Chimney Hill Elementary</v>
      </c>
      <c r="X1" t="str">
        <v>École Fraser Wood</v>
      </c>
      <c r="Y1" t="str">
        <v>Adams Road Elementary</v>
      </c>
      <c r="Z1" t="str">
        <v>Hall's Prairie Elementary</v>
      </c>
      <c r="AA1" t="str">
        <v>Pacific Heights Elementary</v>
      </c>
      <c r="AB1" t="str">
        <v>White Rock Elementary</v>
      </c>
      <c r="AC1" t="str">
        <v>George Greenaway Elementary</v>
      </c>
      <c r="AD1" t="str">
        <v>H. T. Thrift Elementary</v>
      </c>
      <c r="AE1" t="str">
        <v>William Watson Elementary</v>
      </c>
      <c r="AF1" t="str">
        <v>Holly Elementary</v>
      </c>
      <c r="AG1" t="str">
        <v>École Riverdale</v>
      </c>
      <c r="AH1" t="str">
        <v>A. J. McLellan Elementary</v>
      </c>
      <c r="AI1" t="str">
        <v>Hjorth Road Elementary</v>
      </c>
      <c r="AJ1" t="str">
        <v>École Peace Arch</v>
      </c>
      <c r="AK1" t="str">
        <v>Bayridge Elementary</v>
      </c>
      <c r="AL1" t="str">
        <v>École Sunrise Ridge</v>
      </c>
      <c r="AM1" t="str">
        <v>Forsyth Road Elementary</v>
      </c>
      <c r="AN1" t="str">
        <v>Morgan Elementary</v>
      </c>
      <c r="AO1" t="str">
        <v>A. H. P. Matthew Elementary</v>
      </c>
      <c r="AP1" t="str">
        <v>Kennedy Trail Elementary</v>
      </c>
      <c r="AQ1" t="str">
        <v>Don Christian Elementary</v>
      </c>
      <c r="AR1" t="str">
        <v>Beaver Creek Elementary</v>
      </c>
      <c r="AS1" t="str">
        <v>École Martha Currie</v>
      </c>
      <c r="AT1" t="str">
        <v>Chantrell Creek Elementary</v>
      </c>
      <c r="AU1" t="str">
        <v>Coyote Creek Elementary</v>
      </c>
      <c r="AV1" t="str">
        <v>Coast Meridian Elementary</v>
      </c>
      <c r="AW1" t="str">
        <v>J. T. Brown Elementary</v>
      </c>
      <c r="AX1" t="str">
        <v>Hyland Elementary</v>
      </c>
      <c r="AY1" t="str">
        <v>Martha Jane Norris Elementary</v>
      </c>
      <c r="AZ1" t="str">
        <v>Cindrich Elementary</v>
      </c>
      <c r="BA1" t="str">
        <v>Ellendale Elementary</v>
      </c>
      <c r="BB1" t="str">
        <v>École Henry Bose</v>
      </c>
      <c r="BC1" t="str">
        <v>M. B. Sanford Elementary</v>
      </c>
      <c r="BD1" t="str">
        <v>Woodland Park Elementary</v>
      </c>
      <c r="BE1" t="str">
        <v>École Simon Cunningham</v>
      </c>
      <c r="BF1" t="str">
        <v>École Crescent Park</v>
      </c>
      <c r="BG1" t="str">
        <v>North Ridge Elementary</v>
      </c>
      <c r="BH1" t="str">
        <v>David Brankin Elementary</v>
      </c>
      <c r="BI1" t="str">
        <v>Port Kells Elementary</v>
      </c>
      <c r="BJ1" t="str">
        <v>Bridgeview Elementary</v>
      </c>
      <c r="BK1" t="str">
        <v>Mary Jane Shannon Elementary</v>
      </c>
      <c r="BL1" t="str">
        <v>Georges Vanier Elementary</v>
      </c>
      <c r="BM1" t="str">
        <v>Dr. F. D. Sinclair Elementary</v>
      </c>
      <c r="BN1" t="str">
        <v>Boundary Park Elementary</v>
      </c>
      <c r="BO1" t="str">
        <v>Maple Green Elementary</v>
      </c>
      <c r="BP1" t="str">
        <v>Colebrook Elementary</v>
      </c>
      <c r="BQ1" t="str">
        <v>East Kensington Elementary</v>
      </c>
      <c r="BR1" t="str">
        <v>Ray Shepherd Elementary</v>
      </c>
      <c r="BS1" t="str">
        <v>Green Timbers Elementary</v>
      </c>
      <c r="BT1" t="str">
        <v>Berkshire Park Elementary</v>
      </c>
      <c r="BU1" t="str">
        <v>Bonaccord Elementary</v>
      </c>
      <c r="BV1" t="str">
        <v>Cedar Hills Elementary</v>
      </c>
      <c r="BW1" t="str">
        <v>Kirkbride Elementary</v>
      </c>
      <c r="BX1" t="str">
        <v>Bear Creek Elementary</v>
      </c>
      <c r="BY1" t="str">
        <v>Lena Shaw Elementary</v>
      </c>
      <c r="BZ1" t="str">
        <v>Prince Charles Elementary</v>
      </c>
      <c r="CA1" t="str">
        <v>James Ardiel Elementary</v>
      </c>
      <c r="CB1" t="str">
        <v>Westerman Elementary</v>
      </c>
      <c r="CC1" t="str">
        <v>Bothwell Elementary</v>
      </c>
      <c r="CD1" t="str">
        <v>Serpentine Heights Elementary</v>
      </c>
      <c r="CE1" t="str">
        <v>Latimer Road Elementary</v>
      </c>
      <c r="CF1" t="str">
        <v>École Jessie Lee</v>
      </c>
      <c r="CG1" t="str">
        <v>Dogwood Elementary</v>
      </c>
      <c r="CH1" t="str">
        <v>Harold Bishop Elementary</v>
      </c>
      <c r="CI1" t="str">
        <v>Strawberry Hill Elementary</v>
      </c>
      <c r="CJ1" t="str">
        <v>W. E. Kinvig Elementary</v>
      </c>
      <c r="CK1" t="str">
        <v>Creekside Elementary</v>
      </c>
      <c r="CL1" t="str">
        <v>Janice Churchill Elementary</v>
      </c>
      <c r="CM1" t="str">
        <v>William F. Davidson Elementary</v>
      </c>
      <c r="CN1" t="str">
        <v>Brookside Elementary</v>
      </c>
      <c r="CO1" t="str">
        <v>Senator Reid Elementary</v>
      </c>
      <c r="CP1" t="str">
        <v>Betty Huff Elementary</v>
      </c>
      <c r="CQ1" t="str">
        <v>Newton Elementary</v>
      </c>
      <c r="CR1" t="str">
        <v>Cougar Creek Elementary</v>
      </c>
      <c r="CS1" t="str">
        <v>Royal Heights Elementary</v>
      </c>
    </row>
    <row r="2" spans="1:99" ht="15.75" customHeight="1">
      <c r="A2" s="61" t="s">
        <v>366</v>
      </c>
      <c r="B2" s="63">
        <v>1</v>
      </c>
      <c r="C2" s="63">
        <v>0</v>
      </c>
      <c r="D2" s="63">
        <v>0</v>
      </c>
      <c r="E2" s="63">
        <v>0</v>
      </c>
      <c r="F2" s="63">
        <v>0</v>
      </c>
      <c r="G2" s="63">
        <v>1</v>
      </c>
      <c r="H2" s="63">
        <v>0</v>
      </c>
      <c r="I2" s="63">
        <v>0</v>
      </c>
      <c r="J2" s="63">
        <v>0</v>
      </c>
      <c r="K2" s="63">
        <v>0</v>
      </c>
      <c r="L2" s="63">
        <v>0</v>
      </c>
      <c r="M2" s="63">
        <v>0</v>
      </c>
      <c r="N2" s="63">
        <v>0</v>
      </c>
      <c r="O2" s="63">
        <v>0</v>
      </c>
      <c r="P2" s="63">
        <v>0</v>
      </c>
      <c r="Q2" s="63">
        <v>0</v>
      </c>
      <c r="R2" s="63">
        <v>0</v>
      </c>
      <c r="S2" s="63">
        <v>0</v>
      </c>
      <c r="T2" s="63">
        <v>0</v>
      </c>
      <c r="U2" s="63">
        <v>0</v>
      </c>
      <c r="V2" s="63">
        <v>0</v>
      </c>
      <c r="W2" s="63">
        <v>0</v>
      </c>
      <c r="X2" s="63">
        <v>0</v>
      </c>
      <c r="Y2" s="63">
        <v>0</v>
      </c>
      <c r="Z2" s="63">
        <v>0</v>
      </c>
      <c r="AA2" s="63">
        <v>0</v>
      </c>
      <c r="AB2" s="63">
        <v>0</v>
      </c>
      <c r="AC2" s="63">
        <v>0</v>
      </c>
      <c r="AD2" s="63">
        <v>0</v>
      </c>
      <c r="AE2" s="63">
        <v>0</v>
      </c>
      <c r="AF2" s="63">
        <v>0</v>
      </c>
      <c r="AG2" s="63">
        <v>0</v>
      </c>
      <c r="AH2" s="63">
        <v>0</v>
      </c>
      <c r="AI2" s="63">
        <v>0</v>
      </c>
      <c r="AJ2" s="63">
        <v>0</v>
      </c>
      <c r="AK2" s="63">
        <v>0</v>
      </c>
      <c r="AL2" s="63">
        <v>0</v>
      </c>
      <c r="AM2" s="63">
        <v>0</v>
      </c>
      <c r="AN2" s="63">
        <v>0</v>
      </c>
      <c r="AO2" s="63">
        <v>0</v>
      </c>
      <c r="AP2" s="63">
        <v>0</v>
      </c>
      <c r="AQ2" s="63">
        <v>0</v>
      </c>
      <c r="AR2" s="63">
        <v>0</v>
      </c>
      <c r="AS2" s="63">
        <v>0</v>
      </c>
      <c r="AT2" s="63">
        <v>0</v>
      </c>
      <c r="AU2" s="63">
        <v>0</v>
      </c>
      <c r="AV2" s="63">
        <v>0</v>
      </c>
      <c r="AW2" s="63">
        <v>0</v>
      </c>
      <c r="AX2" s="63">
        <v>0</v>
      </c>
      <c r="AY2" s="63">
        <v>0</v>
      </c>
      <c r="AZ2" s="63">
        <v>0</v>
      </c>
      <c r="BA2" s="63">
        <v>0</v>
      </c>
      <c r="BB2" s="63">
        <v>0</v>
      </c>
      <c r="BC2" s="63">
        <v>0</v>
      </c>
      <c r="BD2" s="63">
        <v>0</v>
      </c>
      <c r="BE2" s="63">
        <v>0</v>
      </c>
      <c r="BF2" s="63">
        <v>0</v>
      </c>
      <c r="BG2" s="63">
        <v>0</v>
      </c>
      <c r="BH2" s="63">
        <v>0</v>
      </c>
      <c r="BI2" s="63">
        <v>0</v>
      </c>
      <c r="BJ2" s="63">
        <v>0</v>
      </c>
      <c r="BK2" s="63">
        <v>0</v>
      </c>
      <c r="BL2" s="63">
        <v>0</v>
      </c>
      <c r="BM2" s="63">
        <v>0</v>
      </c>
      <c r="BN2" s="63">
        <v>0</v>
      </c>
      <c r="BO2" s="63">
        <v>0</v>
      </c>
      <c r="BP2" s="63">
        <v>0</v>
      </c>
      <c r="BQ2" s="63">
        <v>0</v>
      </c>
      <c r="BR2" s="63">
        <v>0</v>
      </c>
      <c r="BS2" s="63">
        <v>0</v>
      </c>
      <c r="BT2" s="63">
        <v>0</v>
      </c>
      <c r="BU2" s="63">
        <v>0</v>
      </c>
      <c r="BV2" s="63">
        <v>0</v>
      </c>
      <c r="BW2" s="63">
        <v>0</v>
      </c>
      <c r="BX2" s="63">
        <v>0</v>
      </c>
      <c r="BY2" s="63">
        <v>0</v>
      </c>
      <c r="BZ2" s="63">
        <v>0</v>
      </c>
      <c r="CA2" s="63">
        <v>0</v>
      </c>
      <c r="CB2" s="63">
        <v>0</v>
      </c>
      <c r="CC2" s="63">
        <v>0</v>
      </c>
      <c r="CD2" s="63">
        <v>0</v>
      </c>
      <c r="CE2" s="63">
        <v>1</v>
      </c>
      <c r="CF2" s="63">
        <v>0</v>
      </c>
      <c r="CG2" s="63">
        <v>0</v>
      </c>
      <c r="CH2" s="63">
        <v>0</v>
      </c>
      <c r="CI2" s="63">
        <v>0</v>
      </c>
      <c r="CJ2" s="63">
        <v>0</v>
      </c>
      <c r="CK2" s="63">
        <v>0</v>
      </c>
      <c r="CL2" s="63">
        <v>0</v>
      </c>
      <c r="CM2" s="63">
        <v>0</v>
      </c>
      <c r="CN2" s="63">
        <v>0</v>
      </c>
      <c r="CO2" s="63">
        <v>0</v>
      </c>
      <c r="CP2" s="63">
        <v>0</v>
      </c>
      <c r="CQ2" s="63">
        <v>0</v>
      </c>
      <c r="CR2" s="63">
        <v>0</v>
      </c>
      <c r="CS2" s="63">
        <v>0</v>
      </c>
      <c r="CT2" s="61">
        <f t="shared" ref="CT2:CT97" si="0">SUM(A2:CS2)</f>
        <v>3</v>
      </c>
      <c r="CU2" s="61"/>
    </row>
    <row r="3" spans="1:99" ht="15.75" customHeight="1">
      <c r="A3" s="61" t="s">
        <v>345</v>
      </c>
      <c r="B3" s="63">
        <v>0</v>
      </c>
      <c r="C3" s="63">
        <v>1</v>
      </c>
      <c r="D3" s="63">
        <v>1</v>
      </c>
      <c r="E3" s="63">
        <v>0</v>
      </c>
      <c r="F3" s="63">
        <v>0</v>
      </c>
      <c r="G3" s="63">
        <v>0</v>
      </c>
      <c r="H3" s="63">
        <v>0</v>
      </c>
      <c r="I3" s="63">
        <v>0</v>
      </c>
      <c r="J3" s="63">
        <v>0</v>
      </c>
      <c r="K3" s="63">
        <v>0</v>
      </c>
      <c r="L3" s="63">
        <v>0</v>
      </c>
      <c r="M3" s="63">
        <v>0</v>
      </c>
      <c r="N3" s="63">
        <v>0</v>
      </c>
      <c r="O3" s="63">
        <v>0</v>
      </c>
      <c r="P3" s="63">
        <v>0</v>
      </c>
      <c r="Q3" s="63">
        <v>0</v>
      </c>
      <c r="R3" s="63">
        <v>0</v>
      </c>
      <c r="S3" s="63">
        <v>1</v>
      </c>
      <c r="T3" s="63">
        <v>0</v>
      </c>
      <c r="U3" s="63">
        <v>0</v>
      </c>
      <c r="V3" s="63">
        <v>0</v>
      </c>
      <c r="W3" s="63">
        <v>0</v>
      </c>
      <c r="X3" s="63">
        <v>0</v>
      </c>
      <c r="Y3" s="63">
        <v>0</v>
      </c>
      <c r="Z3" s="63">
        <v>0</v>
      </c>
      <c r="AA3" s="63">
        <v>0</v>
      </c>
      <c r="AB3" s="63">
        <v>0</v>
      </c>
      <c r="AC3" s="63">
        <v>0</v>
      </c>
      <c r="AD3" s="63">
        <v>0</v>
      </c>
      <c r="AE3" s="63">
        <v>0</v>
      </c>
      <c r="AF3" s="63">
        <v>0</v>
      </c>
      <c r="AG3" s="63">
        <v>0</v>
      </c>
      <c r="AH3" s="63">
        <v>0</v>
      </c>
      <c r="AI3" s="63">
        <v>0</v>
      </c>
      <c r="AJ3" s="63">
        <v>0</v>
      </c>
      <c r="AK3" s="63">
        <v>0</v>
      </c>
      <c r="AL3" s="63">
        <v>0</v>
      </c>
      <c r="AM3" s="63">
        <v>0</v>
      </c>
      <c r="AN3" s="63">
        <v>0</v>
      </c>
      <c r="AO3" s="63">
        <v>0</v>
      </c>
      <c r="AP3" s="63">
        <v>0</v>
      </c>
      <c r="AQ3" s="63">
        <v>0</v>
      </c>
      <c r="AR3" s="63">
        <v>0</v>
      </c>
      <c r="AS3" s="63">
        <v>0</v>
      </c>
      <c r="AT3" s="63">
        <v>0</v>
      </c>
      <c r="AU3" s="63">
        <v>0</v>
      </c>
      <c r="AV3" s="63">
        <v>0</v>
      </c>
      <c r="AW3" s="63">
        <v>0</v>
      </c>
      <c r="AX3" s="63">
        <v>1</v>
      </c>
      <c r="AY3" s="63">
        <v>0</v>
      </c>
      <c r="AZ3" s="63">
        <v>0</v>
      </c>
      <c r="BA3" s="63">
        <v>0</v>
      </c>
      <c r="BB3" s="63">
        <v>0</v>
      </c>
      <c r="BC3" s="63">
        <v>0</v>
      </c>
      <c r="BD3" s="63">
        <v>0</v>
      </c>
      <c r="BE3" s="63">
        <v>0</v>
      </c>
      <c r="BF3" s="63">
        <v>0</v>
      </c>
      <c r="BG3" s="63">
        <v>1</v>
      </c>
      <c r="BH3" s="63">
        <v>0</v>
      </c>
      <c r="BI3" s="63">
        <v>0</v>
      </c>
      <c r="BJ3" s="63">
        <v>0</v>
      </c>
      <c r="BK3" s="63">
        <v>0</v>
      </c>
      <c r="BL3" s="63">
        <v>0</v>
      </c>
      <c r="BM3" s="63">
        <v>0</v>
      </c>
      <c r="BN3" s="63">
        <v>0</v>
      </c>
      <c r="BO3" s="63">
        <v>0</v>
      </c>
      <c r="BP3" s="63">
        <v>1</v>
      </c>
      <c r="BQ3" s="63">
        <v>0</v>
      </c>
      <c r="BR3" s="63">
        <v>0</v>
      </c>
      <c r="BS3" s="63">
        <v>0</v>
      </c>
      <c r="BT3" s="63">
        <v>0</v>
      </c>
      <c r="BU3" s="63">
        <v>0</v>
      </c>
      <c r="BV3" s="63">
        <v>0</v>
      </c>
      <c r="BW3" s="63">
        <v>0</v>
      </c>
      <c r="BX3" s="63">
        <v>0</v>
      </c>
      <c r="BY3" s="63">
        <v>0</v>
      </c>
      <c r="BZ3" s="63">
        <v>0</v>
      </c>
      <c r="CA3" s="63">
        <v>0</v>
      </c>
      <c r="CB3" s="63">
        <v>0</v>
      </c>
      <c r="CC3" s="63">
        <v>0</v>
      </c>
      <c r="CD3" s="63">
        <v>0</v>
      </c>
      <c r="CE3" s="63">
        <v>0</v>
      </c>
      <c r="CF3" s="63">
        <v>0</v>
      </c>
      <c r="CG3" s="63">
        <v>0</v>
      </c>
      <c r="CH3" s="63">
        <v>0</v>
      </c>
      <c r="CI3" s="63">
        <v>0</v>
      </c>
      <c r="CJ3" s="63">
        <v>0</v>
      </c>
      <c r="CK3" s="63">
        <v>0</v>
      </c>
      <c r="CL3" s="63">
        <v>0</v>
      </c>
      <c r="CM3" s="63">
        <v>0</v>
      </c>
      <c r="CN3" s="63">
        <v>0</v>
      </c>
      <c r="CO3" s="63">
        <v>0</v>
      </c>
      <c r="CP3" s="63">
        <v>0</v>
      </c>
      <c r="CQ3" s="63">
        <v>0</v>
      </c>
      <c r="CR3" s="63">
        <v>0</v>
      </c>
      <c r="CS3" s="63">
        <v>0</v>
      </c>
      <c r="CT3" s="61">
        <f t="shared" si="0"/>
        <v>6</v>
      </c>
      <c r="CU3" s="61"/>
    </row>
    <row r="4" spans="1:99" ht="15.75" customHeight="1">
      <c r="A4" s="61" t="s">
        <v>316</v>
      </c>
      <c r="B4" s="63">
        <v>0</v>
      </c>
      <c r="C4" s="63">
        <v>1</v>
      </c>
      <c r="D4" s="63">
        <v>1</v>
      </c>
      <c r="E4" s="63">
        <v>0</v>
      </c>
      <c r="F4" s="63">
        <v>0</v>
      </c>
      <c r="G4" s="63">
        <v>0</v>
      </c>
      <c r="H4" s="63">
        <v>0</v>
      </c>
      <c r="I4" s="63">
        <v>0</v>
      </c>
      <c r="J4" s="63">
        <v>0</v>
      </c>
      <c r="K4" s="63">
        <v>0</v>
      </c>
      <c r="L4" s="63">
        <v>1</v>
      </c>
      <c r="M4" s="63">
        <v>0</v>
      </c>
      <c r="N4" s="63">
        <v>1</v>
      </c>
      <c r="O4" s="63">
        <v>0</v>
      </c>
      <c r="P4" s="63">
        <v>0</v>
      </c>
      <c r="Q4" s="63">
        <v>0</v>
      </c>
      <c r="R4" s="63">
        <v>0</v>
      </c>
      <c r="S4" s="63">
        <v>1</v>
      </c>
      <c r="T4" s="63">
        <v>0</v>
      </c>
      <c r="U4" s="63">
        <v>0</v>
      </c>
      <c r="V4" s="63">
        <v>0</v>
      </c>
      <c r="W4" s="63">
        <v>0</v>
      </c>
      <c r="X4" s="63">
        <v>0</v>
      </c>
      <c r="Y4" s="63">
        <v>0</v>
      </c>
      <c r="Z4" s="63">
        <v>0</v>
      </c>
      <c r="AA4" s="63">
        <v>0</v>
      </c>
      <c r="AB4" s="63">
        <v>0</v>
      </c>
      <c r="AC4" s="63">
        <v>0</v>
      </c>
      <c r="AD4" s="63">
        <v>0</v>
      </c>
      <c r="AE4" s="63">
        <v>0</v>
      </c>
      <c r="AF4" s="63">
        <v>0</v>
      </c>
      <c r="AG4" s="63">
        <v>0</v>
      </c>
      <c r="AH4" s="63">
        <v>0</v>
      </c>
      <c r="AI4" s="63">
        <v>0</v>
      </c>
      <c r="AJ4" s="63">
        <v>0</v>
      </c>
      <c r="AK4" s="63">
        <v>0</v>
      </c>
      <c r="AL4" s="63">
        <v>0</v>
      </c>
      <c r="AM4" s="63">
        <v>0</v>
      </c>
      <c r="AN4" s="63">
        <v>0</v>
      </c>
      <c r="AO4" s="63">
        <v>0</v>
      </c>
      <c r="AP4" s="63">
        <v>0</v>
      </c>
      <c r="AQ4" s="63">
        <v>0</v>
      </c>
      <c r="AR4" s="63">
        <v>1</v>
      </c>
      <c r="AS4" s="63">
        <v>0</v>
      </c>
      <c r="AT4" s="63">
        <v>0</v>
      </c>
      <c r="AU4" s="63">
        <v>0</v>
      </c>
      <c r="AV4" s="63">
        <v>0</v>
      </c>
      <c r="AW4" s="63">
        <v>0</v>
      </c>
      <c r="AX4" s="63">
        <v>1</v>
      </c>
      <c r="AY4" s="63">
        <v>0</v>
      </c>
      <c r="AZ4" s="63">
        <v>0</v>
      </c>
      <c r="BA4" s="63">
        <v>0</v>
      </c>
      <c r="BB4" s="63">
        <v>0</v>
      </c>
      <c r="BC4" s="63">
        <v>0</v>
      </c>
      <c r="BD4" s="63">
        <v>0</v>
      </c>
      <c r="BE4" s="63">
        <v>0</v>
      </c>
      <c r="BF4" s="63">
        <v>0</v>
      </c>
      <c r="BG4" s="63">
        <v>1</v>
      </c>
      <c r="BH4" s="63">
        <v>0</v>
      </c>
      <c r="BI4" s="63">
        <v>0</v>
      </c>
      <c r="BJ4" s="63">
        <v>0</v>
      </c>
      <c r="BK4" s="63">
        <v>0</v>
      </c>
      <c r="BL4" s="63">
        <v>0</v>
      </c>
      <c r="BM4" s="63">
        <v>0</v>
      </c>
      <c r="BN4" s="63">
        <v>0</v>
      </c>
      <c r="BO4" s="63">
        <v>0</v>
      </c>
      <c r="BP4" s="63">
        <v>1</v>
      </c>
      <c r="BQ4" s="63">
        <v>0</v>
      </c>
      <c r="BR4" s="63">
        <v>0</v>
      </c>
      <c r="BS4" s="63">
        <v>0</v>
      </c>
      <c r="BT4" s="63">
        <v>0</v>
      </c>
      <c r="BU4" s="63">
        <v>0</v>
      </c>
      <c r="BV4" s="63">
        <v>0</v>
      </c>
      <c r="BW4" s="63">
        <v>0</v>
      </c>
      <c r="BX4" s="63">
        <v>0</v>
      </c>
      <c r="BY4" s="63">
        <v>0</v>
      </c>
      <c r="BZ4" s="63">
        <v>0</v>
      </c>
      <c r="CA4" s="63">
        <v>0</v>
      </c>
      <c r="CB4" s="63">
        <v>0</v>
      </c>
      <c r="CC4" s="63">
        <v>0</v>
      </c>
      <c r="CD4" s="63">
        <v>0</v>
      </c>
      <c r="CE4" s="63">
        <v>0</v>
      </c>
      <c r="CF4" s="63">
        <v>0</v>
      </c>
      <c r="CG4" s="63">
        <v>0</v>
      </c>
      <c r="CH4" s="63">
        <v>0</v>
      </c>
      <c r="CI4" s="63">
        <v>0</v>
      </c>
      <c r="CJ4" s="63">
        <v>0</v>
      </c>
      <c r="CK4" s="63">
        <v>0</v>
      </c>
      <c r="CL4" s="63">
        <v>0</v>
      </c>
      <c r="CM4" s="63">
        <v>0</v>
      </c>
      <c r="CN4" s="63">
        <v>0</v>
      </c>
      <c r="CO4" s="63">
        <v>0</v>
      </c>
      <c r="CP4" s="63">
        <v>0</v>
      </c>
      <c r="CQ4" s="63">
        <v>0</v>
      </c>
      <c r="CR4" s="63">
        <v>0</v>
      </c>
      <c r="CS4" s="63">
        <v>0</v>
      </c>
      <c r="CT4" s="61">
        <f t="shared" si="0"/>
        <v>9</v>
      </c>
      <c r="CU4" s="61"/>
    </row>
    <row r="5" spans="1:99" ht="15.75" customHeight="1">
      <c r="A5" s="61" t="s">
        <v>392</v>
      </c>
      <c r="B5" s="63">
        <v>0</v>
      </c>
      <c r="C5" s="63">
        <v>0</v>
      </c>
      <c r="D5" s="63">
        <v>0</v>
      </c>
      <c r="E5" s="63">
        <v>1</v>
      </c>
      <c r="F5" s="63">
        <v>0</v>
      </c>
      <c r="G5" s="63">
        <v>0</v>
      </c>
      <c r="H5" s="63">
        <v>0</v>
      </c>
      <c r="I5" s="63">
        <v>0</v>
      </c>
      <c r="J5" s="63">
        <v>0</v>
      </c>
      <c r="K5" s="63">
        <v>0</v>
      </c>
      <c r="L5" s="63">
        <v>0</v>
      </c>
      <c r="M5" s="63">
        <v>0</v>
      </c>
      <c r="N5" s="63">
        <v>0</v>
      </c>
      <c r="O5" s="63">
        <v>0</v>
      </c>
      <c r="P5" s="63">
        <v>0</v>
      </c>
      <c r="Q5" s="63">
        <v>0</v>
      </c>
      <c r="R5" s="63">
        <v>0</v>
      </c>
      <c r="S5" s="63">
        <v>0</v>
      </c>
      <c r="T5" s="63">
        <v>0</v>
      </c>
      <c r="U5" s="63">
        <v>0</v>
      </c>
      <c r="V5" s="63">
        <v>0</v>
      </c>
      <c r="W5" s="63">
        <v>0</v>
      </c>
      <c r="X5" s="63">
        <v>0</v>
      </c>
      <c r="Y5" s="63">
        <v>0</v>
      </c>
      <c r="Z5" s="63">
        <v>0</v>
      </c>
      <c r="AA5" s="63">
        <v>1</v>
      </c>
      <c r="AB5" s="63">
        <v>0</v>
      </c>
      <c r="AC5" s="63">
        <v>0</v>
      </c>
      <c r="AD5" s="63">
        <v>0</v>
      </c>
      <c r="AE5" s="63">
        <v>0</v>
      </c>
      <c r="AF5" s="63">
        <v>0</v>
      </c>
      <c r="AG5" s="63">
        <v>0</v>
      </c>
      <c r="AH5" s="63">
        <v>0</v>
      </c>
      <c r="AI5" s="63">
        <v>0</v>
      </c>
      <c r="AJ5" s="63">
        <v>0</v>
      </c>
      <c r="AK5" s="63">
        <v>0</v>
      </c>
      <c r="AL5" s="63">
        <v>0</v>
      </c>
      <c r="AM5" s="63">
        <v>0</v>
      </c>
      <c r="AN5" s="63">
        <v>1</v>
      </c>
      <c r="AO5" s="63">
        <v>0</v>
      </c>
      <c r="AP5" s="63">
        <v>0</v>
      </c>
      <c r="AQ5" s="63">
        <v>0</v>
      </c>
      <c r="AR5" s="63">
        <v>0</v>
      </c>
      <c r="AS5" s="63">
        <v>0</v>
      </c>
      <c r="AT5" s="63">
        <v>0</v>
      </c>
      <c r="AU5" s="63">
        <v>0</v>
      </c>
      <c r="AV5" s="63">
        <v>0</v>
      </c>
      <c r="AW5" s="63">
        <v>0</v>
      </c>
      <c r="AX5" s="63">
        <v>0</v>
      </c>
      <c r="AY5" s="63">
        <v>0</v>
      </c>
      <c r="AZ5" s="63">
        <v>0</v>
      </c>
      <c r="BA5" s="63">
        <v>0</v>
      </c>
      <c r="BB5" s="63">
        <v>0</v>
      </c>
      <c r="BC5" s="63">
        <v>0</v>
      </c>
      <c r="BD5" s="63">
        <v>0</v>
      </c>
      <c r="BE5" s="63">
        <v>0</v>
      </c>
      <c r="BF5" s="63">
        <v>0</v>
      </c>
      <c r="BG5" s="63">
        <v>0</v>
      </c>
      <c r="BH5" s="63">
        <v>0</v>
      </c>
      <c r="BI5" s="63">
        <v>0</v>
      </c>
      <c r="BJ5" s="63">
        <v>0</v>
      </c>
      <c r="BK5" s="63">
        <v>0</v>
      </c>
      <c r="BL5" s="63">
        <v>0</v>
      </c>
      <c r="BM5" s="63">
        <v>0</v>
      </c>
      <c r="BN5" s="63">
        <v>0</v>
      </c>
      <c r="BO5" s="63">
        <v>0</v>
      </c>
      <c r="BP5" s="63">
        <v>0</v>
      </c>
      <c r="BQ5" s="63">
        <v>0</v>
      </c>
      <c r="BR5" s="63">
        <v>0</v>
      </c>
      <c r="BS5" s="63">
        <v>0</v>
      </c>
      <c r="BT5" s="63">
        <v>0</v>
      </c>
      <c r="BU5" s="63">
        <v>0</v>
      </c>
      <c r="BV5" s="63">
        <v>0</v>
      </c>
      <c r="BW5" s="63">
        <v>0</v>
      </c>
      <c r="BX5" s="63">
        <v>0</v>
      </c>
      <c r="BY5" s="63">
        <v>0</v>
      </c>
      <c r="BZ5" s="63">
        <v>0</v>
      </c>
      <c r="CA5" s="63">
        <v>0</v>
      </c>
      <c r="CB5" s="63">
        <v>0</v>
      </c>
      <c r="CC5" s="63">
        <v>0</v>
      </c>
      <c r="CD5" s="63">
        <v>0</v>
      </c>
      <c r="CE5" s="63">
        <v>0</v>
      </c>
      <c r="CF5" s="63">
        <v>1</v>
      </c>
      <c r="CG5" s="63">
        <v>0</v>
      </c>
      <c r="CH5" s="63">
        <v>0</v>
      </c>
      <c r="CI5" s="63">
        <v>0</v>
      </c>
      <c r="CJ5" s="63">
        <v>0</v>
      </c>
      <c r="CK5" s="63">
        <v>0</v>
      </c>
      <c r="CL5" s="63">
        <v>0</v>
      </c>
      <c r="CM5" s="63">
        <v>0</v>
      </c>
      <c r="CN5" s="63">
        <v>0</v>
      </c>
      <c r="CO5" s="63">
        <v>0</v>
      </c>
      <c r="CP5" s="63">
        <v>0</v>
      </c>
      <c r="CQ5" s="63">
        <v>0</v>
      </c>
      <c r="CR5" s="63">
        <v>0</v>
      </c>
      <c r="CS5" s="63">
        <v>0</v>
      </c>
      <c r="CT5" s="61">
        <f t="shared" si="0"/>
        <v>4</v>
      </c>
      <c r="CU5" s="61"/>
    </row>
    <row r="6" spans="1:99" ht="15.75" customHeight="1">
      <c r="A6" s="61" t="s">
        <v>359</v>
      </c>
      <c r="B6" s="63">
        <v>0</v>
      </c>
      <c r="C6" s="63">
        <v>0</v>
      </c>
      <c r="D6" s="63">
        <v>0</v>
      </c>
      <c r="E6" s="63">
        <v>0</v>
      </c>
      <c r="F6" s="63">
        <v>1</v>
      </c>
      <c r="G6" s="63">
        <v>1</v>
      </c>
      <c r="H6" s="63">
        <v>0</v>
      </c>
      <c r="I6" s="63">
        <v>0</v>
      </c>
      <c r="J6" s="63">
        <v>0</v>
      </c>
      <c r="K6" s="63">
        <v>0</v>
      </c>
      <c r="L6" s="63">
        <v>0</v>
      </c>
      <c r="M6" s="63">
        <v>0</v>
      </c>
      <c r="N6" s="63">
        <v>0</v>
      </c>
      <c r="O6" s="63">
        <v>1</v>
      </c>
      <c r="P6" s="63">
        <v>0</v>
      </c>
      <c r="Q6" s="63">
        <v>0</v>
      </c>
      <c r="R6" s="63">
        <v>0</v>
      </c>
      <c r="S6" s="63">
        <v>0</v>
      </c>
      <c r="T6" s="63">
        <v>0</v>
      </c>
      <c r="U6" s="63">
        <v>0</v>
      </c>
      <c r="V6" s="63">
        <v>0</v>
      </c>
      <c r="W6" s="63">
        <v>0</v>
      </c>
      <c r="X6" s="63">
        <v>0</v>
      </c>
      <c r="Y6" s="63">
        <v>1</v>
      </c>
      <c r="Z6" s="63">
        <v>0</v>
      </c>
      <c r="AA6" s="63">
        <v>0</v>
      </c>
      <c r="AB6" s="63">
        <v>0</v>
      </c>
      <c r="AC6" s="63">
        <v>0</v>
      </c>
      <c r="AD6" s="63">
        <v>0</v>
      </c>
      <c r="AE6" s="63">
        <v>0</v>
      </c>
      <c r="AF6" s="63">
        <v>0</v>
      </c>
      <c r="AG6" s="63">
        <v>0</v>
      </c>
      <c r="AH6" s="63">
        <v>0</v>
      </c>
      <c r="AI6" s="63">
        <v>0</v>
      </c>
      <c r="AJ6" s="63">
        <v>0</v>
      </c>
      <c r="AK6" s="63">
        <v>0</v>
      </c>
      <c r="AL6" s="63">
        <v>0</v>
      </c>
      <c r="AM6" s="63">
        <v>0</v>
      </c>
      <c r="AN6" s="63">
        <v>0</v>
      </c>
      <c r="AO6" s="63">
        <v>0</v>
      </c>
      <c r="AP6" s="63">
        <v>0</v>
      </c>
      <c r="AQ6" s="63">
        <v>1</v>
      </c>
      <c r="AR6" s="63">
        <v>0</v>
      </c>
      <c r="AS6" s="63">
        <v>0</v>
      </c>
      <c r="AT6" s="63">
        <v>0</v>
      </c>
      <c r="AU6" s="63">
        <v>0</v>
      </c>
      <c r="AV6" s="63">
        <v>0</v>
      </c>
      <c r="AW6" s="63">
        <v>0</v>
      </c>
      <c r="AX6" s="63">
        <v>0</v>
      </c>
      <c r="AY6" s="63">
        <v>0</v>
      </c>
      <c r="AZ6" s="63">
        <v>0</v>
      </c>
      <c r="BA6" s="63">
        <v>0</v>
      </c>
      <c r="BB6" s="63">
        <v>0</v>
      </c>
      <c r="BC6" s="63">
        <v>0</v>
      </c>
      <c r="BD6" s="63">
        <v>0</v>
      </c>
      <c r="BE6" s="63">
        <v>0</v>
      </c>
      <c r="BF6" s="63">
        <v>0</v>
      </c>
      <c r="BG6" s="63">
        <v>0</v>
      </c>
      <c r="BH6" s="63">
        <v>0</v>
      </c>
      <c r="BI6" s="63">
        <v>0</v>
      </c>
      <c r="BJ6" s="63">
        <v>0</v>
      </c>
      <c r="BK6" s="63">
        <v>0</v>
      </c>
      <c r="BL6" s="63">
        <v>0</v>
      </c>
      <c r="BM6" s="63">
        <v>0</v>
      </c>
      <c r="BN6" s="63">
        <v>0</v>
      </c>
      <c r="BO6" s="63">
        <v>0</v>
      </c>
      <c r="BP6" s="63">
        <v>0</v>
      </c>
      <c r="BQ6" s="63">
        <v>0</v>
      </c>
      <c r="BR6" s="63">
        <v>0</v>
      </c>
      <c r="BS6" s="63">
        <v>0</v>
      </c>
      <c r="BT6" s="63">
        <v>0</v>
      </c>
      <c r="BU6" s="63">
        <v>0</v>
      </c>
      <c r="BV6" s="63">
        <v>0</v>
      </c>
      <c r="BW6" s="63">
        <v>0</v>
      </c>
      <c r="BX6" s="63">
        <v>0</v>
      </c>
      <c r="BY6" s="63">
        <v>0</v>
      </c>
      <c r="BZ6" s="63">
        <v>0</v>
      </c>
      <c r="CA6" s="63">
        <v>0</v>
      </c>
      <c r="CB6" s="63">
        <v>0</v>
      </c>
      <c r="CC6" s="63">
        <v>0</v>
      </c>
      <c r="CD6" s="63">
        <v>0</v>
      </c>
      <c r="CE6" s="63">
        <v>1</v>
      </c>
      <c r="CF6" s="63">
        <v>0</v>
      </c>
      <c r="CG6" s="63">
        <v>0</v>
      </c>
      <c r="CH6" s="63">
        <v>0</v>
      </c>
      <c r="CI6" s="63">
        <v>0</v>
      </c>
      <c r="CJ6" s="63">
        <v>0</v>
      </c>
      <c r="CK6" s="63">
        <v>0</v>
      </c>
      <c r="CL6" s="63">
        <v>0</v>
      </c>
      <c r="CM6" s="63">
        <v>0</v>
      </c>
      <c r="CN6" s="63">
        <v>0</v>
      </c>
      <c r="CO6" s="63">
        <v>0</v>
      </c>
      <c r="CP6" s="63">
        <v>0</v>
      </c>
      <c r="CQ6" s="63">
        <v>0</v>
      </c>
      <c r="CR6" s="63">
        <v>0</v>
      </c>
      <c r="CS6" s="63">
        <v>0</v>
      </c>
      <c r="CT6" s="61">
        <f t="shared" si="0"/>
        <v>6</v>
      </c>
      <c r="CU6" s="61"/>
    </row>
    <row r="7" spans="1:99" ht="15.75" customHeight="1">
      <c r="A7" s="61" t="s">
        <v>358</v>
      </c>
      <c r="B7" s="63">
        <v>1</v>
      </c>
      <c r="C7" s="63">
        <v>0</v>
      </c>
      <c r="D7" s="63">
        <v>0</v>
      </c>
      <c r="E7" s="63">
        <v>0</v>
      </c>
      <c r="F7" s="63">
        <v>1</v>
      </c>
      <c r="G7" s="63">
        <v>1</v>
      </c>
      <c r="H7" s="63">
        <v>0</v>
      </c>
      <c r="I7" s="63">
        <v>0</v>
      </c>
      <c r="J7" s="63">
        <v>0</v>
      </c>
      <c r="K7" s="63">
        <v>0</v>
      </c>
      <c r="L7" s="63">
        <v>0</v>
      </c>
      <c r="M7" s="63">
        <v>0</v>
      </c>
      <c r="N7" s="63">
        <v>0</v>
      </c>
      <c r="O7" s="63">
        <v>1</v>
      </c>
      <c r="P7" s="63">
        <v>0</v>
      </c>
      <c r="Q7" s="63">
        <v>0</v>
      </c>
      <c r="R7" s="63">
        <v>0</v>
      </c>
      <c r="S7" s="63">
        <v>0</v>
      </c>
      <c r="T7" s="63">
        <v>0</v>
      </c>
      <c r="U7" s="63">
        <v>0</v>
      </c>
      <c r="V7" s="63">
        <v>0</v>
      </c>
      <c r="W7" s="63">
        <v>0</v>
      </c>
      <c r="X7" s="63">
        <v>0</v>
      </c>
      <c r="Y7" s="63">
        <v>0</v>
      </c>
      <c r="Z7" s="63">
        <v>0</v>
      </c>
      <c r="AA7" s="63">
        <v>0</v>
      </c>
      <c r="AB7" s="63">
        <v>0</v>
      </c>
      <c r="AC7" s="63">
        <v>0</v>
      </c>
      <c r="AD7" s="63">
        <v>0</v>
      </c>
      <c r="AE7" s="63">
        <v>0</v>
      </c>
      <c r="AF7" s="63">
        <v>0</v>
      </c>
      <c r="AG7" s="63">
        <v>0</v>
      </c>
      <c r="AH7" s="63">
        <v>0</v>
      </c>
      <c r="AI7" s="63">
        <v>0</v>
      </c>
      <c r="AJ7" s="63">
        <v>0</v>
      </c>
      <c r="AK7" s="63">
        <v>0</v>
      </c>
      <c r="AL7" s="63">
        <v>0</v>
      </c>
      <c r="AM7" s="63">
        <v>0</v>
      </c>
      <c r="AN7" s="63">
        <v>0</v>
      </c>
      <c r="AO7" s="63">
        <v>0</v>
      </c>
      <c r="AP7" s="63">
        <v>0</v>
      </c>
      <c r="AQ7" s="63">
        <v>0</v>
      </c>
      <c r="AR7" s="63">
        <v>0</v>
      </c>
      <c r="AS7" s="63">
        <v>0</v>
      </c>
      <c r="AT7" s="63">
        <v>0</v>
      </c>
      <c r="AU7" s="63">
        <v>0</v>
      </c>
      <c r="AV7" s="63">
        <v>0</v>
      </c>
      <c r="AW7" s="63">
        <v>0</v>
      </c>
      <c r="AX7" s="63">
        <v>0</v>
      </c>
      <c r="AY7" s="63">
        <v>0</v>
      </c>
      <c r="AZ7" s="63">
        <v>0</v>
      </c>
      <c r="BA7" s="63">
        <v>0</v>
      </c>
      <c r="BB7" s="63">
        <v>0</v>
      </c>
      <c r="BC7" s="63">
        <v>0</v>
      </c>
      <c r="BD7" s="63">
        <v>0</v>
      </c>
      <c r="BE7" s="63">
        <v>0</v>
      </c>
      <c r="BF7" s="63">
        <v>0</v>
      </c>
      <c r="BG7" s="63">
        <v>0</v>
      </c>
      <c r="BH7" s="63">
        <v>0</v>
      </c>
      <c r="BI7" s="63">
        <v>0</v>
      </c>
      <c r="BJ7" s="63">
        <v>0</v>
      </c>
      <c r="BK7" s="63">
        <v>0</v>
      </c>
      <c r="BL7" s="63">
        <v>0</v>
      </c>
      <c r="BM7" s="63">
        <v>0</v>
      </c>
      <c r="BN7" s="63">
        <v>0</v>
      </c>
      <c r="BO7" s="63">
        <v>0</v>
      </c>
      <c r="BP7" s="63">
        <v>0</v>
      </c>
      <c r="BQ7" s="63">
        <v>0</v>
      </c>
      <c r="BR7" s="63">
        <v>0</v>
      </c>
      <c r="BS7" s="63">
        <v>0</v>
      </c>
      <c r="BT7" s="63">
        <v>0</v>
      </c>
      <c r="BU7" s="63">
        <v>0</v>
      </c>
      <c r="BV7" s="63">
        <v>0</v>
      </c>
      <c r="BW7" s="63">
        <v>0</v>
      </c>
      <c r="BX7" s="63">
        <v>0</v>
      </c>
      <c r="BY7" s="63">
        <v>0</v>
      </c>
      <c r="BZ7" s="63">
        <v>0</v>
      </c>
      <c r="CA7" s="63">
        <v>0</v>
      </c>
      <c r="CB7" s="63">
        <v>0</v>
      </c>
      <c r="CC7" s="63">
        <v>0</v>
      </c>
      <c r="CD7" s="63">
        <v>0</v>
      </c>
      <c r="CE7" s="63">
        <v>1</v>
      </c>
      <c r="CF7" s="63">
        <v>0</v>
      </c>
      <c r="CG7" s="63">
        <v>0</v>
      </c>
      <c r="CH7" s="63">
        <v>0</v>
      </c>
      <c r="CI7" s="63">
        <v>0</v>
      </c>
      <c r="CJ7" s="63">
        <v>0</v>
      </c>
      <c r="CK7" s="63">
        <v>0</v>
      </c>
      <c r="CL7" s="63">
        <v>0</v>
      </c>
      <c r="CM7" s="63">
        <v>0</v>
      </c>
      <c r="CN7" s="63">
        <v>0</v>
      </c>
      <c r="CO7" s="63">
        <v>0</v>
      </c>
      <c r="CP7" s="63">
        <v>0</v>
      </c>
      <c r="CQ7" s="63">
        <v>0</v>
      </c>
      <c r="CR7" s="63">
        <v>0</v>
      </c>
      <c r="CS7" s="63">
        <v>0</v>
      </c>
      <c r="CT7" s="61">
        <f t="shared" si="0"/>
        <v>5</v>
      </c>
      <c r="CU7" s="61"/>
    </row>
    <row r="8" spans="1:99" ht="15.75" customHeight="1">
      <c r="A8" s="61" t="s">
        <v>333</v>
      </c>
      <c r="B8" s="63">
        <v>0</v>
      </c>
      <c r="C8" s="63">
        <v>0</v>
      </c>
      <c r="D8" s="63">
        <v>0</v>
      </c>
      <c r="E8" s="63">
        <v>0</v>
      </c>
      <c r="F8" s="63">
        <v>0</v>
      </c>
      <c r="G8" s="63">
        <v>0</v>
      </c>
      <c r="H8" s="63">
        <v>1</v>
      </c>
      <c r="I8" s="63">
        <v>0</v>
      </c>
      <c r="J8" s="63">
        <v>0</v>
      </c>
      <c r="K8" s="63">
        <v>0</v>
      </c>
      <c r="L8" s="63">
        <v>0</v>
      </c>
      <c r="M8" s="63">
        <v>0</v>
      </c>
      <c r="N8" s="63">
        <v>0</v>
      </c>
      <c r="O8" s="63">
        <v>0</v>
      </c>
      <c r="P8" s="63">
        <v>0</v>
      </c>
      <c r="Q8" s="63">
        <v>0</v>
      </c>
      <c r="R8" s="63">
        <v>0</v>
      </c>
      <c r="S8" s="63">
        <v>0</v>
      </c>
      <c r="T8" s="63">
        <v>0</v>
      </c>
      <c r="U8" s="63">
        <v>0</v>
      </c>
      <c r="V8" s="63">
        <v>0</v>
      </c>
      <c r="W8" s="63">
        <v>0</v>
      </c>
      <c r="X8" s="63">
        <v>1</v>
      </c>
      <c r="Y8" s="63">
        <v>0</v>
      </c>
      <c r="Z8" s="63">
        <v>0</v>
      </c>
      <c r="AA8" s="63">
        <v>0</v>
      </c>
      <c r="AB8" s="63">
        <v>0</v>
      </c>
      <c r="AC8" s="63">
        <v>0</v>
      </c>
      <c r="AD8" s="63">
        <v>0</v>
      </c>
      <c r="AE8" s="63">
        <v>0</v>
      </c>
      <c r="AF8" s="63">
        <v>0</v>
      </c>
      <c r="AG8" s="63">
        <v>0</v>
      </c>
      <c r="AH8" s="63">
        <v>0</v>
      </c>
      <c r="AI8" s="63">
        <v>0</v>
      </c>
      <c r="AJ8" s="63">
        <v>0</v>
      </c>
      <c r="AK8" s="63">
        <v>0</v>
      </c>
      <c r="AL8" s="63">
        <v>0</v>
      </c>
      <c r="AM8" s="63">
        <v>0</v>
      </c>
      <c r="AN8" s="63">
        <v>0</v>
      </c>
      <c r="AO8" s="63">
        <v>0</v>
      </c>
      <c r="AP8" s="63">
        <v>0</v>
      </c>
      <c r="AQ8" s="63">
        <v>0</v>
      </c>
      <c r="AR8" s="63">
        <v>0</v>
      </c>
      <c r="AS8" s="63">
        <v>0</v>
      </c>
      <c r="AT8" s="63">
        <v>0</v>
      </c>
      <c r="AU8" s="63">
        <v>0</v>
      </c>
      <c r="AV8" s="63">
        <v>0</v>
      </c>
      <c r="AW8" s="63">
        <v>0</v>
      </c>
      <c r="AX8" s="63">
        <v>0</v>
      </c>
      <c r="AY8" s="63">
        <v>0</v>
      </c>
      <c r="AZ8" s="63">
        <v>0</v>
      </c>
      <c r="BA8" s="63">
        <v>0</v>
      </c>
      <c r="BB8" s="63">
        <v>0</v>
      </c>
      <c r="BC8" s="63">
        <v>0</v>
      </c>
      <c r="BD8" s="63">
        <v>0</v>
      </c>
      <c r="BE8" s="63">
        <v>0</v>
      </c>
      <c r="BF8" s="63">
        <v>0</v>
      </c>
      <c r="BG8" s="63">
        <v>0</v>
      </c>
      <c r="BH8" s="63">
        <v>0</v>
      </c>
      <c r="BI8" s="63">
        <v>0</v>
      </c>
      <c r="BJ8" s="63">
        <v>0</v>
      </c>
      <c r="BK8" s="63">
        <v>0</v>
      </c>
      <c r="BL8" s="63">
        <v>0</v>
      </c>
      <c r="BM8" s="63">
        <v>0</v>
      </c>
      <c r="BN8" s="63">
        <v>0</v>
      </c>
      <c r="BO8" s="63">
        <v>0</v>
      </c>
      <c r="BP8" s="63">
        <v>0</v>
      </c>
      <c r="BQ8" s="63">
        <v>0</v>
      </c>
      <c r="BR8" s="63">
        <v>0</v>
      </c>
      <c r="BS8" s="63">
        <v>0</v>
      </c>
      <c r="BT8" s="63">
        <v>0</v>
      </c>
      <c r="BU8" s="63">
        <v>0</v>
      </c>
      <c r="BV8" s="63">
        <v>0</v>
      </c>
      <c r="BW8" s="63">
        <v>0</v>
      </c>
      <c r="BX8" s="63">
        <v>0</v>
      </c>
      <c r="BY8" s="63">
        <v>0</v>
      </c>
      <c r="BZ8" s="63">
        <v>0</v>
      </c>
      <c r="CA8" s="63">
        <v>0</v>
      </c>
      <c r="CB8" s="63">
        <v>0</v>
      </c>
      <c r="CC8" s="63">
        <v>0</v>
      </c>
      <c r="CD8" s="63">
        <v>0</v>
      </c>
      <c r="CE8" s="63">
        <v>0</v>
      </c>
      <c r="CF8" s="63">
        <v>0</v>
      </c>
      <c r="CG8" s="63">
        <v>1</v>
      </c>
      <c r="CH8" s="63">
        <v>0</v>
      </c>
      <c r="CI8" s="63">
        <v>0</v>
      </c>
      <c r="CJ8" s="63">
        <v>0</v>
      </c>
      <c r="CK8" s="63">
        <v>0</v>
      </c>
      <c r="CL8" s="63">
        <v>0</v>
      </c>
      <c r="CM8" s="63">
        <v>0</v>
      </c>
      <c r="CN8" s="63">
        <v>0</v>
      </c>
      <c r="CO8" s="63">
        <v>0</v>
      </c>
      <c r="CP8" s="63">
        <v>0</v>
      </c>
      <c r="CQ8" s="63">
        <v>0</v>
      </c>
      <c r="CR8" s="63">
        <v>0</v>
      </c>
      <c r="CS8" s="63">
        <v>0</v>
      </c>
      <c r="CT8" s="61">
        <f t="shared" si="0"/>
        <v>3</v>
      </c>
      <c r="CU8" s="61"/>
    </row>
    <row r="9" spans="1:99" ht="15.75" customHeight="1">
      <c r="A9" s="61" t="s">
        <v>380</v>
      </c>
      <c r="B9" s="63">
        <v>0</v>
      </c>
      <c r="C9" s="63">
        <v>0</v>
      </c>
      <c r="D9" s="63">
        <v>0</v>
      </c>
      <c r="E9" s="63">
        <v>0</v>
      </c>
      <c r="F9" s="63">
        <v>0</v>
      </c>
      <c r="G9" s="63">
        <v>0</v>
      </c>
      <c r="H9" s="63">
        <v>0</v>
      </c>
      <c r="I9" s="63">
        <v>1</v>
      </c>
      <c r="J9" s="63">
        <v>0</v>
      </c>
      <c r="K9" s="63">
        <v>0</v>
      </c>
      <c r="L9" s="63">
        <v>0</v>
      </c>
      <c r="M9" s="63">
        <v>0</v>
      </c>
      <c r="N9" s="63">
        <v>0</v>
      </c>
      <c r="O9" s="63">
        <v>0</v>
      </c>
      <c r="P9" s="63">
        <v>0</v>
      </c>
      <c r="Q9" s="63">
        <v>0</v>
      </c>
      <c r="R9" s="63">
        <v>0</v>
      </c>
      <c r="S9" s="63">
        <v>0</v>
      </c>
      <c r="T9" s="63">
        <v>0</v>
      </c>
      <c r="U9" s="63">
        <v>0</v>
      </c>
      <c r="V9" s="63">
        <v>0</v>
      </c>
      <c r="W9" s="63">
        <v>0</v>
      </c>
      <c r="X9" s="63">
        <v>0</v>
      </c>
      <c r="Y9" s="63">
        <v>0</v>
      </c>
      <c r="Z9" s="63">
        <v>0</v>
      </c>
      <c r="AA9" s="63">
        <v>0</v>
      </c>
      <c r="AB9" s="63">
        <v>0</v>
      </c>
      <c r="AC9" s="63">
        <v>0</v>
      </c>
      <c r="AD9" s="63">
        <v>0</v>
      </c>
      <c r="AE9" s="63">
        <v>0</v>
      </c>
      <c r="AF9" s="63">
        <v>0</v>
      </c>
      <c r="AG9" s="63">
        <v>0</v>
      </c>
      <c r="AH9" s="63">
        <v>0</v>
      </c>
      <c r="AI9" s="63">
        <v>0</v>
      </c>
      <c r="AJ9" s="63">
        <v>0</v>
      </c>
      <c r="AK9" s="63">
        <v>0</v>
      </c>
      <c r="AL9" s="63">
        <v>0</v>
      </c>
      <c r="AM9" s="63">
        <v>0</v>
      </c>
      <c r="AN9" s="63">
        <v>0</v>
      </c>
      <c r="AO9" s="63">
        <v>0</v>
      </c>
      <c r="AP9" s="63">
        <v>0</v>
      </c>
      <c r="AQ9" s="63">
        <v>0</v>
      </c>
      <c r="AR9" s="63">
        <v>0</v>
      </c>
      <c r="AS9" s="63">
        <v>0</v>
      </c>
      <c r="AT9" s="63">
        <v>0</v>
      </c>
      <c r="AU9" s="63">
        <v>0</v>
      </c>
      <c r="AV9" s="63">
        <v>0</v>
      </c>
      <c r="AW9" s="63">
        <v>1</v>
      </c>
      <c r="AX9" s="63">
        <v>0</v>
      </c>
      <c r="AY9" s="63">
        <v>1</v>
      </c>
      <c r="AZ9" s="63">
        <v>0</v>
      </c>
      <c r="BA9" s="63">
        <v>0</v>
      </c>
      <c r="BB9" s="63">
        <v>1</v>
      </c>
      <c r="BC9" s="63">
        <v>0</v>
      </c>
      <c r="BD9" s="63">
        <v>0</v>
      </c>
      <c r="BE9" s="63">
        <v>0</v>
      </c>
      <c r="BF9" s="63">
        <v>0</v>
      </c>
      <c r="BG9" s="63">
        <v>1</v>
      </c>
      <c r="BH9" s="63">
        <v>0</v>
      </c>
      <c r="BI9" s="63">
        <v>0</v>
      </c>
      <c r="BJ9" s="63">
        <v>0</v>
      </c>
      <c r="BK9" s="63">
        <v>0</v>
      </c>
      <c r="BL9" s="63">
        <v>0</v>
      </c>
      <c r="BM9" s="63">
        <v>0</v>
      </c>
      <c r="BN9" s="63">
        <v>0</v>
      </c>
      <c r="BO9" s="63">
        <v>0</v>
      </c>
      <c r="BP9" s="63">
        <v>1</v>
      </c>
      <c r="BQ9" s="63">
        <v>0</v>
      </c>
      <c r="BR9" s="63">
        <v>0</v>
      </c>
      <c r="BS9" s="63">
        <v>0</v>
      </c>
      <c r="BT9" s="63">
        <v>0</v>
      </c>
      <c r="BU9" s="63">
        <v>0</v>
      </c>
      <c r="BV9" s="63">
        <v>0</v>
      </c>
      <c r="BW9" s="63">
        <v>0</v>
      </c>
      <c r="BX9" s="63">
        <v>0</v>
      </c>
      <c r="BY9" s="63">
        <v>0</v>
      </c>
      <c r="BZ9" s="63">
        <v>0</v>
      </c>
      <c r="CA9" s="63">
        <v>0</v>
      </c>
      <c r="CB9" s="63">
        <v>0</v>
      </c>
      <c r="CC9" s="63">
        <v>0</v>
      </c>
      <c r="CD9" s="63">
        <v>0</v>
      </c>
      <c r="CE9" s="63">
        <v>0</v>
      </c>
      <c r="CF9" s="63">
        <v>0</v>
      </c>
      <c r="CG9" s="63">
        <v>0</v>
      </c>
      <c r="CH9" s="63">
        <v>0</v>
      </c>
      <c r="CI9" s="63">
        <v>0</v>
      </c>
      <c r="CJ9" s="63">
        <v>0</v>
      </c>
      <c r="CK9" s="63">
        <v>0</v>
      </c>
      <c r="CL9" s="63">
        <v>0</v>
      </c>
      <c r="CM9" s="63">
        <v>0</v>
      </c>
      <c r="CN9" s="63">
        <v>0</v>
      </c>
      <c r="CO9" s="63">
        <v>0</v>
      </c>
      <c r="CP9" s="63">
        <v>0</v>
      </c>
      <c r="CQ9" s="63">
        <v>0</v>
      </c>
      <c r="CR9" s="63">
        <v>0</v>
      </c>
      <c r="CS9" s="63">
        <v>0</v>
      </c>
      <c r="CT9" s="61">
        <f t="shared" si="0"/>
        <v>6</v>
      </c>
      <c r="CU9" s="61"/>
    </row>
    <row r="10" spans="1:99" ht="15.75" customHeight="1">
      <c r="A10" s="61" t="s">
        <v>335</v>
      </c>
      <c r="B10" s="63">
        <v>0</v>
      </c>
      <c r="C10" s="63">
        <v>0</v>
      </c>
      <c r="D10" s="63">
        <v>0</v>
      </c>
      <c r="E10" s="63">
        <v>0</v>
      </c>
      <c r="F10" s="63">
        <v>0</v>
      </c>
      <c r="G10" s="63">
        <v>0</v>
      </c>
      <c r="H10" s="63">
        <v>0</v>
      </c>
      <c r="I10" s="63">
        <v>0</v>
      </c>
      <c r="J10" s="63">
        <v>1</v>
      </c>
      <c r="K10" s="63">
        <v>1</v>
      </c>
      <c r="L10" s="63">
        <v>0</v>
      </c>
      <c r="M10" s="63">
        <v>0</v>
      </c>
      <c r="N10" s="63">
        <v>0</v>
      </c>
      <c r="O10" s="63">
        <v>0</v>
      </c>
      <c r="P10" s="63">
        <v>0</v>
      </c>
      <c r="Q10" s="63">
        <v>0</v>
      </c>
      <c r="R10" s="63">
        <v>0</v>
      </c>
      <c r="S10" s="63">
        <v>0</v>
      </c>
      <c r="T10" s="63">
        <v>0</v>
      </c>
      <c r="U10" s="63">
        <v>0</v>
      </c>
      <c r="V10" s="63">
        <v>0</v>
      </c>
      <c r="W10" s="63">
        <v>0</v>
      </c>
      <c r="X10" s="63">
        <v>0</v>
      </c>
      <c r="Y10" s="63">
        <v>0</v>
      </c>
      <c r="Z10" s="63">
        <v>0</v>
      </c>
      <c r="AA10" s="63">
        <v>0</v>
      </c>
      <c r="AB10" s="63">
        <v>0</v>
      </c>
      <c r="AC10" s="63">
        <v>0</v>
      </c>
      <c r="AD10" s="63">
        <v>0</v>
      </c>
      <c r="AE10" s="63">
        <v>1</v>
      </c>
      <c r="AF10" s="63">
        <v>0</v>
      </c>
      <c r="AG10" s="63">
        <v>0</v>
      </c>
      <c r="AH10" s="63">
        <v>0</v>
      </c>
      <c r="AI10" s="63">
        <v>0</v>
      </c>
      <c r="AJ10" s="63">
        <v>0</v>
      </c>
      <c r="AK10" s="63">
        <v>0</v>
      </c>
      <c r="AL10" s="63">
        <v>0</v>
      </c>
      <c r="AM10" s="63">
        <v>0</v>
      </c>
      <c r="AN10" s="63">
        <v>0</v>
      </c>
      <c r="AO10" s="63">
        <v>0</v>
      </c>
      <c r="AP10" s="63">
        <v>0</v>
      </c>
      <c r="AQ10" s="63">
        <v>0</v>
      </c>
      <c r="AR10" s="63">
        <v>0</v>
      </c>
      <c r="AS10" s="63">
        <v>0</v>
      </c>
      <c r="AT10" s="63">
        <v>0</v>
      </c>
      <c r="AU10" s="63">
        <v>0</v>
      </c>
      <c r="AV10" s="63">
        <v>1</v>
      </c>
      <c r="AW10" s="63">
        <v>0</v>
      </c>
      <c r="AX10" s="63">
        <v>0</v>
      </c>
      <c r="AY10" s="63">
        <v>0</v>
      </c>
      <c r="AZ10" s="63">
        <v>0</v>
      </c>
      <c r="BA10" s="63">
        <v>0</v>
      </c>
      <c r="BB10" s="63">
        <v>0</v>
      </c>
      <c r="BC10" s="63">
        <v>0</v>
      </c>
      <c r="BD10" s="63">
        <v>1</v>
      </c>
      <c r="BE10" s="63">
        <v>0</v>
      </c>
      <c r="BF10" s="63">
        <v>0</v>
      </c>
      <c r="BG10" s="63">
        <v>0</v>
      </c>
      <c r="BH10" s="63">
        <v>0</v>
      </c>
      <c r="BI10" s="63">
        <v>0</v>
      </c>
      <c r="BJ10" s="63">
        <v>0</v>
      </c>
      <c r="BK10" s="63">
        <v>0</v>
      </c>
      <c r="BL10" s="63">
        <v>0</v>
      </c>
      <c r="BM10" s="63">
        <v>0</v>
      </c>
      <c r="BN10" s="63">
        <v>0</v>
      </c>
      <c r="BO10" s="63">
        <v>0</v>
      </c>
      <c r="BP10" s="63">
        <v>0</v>
      </c>
      <c r="BQ10" s="63">
        <v>0</v>
      </c>
      <c r="BR10" s="63">
        <v>0</v>
      </c>
      <c r="BS10" s="63">
        <v>0</v>
      </c>
      <c r="BT10" s="63">
        <v>0</v>
      </c>
      <c r="BU10" s="63">
        <v>0</v>
      </c>
      <c r="BV10" s="63">
        <v>0</v>
      </c>
      <c r="BW10" s="63">
        <v>0</v>
      </c>
      <c r="BX10" s="63">
        <v>0</v>
      </c>
      <c r="BY10" s="63">
        <v>0</v>
      </c>
      <c r="BZ10" s="63">
        <v>0</v>
      </c>
      <c r="CA10" s="63">
        <v>0</v>
      </c>
      <c r="CB10" s="63">
        <v>0</v>
      </c>
      <c r="CC10" s="63">
        <v>0</v>
      </c>
      <c r="CD10" s="63">
        <v>1</v>
      </c>
      <c r="CE10" s="63">
        <v>0</v>
      </c>
      <c r="CF10" s="63">
        <v>0</v>
      </c>
      <c r="CG10" s="63">
        <v>0</v>
      </c>
      <c r="CH10" s="63">
        <v>0</v>
      </c>
      <c r="CI10" s="63">
        <v>0</v>
      </c>
      <c r="CJ10" s="63">
        <v>0</v>
      </c>
      <c r="CK10" s="63">
        <v>0</v>
      </c>
      <c r="CL10" s="63">
        <v>0</v>
      </c>
      <c r="CM10" s="63">
        <v>0</v>
      </c>
      <c r="CN10" s="63">
        <v>0</v>
      </c>
      <c r="CO10" s="63">
        <v>0</v>
      </c>
      <c r="CP10" s="63">
        <v>0</v>
      </c>
      <c r="CQ10" s="63">
        <v>0</v>
      </c>
      <c r="CR10" s="63">
        <v>0</v>
      </c>
      <c r="CS10" s="63">
        <v>0</v>
      </c>
      <c r="CT10" s="61">
        <f t="shared" si="0"/>
        <v>6</v>
      </c>
      <c r="CU10" s="61"/>
    </row>
    <row r="11" spans="1:99" ht="15.75" customHeight="1">
      <c r="A11" s="61" t="s">
        <v>396</v>
      </c>
      <c r="B11" s="63">
        <v>0</v>
      </c>
      <c r="C11" s="63">
        <v>0</v>
      </c>
      <c r="D11" s="63">
        <v>0</v>
      </c>
      <c r="E11" s="63">
        <v>0</v>
      </c>
      <c r="F11" s="63">
        <v>0</v>
      </c>
      <c r="G11" s="63">
        <v>0</v>
      </c>
      <c r="H11" s="63">
        <v>0</v>
      </c>
      <c r="I11" s="63">
        <v>0</v>
      </c>
      <c r="J11" s="63">
        <v>1</v>
      </c>
      <c r="K11" s="63">
        <v>1</v>
      </c>
      <c r="L11" s="63">
        <v>0</v>
      </c>
      <c r="M11" s="63">
        <v>0</v>
      </c>
      <c r="N11" s="63">
        <v>0</v>
      </c>
      <c r="O11" s="63">
        <v>0</v>
      </c>
      <c r="P11" s="63">
        <v>0</v>
      </c>
      <c r="Q11" s="63">
        <v>0</v>
      </c>
      <c r="R11" s="63">
        <v>0</v>
      </c>
      <c r="S11" s="63">
        <v>0</v>
      </c>
      <c r="T11" s="63">
        <v>0</v>
      </c>
      <c r="U11" s="63">
        <v>0</v>
      </c>
      <c r="V11" s="63">
        <v>0</v>
      </c>
      <c r="W11" s="63">
        <v>0</v>
      </c>
      <c r="X11" s="63">
        <v>0</v>
      </c>
      <c r="Y11" s="63">
        <v>0</v>
      </c>
      <c r="Z11" s="63">
        <v>0</v>
      </c>
      <c r="AA11" s="63">
        <v>0</v>
      </c>
      <c r="AB11" s="63">
        <v>0</v>
      </c>
      <c r="AC11" s="63">
        <v>0</v>
      </c>
      <c r="AD11" s="63">
        <v>0</v>
      </c>
      <c r="AE11" s="63">
        <v>1</v>
      </c>
      <c r="AF11" s="63">
        <v>0</v>
      </c>
      <c r="AG11" s="63">
        <v>0</v>
      </c>
      <c r="AH11" s="63">
        <v>0</v>
      </c>
      <c r="AI11" s="63">
        <v>0</v>
      </c>
      <c r="AJ11" s="63">
        <v>0</v>
      </c>
      <c r="AK11" s="63">
        <v>0</v>
      </c>
      <c r="AL11" s="63">
        <v>0</v>
      </c>
      <c r="AM11" s="63">
        <v>0</v>
      </c>
      <c r="AN11" s="63">
        <v>0</v>
      </c>
      <c r="AO11" s="63">
        <v>0</v>
      </c>
      <c r="AP11" s="63">
        <v>0</v>
      </c>
      <c r="AQ11" s="63">
        <v>0</v>
      </c>
      <c r="AR11" s="63">
        <v>0</v>
      </c>
      <c r="AS11" s="63">
        <v>0</v>
      </c>
      <c r="AT11" s="63">
        <v>0</v>
      </c>
      <c r="AU11" s="63">
        <v>1</v>
      </c>
      <c r="AV11" s="63">
        <v>0</v>
      </c>
      <c r="AW11" s="63">
        <v>0</v>
      </c>
      <c r="AX11" s="63">
        <v>0</v>
      </c>
      <c r="AY11" s="63">
        <v>0</v>
      </c>
      <c r="AZ11" s="63">
        <v>0</v>
      </c>
      <c r="BA11" s="63">
        <v>0</v>
      </c>
      <c r="BB11" s="63">
        <v>0</v>
      </c>
      <c r="BC11" s="63">
        <v>0</v>
      </c>
      <c r="BD11" s="63">
        <v>1</v>
      </c>
      <c r="BE11" s="63">
        <v>0</v>
      </c>
      <c r="BF11" s="63">
        <v>0</v>
      </c>
      <c r="BG11" s="63">
        <v>0</v>
      </c>
      <c r="BH11" s="63">
        <v>0</v>
      </c>
      <c r="BI11" s="63">
        <v>0</v>
      </c>
      <c r="BJ11" s="63">
        <v>0</v>
      </c>
      <c r="BK11" s="63">
        <v>0</v>
      </c>
      <c r="BL11" s="63">
        <v>0</v>
      </c>
      <c r="BM11" s="63">
        <v>0</v>
      </c>
      <c r="BN11" s="63">
        <v>0</v>
      </c>
      <c r="BO11" s="63">
        <v>0</v>
      </c>
      <c r="BP11" s="63">
        <v>0</v>
      </c>
      <c r="BQ11" s="63">
        <v>0</v>
      </c>
      <c r="BR11" s="63">
        <v>0</v>
      </c>
      <c r="BS11" s="63">
        <v>0</v>
      </c>
      <c r="BT11" s="63">
        <v>1</v>
      </c>
      <c r="BU11" s="63">
        <v>0</v>
      </c>
      <c r="BV11" s="63">
        <v>0</v>
      </c>
      <c r="BW11" s="63">
        <v>0</v>
      </c>
      <c r="BX11" s="63">
        <v>0</v>
      </c>
      <c r="BY11" s="63">
        <v>0</v>
      </c>
      <c r="BZ11" s="63">
        <v>0</v>
      </c>
      <c r="CA11" s="63">
        <v>0</v>
      </c>
      <c r="CB11" s="63">
        <v>0</v>
      </c>
      <c r="CC11" s="63">
        <v>0</v>
      </c>
      <c r="CD11" s="63">
        <v>0</v>
      </c>
      <c r="CE11" s="63">
        <v>0</v>
      </c>
      <c r="CF11" s="63">
        <v>0</v>
      </c>
      <c r="CG11" s="63">
        <v>0</v>
      </c>
      <c r="CH11" s="63">
        <v>0</v>
      </c>
      <c r="CI11" s="63">
        <v>0</v>
      </c>
      <c r="CJ11" s="63">
        <v>0</v>
      </c>
      <c r="CK11" s="63">
        <v>0</v>
      </c>
      <c r="CL11" s="63">
        <v>0</v>
      </c>
      <c r="CM11" s="63">
        <v>0</v>
      </c>
      <c r="CN11" s="63">
        <v>0</v>
      </c>
      <c r="CO11" s="63">
        <v>0</v>
      </c>
      <c r="CP11" s="63">
        <v>0</v>
      </c>
      <c r="CQ11" s="63">
        <v>0</v>
      </c>
      <c r="CR11" s="63">
        <v>0</v>
      </c>
      <c r="CS11" s="63">
        <v>0</v>
      </c>
      <c r="CT11" s="61">
        <f t="shared" si="0"/>
        <v>6</v>
      </c>
      <c r="CU11" s="61"/>
    </row>
    <row r="12" spans="1:99" ht="15.75" customHeight="1">
      <c r="A12" s="61" t="s">
        <v>394</v>
      </c>
      <c r="B12" s="63">
        <v>0</v>
      </c>
      <c r="C12" s="63">
        <v>0</v>
      </c>
      <c r="D12" s="63">
        <v>1</v>
      </c>
      <c r="E12" s="63">
        <v>0</v>
      </c>
      <c r="F12" s="63">
        <v>0</v>
      </c>
      <c r="G12" s="63">
        <v>0</v>
      </c>
      <c r="H12" s="63">
        <v>0</v>
      </c>
      <c r="I12" s="63">
        <v>0</v>
      </c>
      <c r="J12" s="63">
        <v>0</v>
      </c>
      <c r="K12" s="63">
        <v>0</v>
      </c>
      <c r="L12" s="63">
        <v>1</v>
      </c>
      <c r="M12" s="63">
        <v>0</v>
      </c>
      <c r="N12" s="63">
        <v>1</v>
      </c>
      <c r="O12" s="63">
        <v>0</v>
      </c>
      <c r="P12" s="63">
        <v>0</v>
      </c>
      <c r="Q12" s="63">
        <v>0</v>
      </c>
      <c r="R12" s="63">
        <v>0</v>
      </c>
      <c r="S12" s="63">
        <v>1</v>
      </c>
      <c r="T12" s="63">
        <v>0</v>
      </c>
      <c r="U12" s="63">
        <v>0</v>
      </c>
      <c r="V12" s="63">
        <v>0</v>
      </c>
      <c r="W12" s="63">
        <v>1</v>
      </c>
      <c r="X12" s="63">
        <v>0</v>
      </c>
      <c r="Y12" s="63">
        <v>0</v>
      </c>
      <c r="Z12" s="63">
        <v>0</v>
      </c>
      <c r="AA12" s="63">
        <v>0</v>
      </c>
      <c r="AB12" s="63">
        <v>0</v>
      </c>
      <c r="AC12" s="63">
        <v>0</v>
      </c>
      <c r="AD12" s="63">
        <v>0</v>
      </c>
      <c r="AE12" s="63">
        <v>0</v>
      </c>
      <c r="AF12" s="63">
        <v>0</v>
      </c>
      <c r="AG12" s="63">
        <v>0</v>
      </c>
      <c r="AH12" s="63">
        <v>1</v>
      </c>
      <c r="AI12" s="63">
        <v>0</v>
      </c>
      <c r="AJ12" s="63">
        <v>0</v>
      </c>
      <c r="AK12" s="63">
        <v>0</v>
      </c>
      <c r="AL12" s="63">
        <v>0</v>
      </c>
      <c r="AM12" s="63">
        <v>0</v>
      </c>
      <c r="AN12" s="63">
        <v>0</v>
      </c>
      <c r="AO12" s="63">
        <v>0</v>
      </c>
      <c r="AP12" s="63">
        <v>0</v>
      </c>
      <c r="AQ12" s="63">
        <v>0</v>
      </c>
      <c r="AR12" s="63">
        <v>0</v>
      </c>
      <c r="AS12" s="63">
        <v>0</v>
      </c>
      <c r="AT12" s="63">
        <v>0</v>
      </c>
      <c r="AU12" s="63">
        <v>1</v>
      </c>
      <c r="AV12" s="63">
        <v>0</v>
      </c>
      <c r="AW12" s="63">
        <v>0</v>
      </c>
      <c r="AX12" s="63">
        <v>1</v>
      </c>
      <c r="AY12" s="63">
        <v>0</v>
      </c>
      <c r="AZ12" s="63">
        <v>0</v>
      </c>
      <c r="BA12" s="63">
        <v>0</v>
      </c>
      <c r="BB12" s="63">
        <v>0</v>
      </c>
      <c r="BC12" s="63">
        <v>0</v>
      </c>
      <c r="BD12" s="63">
        <v>0</v>
      </c>
      <c r="BE12" s="63">
        <v>0</v>
      </c>
      <c r="BF12" s="63">
        <v>0</v>
      </c>
      <c r="BG12" s="63">
        <v>0</v>
      </c>
      <c r="BH12" s="63">
        <v>0</v>
      </c>
      <c r="BI12" s="63">
        <v>0</v>
      </c>
      <c r="BJ12" s="63">
        <v>0</v>
      </c>
      <c r="BK12" s="63">
        <v>0</v>
      </c>
      <c r="BL12" s="63">
        <v>1</v>
      </c>
      <c r="BM12" s="63">
        <v>0</v>
      </c>
      <c r="BN12" s="63">
        <v>0</v>
      </c>
      <c r="BO12" s="63">
        <v>0</v>
      </c>
      <c r="BP12" s="63">
        <v>0</v>
      </c>
      <c r="BQ12" s="63">
        <v>0</v>
      </c>
      <c r="BR12" s="63">
        <v>0</v>
      </c>
      <c r="BS12" s="63">
        <v>0</v>
      </c>
      <c r="BT12" s="63">
        <v>0</v>
      </c>
      <c r="BU12" s="63">
        <v>0</v>
      </c>
      <c r="BV12" s="63">
        <v>0</v>
      </c>
      <c r="BW12" s="63">
        <v>0</v>
      </c>
      <c r="BX12" s="63">
        <v>0</v>
      </c>
      <c r="BY12" s="63">
        <v>0</v>
      </c>
      <c r="BZ12" s="63">
        <v>0</v>
      </c>
      <c r="CA12" s="63">
        <v>0</v>
      </c>
      <c r="CB12" s="63">
        <v>0</v>
      </c>
      <c r="CC12" s="63">
        <v>0</v>
      </c>
      <c r="CD12" s="63">
        <v>0</v>
      </c>
      <c r="CE12" s="63">
        <v>0</v>
      </c>
      <c r="CF12" s="63">
        <v>0</v>
      </c>
      <c r="CG12" s="63">
        <v>0</v>
      </c>
      <c r="CH12" s="63">
        <v>0</v>
      </c>
      <c r="CI12" s="63">
        <v>0</v>
      </c>
      <c r="CJ12" s="63">
        <v>0</v>
      </c>
      <c r="CK12" s="63">
        <v>0</v>
      </c>
      <c r="CL12" s="63">
        <v>0</v>
      </c>
      <c r="CM12" s="63">
        <v>0</v>
      </c>
      <c r="CN12" s="63">
        <v>0</v>
      </c>
      <c r="CO12" s="63">
        <v>0</v>
      </c>
      <c r="CP12" s="63">
        <v>0</v>
      </c>
      <c r="CQ12" s="63">
        <v>0</v>
      </c>
      <c r="CR12" s="63">
        <v>0</v>
      </c>
      <c r="CS12" s="63">
        <v>0</v>
      </c>
      <c r="CT12" s="61">
        <f t="shared" si="0"/>
        <v>9</v>
      </c>
      <c r="CU12" s="61"/>
    </row>
    <row r="13" spans="1:99" ht="15.75" customHeight="1">
      <c r="A13" s="61" t="s">
        <v>338</v>
      </c>
      <c r="B13" s="63">
        <v>0</v>
      </c>
      <c r="C13" s="63">
        <v>0</v>
      </c>
      <c r="D13" s="63">
        <v>0</v>
      </c>
      <c r="E13" s="63">
        <v>0</v>
      </c>
      <c r="F13" s="63">
        <v>0</v>
      </c>
      <c r="G13" s="63">
        <v>0</v>
      </c>
      <c r="H13" s="63">
        <v>0</v>
      </c>
      <c r="I13" s="63">
        <v>0</v>
      </c>
      <c r="J13" s="63">
        <v>0</v>
      </c>
      <c r="K13" s="63">
        <v>0</v>
      </c>
      <c r="L13" s="63">
        <v>0</v>
      </c>
      <c r="M13" s="63">
        <v>1</v>
      </c>
      <c r="N13" s="63">
        <v>0</v>
      </c>
      <c r="O13" s="63">
        <v>0</v>
      </c>
      <c r="P13" s="63">
        <v>0</v>
      </c>
      <c r="Q13" s="63">
        <v>0</v>
      </c>
      <c r="R13" s="63">
        <v>0</v>
      </c>
      <c r="S13" s="63">
        <v>0</v>
      </c>
      <c r="T13" s="63">
        <v>0</v>
      </c>
      <c r="U13" s="63">
        <v>1</v>
      </c>
      <c r="V13" s="63">
        <v>0</v>
      </c>
      <c r="W13" s="63">
        <v>0</v>
      </c>
      <c r="X13" s="63">
        <v>0</v>
      </c>
      <c r="Y13" s="63">
        <v>0</v>
      </c>
      <c r="Z13" s="63">
        <v>0</v>
      </c>
      <c r="AA13" s="63">
        <v>0</v>
      </c>
      <c r="AB13" s="63">
        <v>0</v>
      </c>
      <c r="AC13" s="63">
        <v>0</v>
      </c>
      <c r="AD13" s="63">
        <v>0</v>
      </c>
      <c r="AE13" s="63">
        <v>0</v>
      </c>
      <c r="AF13" s="63">
        <v>0</v>
      </c>
      <c r="AG13" s="63">
        <v>0</v>
      </c>
      <c r="AH13" s="63">
        <v>0</v>
      </c>
      <c r="AI13" s="63">
        <v>0</v>
      </c>
      <c r="AJ13" s="63">
        <v>0</v>
      </c>
      <c r="AK13" s="63">
        <v>0</v>
      </c>
      <c r="AL13" s="63">
        <v>0</v>
      </c>
      <c r="AM13" s="63">
        <v>1</v>
      </c>
      <c r="AN13" s="63">
        <v>0</v>
      </c>
      <c r="AO13" s="63">
        <v>0</v>
      </c>
      <c r="AP13" s="63">
        <v>0</v>
      </c>
      <c r="AQ13" s="63">
        <v>0</v>
      </c>
      <c r="AR13" s="63">
        <v>0</v>
      </c>
      <c r="AS13" s="63">
        <v>0</v>
      </c>
      <c r="AT13" s="63">
        <v>0</v>
      </c>
      <c r="AU13" s="63">
        <v>0</v>
      </c>
      <c r="AV13" s="63">
        <v>0</v>
      </c>
      <c r="AW13" s="63">
        <v>0</v>
      </c>
      <c r="AX13" s="63">
        <v>0</v>
      </c>
      <c r="AY13" s="63">
        <v>0</v>
      </c>
      <c r="AZ13" s="63">
        <v>0</v>
      </c>
      <c r="BA13" s="63">
        <v>0</v>
      </c>
      <c r="BB13" s="63">
        <v>0</v>
      </c>
      <c r="BC13" s="63">
        <v>0</v>
      </c>
      <c r="BD13" s="63">
        <v>0</v>
      </c>
      <c r="BE13" s="63">
        <v>0</v>
      </c>
      <c r="BF13" s="63">
        <v>0</v>
      </c>
      <c r="BG13" s="63">
        <v>0</v>
      </c>
      <c r="BH13" s="63">
        <v>0</v>
      </c>
      <c r="BI13" s="63">
        <v>0</v>
      </c>
      <c r="BJ13" s="63">
        <v>1</v>
      </c>
      <c r="BK13" s="63">
        <v>0</v>
      </c>
      <c r="BL13" s="63">
        <v>0</v>
      </c>
      <c r="BM13" s="63">
        <v>0</v>
      </c>
      <c r="BN13" s="63">
        <v>0</v>
      </c>
      <c r="BO13" s="63">
        <v>0</v>
      </c>
      <c r="BP13" s="63">
        <v>0</v>
      </c>
      <c r="BQ13" s="63">
        <v>0</v>
      </c>
      <c r="BR13" s="63">
        <v>0</v>
      </c>
      <c r="BS13" s="63">
        <v>0</v>
      </c>
      <c r="BT13" s="63">
        <v>0</v>
      </c>
      <c r="BU13" s="63">
        <v>0</v>
      </c>
      <c r="BV13" s="63">
        <v>0</v>
      </c>
      <c r="BW13" s="63">
        <v>0</v>
      </c>
      <c r="BX13" s="63">
        <v>0</v>
      </c>
      <c r="BY13" s="63">
        <v>1</v>
      </c>
      <c r="BZ13" s="63">
        <v>1</v>
      </c>
      <c r="CA13" s="63">
        <v>1</v>
      </c>
      <c r="CB13" s="63">
        <v>0</v>
      </c>
      <c r="CC13" s="63">
        <v>0</v>
      </c>
      <c r="CD13" s="63">
        <v>0</v>
      </c>
      <c r="CE13" s="63">
        <v>0</v>
      </c>
      <c r="CF13" s="63">
        <v>0</v>
      </c>
      <c r="CG13" s="63">
        <v>0</v>
      </c>
      <c r="CH13" s="63">
        <v>0</v>
      </c>
      <c r="CI13" s="63">
        <v>0</v>
      </c>
      <c r="CJ13" s="63">
        <v>0</v>
      </c>
      <c r="CK13" s="63">
        <v>0</v>
      </c>
      <c r="CL13" s="63">
        <v>0</v>
      </c>
      <c r="CM13" s="63">
        <v>0</v>
      </c>
      <c r="CN13" s="63">
        <v>0</v>
      </c>
      <c r="CO13" s="63">
        <v>0</v>
      </c>
      <c r="CP13" s="63">
        <v>0</v>
      </c>
      <c r="CQ13" s="63">
        <v>0</v>
      </c>
      <c r="CR13" s="63">
        <v>0</v>
      </c>
      <c r="CS13" s="63">
        <v>0</v>
      </c>
      <c r="CT13" s="61">
        <f t="shared" si="0"/>
        <v>7</v>
      </c>
      <c r="CU13" s="61"/>
    </row>
    <row r="14" spans="1:99" ht="15.75" customHeight="1">
      <c r="A14" s="61" t="s">
        <v>391</v>
      </c>
      <c r="B14" s="63">
        <v>0</v>
      </c>
      <c r="C14" s="63">
        <v>0</v>
      </c>
      <c r="D14" s="63">
        <v>1</v>
      </c>
      <c r="E14" s="63">
        <v>0</v>
      </c>
      <c r="F14" s="63">
        <v>0</v>
      </c>
      <c r="G14" s="63">
        <v>0</v>
      </c>
      <c r="H14" s="63">
        <v>0</v>
      </c>
      <c r="I14" s="63">
        <v>0</v>
      </c>
      <c r="J14" s="63">
        <v>0</v>
      </c>
      <c r="K14" s="63">
        <v>0</v>
      </c>
      <c r="L14" s="63">
        <v>1</v>
      </c>
      <c r="M14" s="63">
        <v>0</v>
      </c>
      <c r="N14" s="63">
        <v>1</v>
      </c>
      <c r="O14" s="63">
        <v>0</v>
      </c>
      <c r="P14" s="63">
        <v>0</v>
      </c>
      <c r="Q14" s="63">
        <v>0</v>
      </c>
      <c r="R14" s="63">
        <v>1</v>
      </c>
      <c r="S14" s="63">
        <v>0</v>
      </c>
      <c r="T14" s="63">
        <v>1</v>
      </c>
      <c r="U14" s="63">
        <v>0</v>
      </c>
      <c r="V14" s="63">
        <v>1</v>
      </c>
      <c r="W14" s="63">
        <v>0</v>
      </c>
      <c r="X14" s="63">
        <v>0</v>
      </c>
      <c r="Y14" s="63">
        <v>0</v>
      </c>
      <c r="Z14" s="63">
        <v>0</v>
      </c>
      <c r="AA14" s="63">
        <v>0</v>
      </c>
      <c r="AB14" s="63">
        <v>0</v>
      </c>
      <c r="AC14" s="63">
        <v>0</v>
      </c>
      <c r="AD14" s="63">
        <v>0</v>
      </c>
      <c r="AE14" s="63">
        <v>0</v>
      </c>
      <c r="AF14" s="63">
        <v>0</v>
      </c>
      <c r="AG14" s="63">
        <v>0</v>
      </c>
      <c r="AH14" s="63">
        <v>1</v>
      </c>
      <c r="AI14" s="63">
        <v>0</v>
      </c>
      <c r="AJ14" s="63">
        <v>0</v>
      </c>
      <c r="AK14" s="63">
        <v>0</v>
      </c>
      <c r="AL14" s="63">
        <v>0</v>
      </c>
      <c r="AM14" s="63">
        <v>0</v>
      </c>
      <c r="AN14" s="63">
        <v>1</v>
      </c>
      <c r="AO14" s="63">
        <v>0</v>
      </c>
      <c r="AP14" s="63">
        <v>0</v>
      </c>
      <c r="AQ14" s="63">
        <v>0</v>
      </c>
      <c r="AR14" s="63">
        <v>0</v>
      </c>
      <c r="AS14" s="63">
        <v>0</v>
      </c>
      <c r="AT14" s="63">
        <v>1</v>
      </c>
      <c r="AU14" s="63">
        <v>0</v>
      </c>
      <c r="AV14" s="63">
        <v>0</v>
      </c>
      <c r="AW14" s="63">
        <v>0</v>
      </c>
      <c r="AX14" s="63">
        <v>0</v>
      </c>
      <c r="AY14" s="63">
        <v>0</v>
      </c>
      <c r="AZ14" s="63">
        <v>0</v>
      </c>
      <c r="BA14" s="63">
        <v>0</v>
      </c>
      <c r="BB14" s="63">
        <v>0</v>
      </c>
      <c r="BC14" s="63">
        <v>0</v>
      </c>
      <c r="BD14" s="63">
        <v>0</v>
      </c>
      <c r="BE14" s="63">
        <v>0</v>
      </c>
      <c r="BF14" s="63">
        <v>0</v>
      </c>
      <c r="BG14" s="63">
        <v>0</v>
      </c>
      <c r="BH14" s="63">
        <v>0</v>
      </c>
      <c r="BI14" s="63">
        <v>0</v>
      </c>
      <c r="BJ14" s="63">
        <v>0</v>
      </c>
      <c r="BK14" s="63">
        <v>0</v>
      </c>
      <c r="BL14" s="63">
        <v>0</v>
      </c>
      <c r="BM14" s="63">
        <v>0</v>
      </c>
      <c r="BN14" s="63">
        <v>0</v>
      </c>
      <c r="BO14" s="63">
        <v>0</v>
      </c>
      <c r="BP14" s="63">
        <v>1</v>
      </c>
      <c r="BQ14" s="63">
        <v>0</v>
      </c>
      <c r="BR14" s="63">
        <v>0</v>
      </c>
      <c r="BS14" s="63">
        <v>0</v>
      </c>
      <c r="BT14" s="63">
        <v>0</v>
      </c>
      <c r="BU14" s="63">
        <v>0</v>
      </c>
      <c r="BV14" s="63">
        <v>0</v>
      </c>
      <c r="BW14" s="63">
        <v>0</v>
      </c>
      <c r="BX14" s="63">
        <v>0</v>
      </c>
      <c r="BY14" s="63">
        <v>0</v>
      </c>
      <c r="BZ14" s="63">
        <v>0</v>
      </c>
      <c r="CA14" s="63">
        <v>0</v>
      </c>
      <c r="CB14" s="63">
        <v>0</v>
      </c>
      <c r="CC14" s="63">
        <v>0</v>
      </c>
      <c r="CD14" s="63">
        <v>0</v>
      </c>
      <c r="CE14" s="63">
        <v>0</v>
      </c>
      <c r="CF14" s="63">
        <v>0</v>
      </c>
      <c r="CG14" s="63">
        <v>0</v>
      </c>
      <c r="CH14" s="63">
        <v>0</v>
      </c>
      <c r="CI14" s="63">
        <v>0</v>
      </c>
      <c r="CJ14" s="63">
        <v>0</v>
      </c>
      <c r="CK14" s="63">
        <v>0</v>
      </c>
      <c r="CL14" s="63">
        <v>0</v>
      </c>
      <c r="CM14" s="63">
        <v>0</v>
      </c>
      <c r="CN14" s="63">
        <v>0</v>
      </c>
      <c r="CO14" s="63">
        <v>0</v>
      </c>
      <c r="CP14" s="63">
        <v>0</v>
      </c>
      <c r="CQ14" s="63">
        <v>0</v>
      </c>
      <c r="CR14" s="63">
        <v>0</v>
      </c>
      <c r="CS14" s="63">
        <v>0</v>
      </c>
      <c r="CT14" s="61">
        <f t="shared" si="0"/>
        <v>10</v>
      </c>
      <c r="CU14" s="61"/>
    </row>
    <row r="15" spans="1:99" ht="15.75" customHeight="1">
      <c r="A15" s="61" t="s">
        <v>321</v>
      </c>
      <c r="B15" s="63">
        <v>0</v>
      </c>
      <c r="C15" s="63">
        <v>0</v>
      </c>
      <c r="D15" s="63">
        <v>0</v>
      </c>
      <c r="E15" s="63">
        <v>0</v>
      </c>
      <c r="F15" s="63">
        <v>1</v>
      </c>
      <c r="G15" s="63">
        <v>1</v>
      </c>
      <c r="H15" s="63">
        <v>0</v>
      </c>
      <c r="I15" s="63">
        <v>0</v>
      </c>
      <c r="J15" s="63">
        <v>0</v>
      </c>
      <c r="K15" s="63">
        <v>0</v>
      </c>
      <c r="L15" s="63">
        <v>0</v>
      </c>
      <c r="M15" s="63">
        <v>0</v>
      </c>
      <c r="N15" s="63">
        <v>0</v>
      </c>
      <c r="O15" s="63">
        <v>1</v>
      </c>
      <c r="P15" s="63">
        <v>0</v>
      </c>
      <c r="Q15" s="63">
        <v>0</v>
      </c>
      <c r="R15" s="63">
        <v>0</v>
      </c>
      <c r="S15" s="63">
        <v>0</v>
      </c>
      <c r="T15" s="63">
        <v>0</v>
      </c>
      <c r="U15" s="63">
        <v>0</v>
      </c>
      <c r="V15" s="63">
        <v>0</v>
      </c>
      <c r="W15" s="63">
        <v>0</v>
      </c>
      <c r="X15" s="63">
        <v>0</v>
      </c>
      <c r="Y15" s="63">
        <v>1</v>
      </c>
      <c r="Z15" s="63">
        <v>0</v>
      </c>
      <c r="AA15" s="63">
        <v>0</v>
      </c>
      <c r="AB15" s="63">
        <v>0</v>
      </c>
      <c r="AC15" s="63">
        <v>0</v>
      </c>
      <c r="AD15" s="63">
        <v>0</v>
      </c>
      <c r="AE15" s="63">
        <v>1</v>
      </c>
      <c r="AF15" s="63">
        <v>0</v>
      </c>
      <c r="AG15" s="63">
        <v>0</v>
      </c>
      <c r="AH15" s="63">
        <v>0</v>
      </c>
      <c r="AI15" s="63">
        <v>0</v>
      </c>
      <c r="AJ15" s="63">
        <v>0</v>
      </c>
      <c r="AK15" s="63">
        <v>0</v>
      </c>
      <c r="AL15" s="63">
        <v>0</v>
      </c>
      <c r="AM15" s="63">
        <v>0</v>
      </c>
      <c r="AN15" s="63">
        <v>0</v>
      </c>
      <c r="AO15" s="63">
        <v>0</v>
      </c>
      <c r="AP15" s="63">
        <v>0</v>
      </c>
      <c r="AQ15" s="63">
        <v>0</v>
      </c>
      <c r="AR15" s="63">
        <v>0</v>
      </c>
      <c r="AS15" s="63">
        <v>0</v>
      </c>
      <c r="AT15" s="63">
        <v>0</v>
      </c>
      <c r="AU15" s="63">
        <v>0</v>
      </c>
      <c r="AV15" s="63">
        <v>1</v>
      </c>
      <c r="AW15" s="63">
        <v>0</v>
      </c>
      <c r="AX15" s="63">
        <v>0</v>
      </c>
      <c r="AY15" s="63">
        <v>0</v>
      </c>
      <c r="AZ15" s="63">
        <v>0</v>
      </c>
      <c r="BA15" s="63">
        <v>0</v>
      </c>
      <c r="BB15" s="63">
        <v>0</v>
      </c>
      <c r="BC15" s="63">
        <v>0</v>
      </c>
      <c r="BD15" s="63">
        <v>0</v>
      </c>
      <c r="BE15" s="63">
        <v>0</v>
      </c>
      <c r="BF15" s="63">
        <v>0</v>
      </c>
      <c r="BG15" s="63">
        <v>0</v>
      </c>
      <c r="BH15" s="63">
        <v>0</v>
      </c>
      <c r="BI15" s="63">
        <v>1</v>
      </c>
      <c r="BJ15" s="63">
        <v>0</v>
      </c>
      <c r="BK15" s="63">
        <v>0</v>
      </c>
      <c r="BL15" s="63">
        <v>0</v>
      </c>
      <c r="BM15" s="63">
        <v>0</v>
      </c>
      <c r="BN15" s="63">
        <v>0</v>
      </c>
      <c r="BO15" s="63">
        <v>0</v>
      </c>
      <c r="BP15" s="63">
        <v>0</v>
      </c>
      <c r="BQ15" s="63">
        <v>0</v>
      </c>
      <c r="BR15" s="63">
        <v>0</v>
      </c>
      <c r="BS15" s="63">
        <v>0</v>
      </c>
      <c r="BT15" s="63">
        <v>0</v>
      </c>
      <c r="BU15" s="63">
        <v>0</v>
      </c>
      <c r="BV15" s="63">
        <v>0</v>
      </c>
      <c r="BW15" s="63">
        <v>0</v>
      </c>
      <c r="BX15" s="63">
        <v>0</v>
      </c>
      <c r="BY15" s="63">
        <v>0</v>
      </c>
      <c r="BZ15" s="63">
        <v>0</v>
      </c>
      <c r="CA15" s="63">
        <v>0</v>
      </c>
      <c r="CB15" s="63">
        <v>0</v>
      </c>
      <c r="CC15" s="63">
        <v>0</v>
      </c>
      <c r="CD15" s="63">
        <v>0</v>
      </c>
      <c r="CE15" s="63">
        <v>0</v>
      </c>
      <c r="CF15" s="63">
        <v>0</v>
      </c>
      <c r="CG15" s="63">
        <v>0</v>
      </c>
      <c r="CH15" s="63">
        <v>0</v>
      </c>
      <c r="CI15" s="63">
        <v>0</v>
      </c>
      <c r="CJ15" s="63">
        <v>0</v>
      </c>
      <c r="CK15" s="63">
        <v>0</v>
      </c>
      <c r="CL15" s="63">
        <v>0</v>
      </c>
      <c r="CM15" s="63">
        <v>0</v>
      </c>
      <c r="CN15" s="63">
        <v>0</v>
      </c>
      <c r="CO15" s="63">
        <v>0</v>
      </c>
      <c r="CP15" s="63">
        <v>0</v>
      </c>
      <c r="CQ15" s="63">
        <v>0</v>
      </c>
      <c r="CR15" s="63">
        <v>0</v>
      </c>
      <c r="CS15" s="63">
        <v>0</v>
      </c>
      <c r="CT15" s="61">
        <f t="shared" si="0"/>
        <v>7</v>
      </c>
      <c r="CU15" s="61"/>
    </row>
    <row r="16" spans="1:99" ht="15.75" customHeight="1">
      <c r="A16" s="61" t="s">
        <v>389</v>
      </c>
      <c r="B16" s="63">
        <v>0</v>
      </c>
      <c r="C16" s="63">
        <v>0</v>
      </c>
      <c r="D16" s="63">
        <v>0</v>
      </c>
      <c r="E16" s="63">
        <v>0</v>
      </c>
      <c r="F16" s="63">
        <v>0</v>
      </c>
      <c r="G16" s="63">
        <v>0</v>
      </c>
      <c r="H16" s="63">
        <v>0</v>
      </c>
      <c r="I16" s="63">
        <v>0</v>
      </c>
      <c r="J16" s="63">
        <v>0</v>
      </c>
      <c r="K16" s="63">
        <v>0</v>
      </c>
      <c r="L16" s="63">
        <v>0</v>
      </c>
      <c r="M16" s="63">
        <v>0</v>
      </c>
      <c r="N16" s="63">
        <v>0</v>
      </c>
      <c r="O16" s="63">
        <v>0</v>
      </c>
      <c r="P16" s="63">
        <v>1</v>
      </c>
      <c r="Q16" s="63">
        <v>0</v>
      </c>
      <c r="R16" s="63">
        <v>0</v>
      </c>
      <c r="S16" s="63">
        <v>0</v>
      </c>
      <c r="T16" s="63">
        <v>0</v>
      </c>
      <c r="U16" s="63">
        <v>0</v>
      </c>
      <c r="V16" s="63">
        <v>0</v>
      </c>
      <c r="W16" s="63">
        <v>0</v>
      </c>
      <c r="X16" s="63">
        <v>0</v>
      </c>
      <c r="Y16" s="63">
        <v>0</v>
      </c>
      <c r="Z16" s="63">
        <v>1</v>
      </c>
      <c r="AA16" s="63">
        <v>1</v>
      </c>
      <c r="AB16" s="63">
        <v>0</v>
      </c>
      <c r="AC16" s="63">
        <v>0</v>
      </c>
      <c r="AD16" s="63">
        <v>0</v>
      </c>
      <c r="AE16" s="63">
        <v>0</v>
      </c>
      <c r="AF16" s="63">
        <v>0</v>
      </c>
      <c r="AG16" s="63">
        <v>0</v>
      </c>
      <c r="AH16" s="63">
        <v>0</v>
      </c>
      <c r="AI16" s="63">
        <v>0</v>
      </c>
      <c r="AJ16" s="63">
        <v>1</v>
      </c>
      <c r="AK16" s="63">
        <v>0</v>
      </c>
      <c r="AL16" s="63">
        <v>0</v>
      </c>
      <c r="AM16" s="63">
        <v>0</v>
      </c>
      <c r="AN16" s="63">
        <v>0</v>
      </c>
      <c r="AO16" s="63">
        <v>0</v>
      </c>
      <c r="AP16" s="63">
        <v>0</v>
      </c>
      <c r="AQ16" s="63">
        <v>0</v>
      </c>
      <c r="AR16" s="63">
        <v>0</v>
      </c>
      <c r="AS16" s="63">
        <v>0</v>
      </c>
      <c r="AT16" s="63">
        <v>0</v>
      </c>
      <c r="AU16" s="63">
        <v>0</v>
      </c>
      <c r="AV16" s="63">
        <v>0</v>
      </c>
      <c r="AW16" s="63">
        <v>0</v>
      </c>
      <c r="AX16" s="63">
        <v>0</v>
      </c>
      <c r="AY16" s="63">
        <v>0</v>
      </c>
      <c r="AZ16" s="63">
        <v>0</v>
      </c>
      <c r="BA16" s="63">
        <v>0</v>
      </c>
      <c r="BB16" s="63">
        <v>0</v>
      </c>
      <c r="BC16" s="63">
        <v>0</v>
      </c>
      <c r="BD16" s="63">
        <v>0</v>
      </c>
      <c r="BE16" s="63">
        <v>0</v>
      </c>
      <c r="BF16" s="63">
        <v>0</v>
      </c>
      <c r="BG16" s="63">
        <v>0</v>
      </c>
      <c r="BH16" s="63">
        <v>0</v>
      </c>
      <c r="BI16" s="63">
        <v>0</v>
      </c>
      <c r="BJ16" s="63">
        <v>0</v>
      </c>
      <c r="BK16" s="63">
        <v>0</v>
      </c>
      <c r="BL16" s="63">
        <v>0</v>
      </c>
      <c r="BM16" s="63">
        <v>0</v>
      </c>
      <c r="BN16" s="63">
        <v>0</v>
      </c>
      <c r="BO16" s="63">
        <v>0</v>
      </c>
      <c r="BP16" s="63">
        <v>0</v>
      </c>
      <c r="BQ16" s="63">
        <v>0</v>
      </c>
      <c r="BR16" s="63">
        <v>0</v>
      </c>
      <c r="BS16" s="63">
        <v>0</v>
      </c>
      <c r="BT16" s="63">
        <v>0</v>
      </c>
      <c r="BU16" s="63">
        <v>0</v>
      </c>
      <c r="BV16" s="63">
        <v>0</v>
      </c>
      <c r="BW16" s="63">
        <v>0</v>
      </c>
      <c r="BX16" s="63">
        <v>0</v>
      </c>
      <c r="BY16" s="63">
        <v>0</v>
      </c>
      <c r="BZ16" s="63">
        <v>0</v>
      </c>
      <c r="CA16" s="63">
        <v>0</v>
      </c>
      <c r="CB16" s="63">
        <v>0</v>
      </c>
      <c r="CC16" s="63">
        <v>0</v>
      </c>
      <c r="CD16" s="63">
        <v>0</v>
      </c>
      <c r="CE16" s="63">
        <v>0</v>
      </c>
      <c r="CF16" s="63">
        <v>1</v>
      </c>
      <c r="CG16" s="63">
        <v>0</v>
      </c>
      <c r="CH16" s="63">
        <v>0</v>
      </c>
      <c r="CI16" s="63">
        <v>0</v>
      </c>
      <c r="CJ16" s="63">
        <v>0</v>
      </c>
      <c r="CK16" s="63">
        <v>0</v>
      </c>
      <c r="CL16" s="63">
        <v>0</v>
      </c>
      <c r="CM16" s="63">
        <v>0</v>
      </c>
      <c r="CN16" s="63">
        <v>0</v>
      </c>
      <c r="CO16" s="63">
        <v>0</v>
      </c>
      <c r="CP16" s="63">
        <v>0</v>
      </c>
      <c r="CQ16" s="63">
        <v>0</v>
      </c>
      <c r="CR16" s="63">
        <v>0</v>
      </c>
      <c r="CS16" s="63">
        <v>0</v>
      </c>
      <c r="CT16" s="61">
        <f t="shared" si="0"/>
        <v>5</v>
      </c>
      <c r="CU16" s="61"/>
    </row>
    <row r="17" spans="1:99" ht="15.75" customHeight="1">
      <c r="A17" s="61" t="s">
        <v>340</v>
      </c>
      <c r="B17" s="63">
        <v>0</v>
      </c>
      <c r="C17" s="63">
        <v>0</v>
      </c>
      <c r="D17" s="63">
        <v>0</v>
      </c>
      <c r="E17" s="63">
        <v>0</v>
      </c>
      <c r="F17" s="63">
        <v>0</v>
      </c>
      <c r="G17" s="63">
        <v>0</v>
      </c>
      <c r="H17" s="63">
        <v>0</v>
      </c>
      <c r="I17" s="63">
        <v>0</v>
      </c>
      <c r="J17" s="63">
        <v>0</v>
      </c>
      <c r="K17" s="63">
        <v>0</v>
      </c>
      <c r="L17" s="63">
        <v>0</v>
      </c>
      <c r="M17" s="63">
        <v>0</v>
      </c>
      <c r="N17" s="63">
        <v>0</v>
      </c>
      <c r="O17" s="63">
        <v>0</v>
      </c>
      <c r="P17" s="63">
        <v>0</v>
      </c>
      <c r="Q17" s="63">
        <v>1</v>
      </c>
      <c r="R17" s="63">
        <v>0</v>
      </c>
      <c r="S17" s="63">
        <v>0</v>
      </c>
      <c r="T17" s="63">
        <v>0</v>
      </c>
      <c r="U17" s="63">
        <v>0</v>
      </c>
      <c r="V17" s="63">
        <v>0</v>
      </c>
      <c r="W17" s="63">
        <v>0</v>
      </c>
      <c r="X17" s="63">
        <v>0</v>
      </c>
      <c r="Y17" s="63">
        <v>0</v>
      </c>
      <c r="Z17" s="63">
        <v>0</v>
      </c>
      <c r="AA17" s="63">
        <v>0</v>
      </c>
      <c r="AB17" s="63">
        <v>0</v>
      </c>
      <c r="AC17" s="63">
        <v>0</v>
      </c>
      <c r="AD17" s="63">
        <v>0</v>
      </c>
      <c r="AE17" s="63">
        <v>0</v>
      </c>
      <c r="AF17" s="63">
        <v>0</v>
      </c>
      <c r="AG17" s="63">
        <v>0</v>
      </c>
      <c r="AH17" s="63">
        <v>0</v>
      </c>
      <c r="AI17" s="63">
        <v>0</v>
      </c>
      <c r="AJ17" s="63">
        <v>0</v>
      </c>
      <c r="AK17" s="63">
        <v>0</v>
      </c>
      <c r="AL17" s="63">
        <v>0</v>
      </c>
      <c r="AM17" s="63">
        <v>0</v>
      </c>
      <c r="AN17" s="63">
        <v>0</v>
      </c>
      <c r="AO17" s="63">
        <v>0</v>
      </c>
      <c r="AP17" s="63">
        <v>0</v>
      </c>
      <c r="AQ17" s="63">
        <v>0</v>
      </c>
      <c r="AR17" s="63">
        <v>0</v>
      </c>
      <c r="AS17" s="63">
        <v>0</v>
      </c>
      <c r="AT17" s="63">
        <v>0</v>
      </c>
      <c r="AU17" s="63">
        <v>0</v>
      </c>
      <c r="AV17" s="63">
        <v>0</v>
      </c>
      <c r="AW17" s="63">
        <v>0</v>
      </c>
      <c r="AX17" s="63">
        <v>0</v>
      </c>
      <c r="AY17" s="63">
        <v>0</v>
      </c>
      <c r="AZ17" s="63">
        <v>0</v>
      </c>
      <c r="BA17" s="63">
        <v>0</v>
      </c>
      <c r="BB17" s="63">
        <v>0</v>
      </c>
      <c r="BC17" s="63">
        <v>0</v>
      </c>
      <c r="BD17" s="63">
        <v>0</v>
      </c>
      <c r="BE17" s="63">
        <v>0</v>
      </c>
      <c r="BF17" s="63">
        <v>1</v>
      </c>
      <c r="BG17" s="63">
        <v>0</v>
      </c>
      <c r="BH17" s="63">
        <v>0</v>
      </c>
      <c r="BI17" s="63">
        <v>0</v>
      </c>
      <c r="BJ17" s="63">
        <v>0</v>
      </c>
      <c r="BK17" s="63">
        <v>0</v>
      </c>
      <c r="BL17" s="63">
        <v>0</v>
      </c>
      <c r="BM17" s="63">
        <v>0</v>
      </c>
      <c r="BN17" s="63">
        <v>0</v>
      </c>
      <c r="BO17" s="63">
        <v>0</v>
      </c>
      <c r="BP17" s="63">
        <v>0</v>
      </c>
      <c r="BQ17" s="63">
        <v>0</v>
      </c>
      <c r="BR17" s="63">
        <v>1</v>
      </c>
      <c r="BS17" s="63">
        <v>0</v>
      </c>
      <c r="BT17" s="63">
        <v>0</v>
      </c>
      <c r="BU17" s="63">
        <v>0</v>
      </c>
      <c r="BV17" s="63">
        <v>0</v>
      </c>
      <c r="BW17" s="63">
        <v>0</v>
      </c>
      <c r="BX17" s="63">
        <v>0</v>
      </c>
      <c r="BY17" s="63">
        <v>0</v>
      </c>
      <c r="BZ17" s="63">
        <v>0</v>
      </c>
      <c r="CA17" s="63">
        <v>0</v>
      </c>
      <c r="CB17" s="63">
        <v>0</v>
      </c>
      <c r="CC17" s="63">
        <v>0</v>
      </c>
      <c r="CD17" s="63">
        <v>0</v>
      </c>
      <c r="CE17" s="63">
        <v>0</v>
      </c>
      <c r="CF17" s="63">
        <v>0</v>
      </c>
      <c r="CG17" s="63">
        <v>0</v>
      </c>
      <c r="CH17" s="63">
        <v>0</v>
      </c>
      <c r="CI17" s="63">
        <v>0</v>
      </c>
      <c r="CJ17" s="63">
        <v>0</v>
      </c>
      <c r="CK17" s="63">
        <v>0</v>
      </c>
      <c r="CL17" s="63">
        <v>0</v>
      </c>
      <c r="CM17" s="63">
        <v>0</v>
      </c>
      <c r="CN17" s="63">
        <v>0</v>
      </c>
      <c r="CO17" s="63">
        <v>0</v>
      </c>
      <c r="CP17" s="63">
        <v>0</v>
      </c>
      <c r="CQ17" s="63">
        <v>0</v>
      </c>
      <c r="CR17" s="63">
        <v>0</v>
      </c>
      <c r="CS17" s="63">
        <v>0</v>
      </c>
      <c r="CT17" s="61">
        <f t="shared" si="0"/>
        <v>3</v>
      </c>
      <c r="CU17" s="61"/>
    </row>
    <row r="18" spans="1:99" ht="15.75" customHeight="1">
      <c r="A18" s="61" t="s">
        <v>393</v>
      </c>
      <c r="B18" s="63">
        <v>0</v>
      </c>
      <c r="C18" s="63">
        <v>0</v>
      </c>
      <c r="D18" s="63">
        <v>0</v>
      </c>
      <c r="E18" s="63">
        <v>0</v>
      </c>
      <c r="F18" s="63">
        <v>0</v>
      </c>
      <c r="G18" s="63">
        <v>0</v>
      </c>
      <c r="H18" s="63">
        <v>0</v>
      </c>
      <c r="I18" s="63">
        <v>0</v>
      </c>
      <c r="J18" s="63">
        <v>0</v>
      </c>
      <c r="K18" s="63">
        <v>0</v>
      </c>
      <c r="L18" s="63">
        <v>0</v>
      </c>
      <c r="M18" s="63">
        <v>0</v>
      </c>
      <c r="N18" s="63">
        <v>1</v>
      </c>
      <c r="O18" s="63">
        <v>0</v>
      </c>
      <c r="P18" s="63">
        <v>0</v>
      </c>
      <c r="Q18" s="63">
        <v>0</v>
      </c>
      <c r="R18" s="63">
        <v>1</v>
      </c>
      <c r="S18" s="63">
        <v>0</v>
      </c>
      <c r="T18" s="63">
        <v>0</v>
      </c>
      <c r="U18" s="63">
        <v>0</v>
      </c>
      <c r="V18" s="63">
        <v>0</v>
      </c>
      <c r="W18" s="63">
        <v>0</v>
      </c>
      <c r="X18" s="63">
        <v>0</v>
      </c>
      <c r="Y18" s="63">
        <v>0</v>
      </c>
      <c r="Z18" s="63">
        <v>0</v>
      </c>
      <c r="AA18" s="63">
        <v>0</v>
      </c>
      <c r="AB18" s="63">
        <v>0</v>
      </c>
      <c r="AC18" s="63">
        <v>1</v>
      </c>
      <c r="AD18" s="63">
        <v>0</v>
      </c>
      <c r="AE18" s="63">
        <v>0</v>
      </c>
      <c r="AF18" s="63">
        <v>0</v>
      </c>
      <c r="AG18" s="63">
        <v>0</v>
      </c>
      <c r="AH18" s="63">
        <v>1</v>
      </c>
      <c r="AI18" s="63">
        <v>0</v>
      </c>
      <c r="AJ18" s="63">
        <v>0</v>
      </c>
      <c r="AK18" s="63">
        <v>0</v>
      </c>
      <c r="AL18" s="63">
        <v>0</v>
      </c>
      <c r="AM18" s="63">
        <v>0</v>
      </c>
      <c r="AN18" s="63">
        <v>1</v>
      </c>
      <c r="AO18" s="63">
        <v>0</v>
      </c>
      <c r="AP18" s="63">
        <v>0</v>
      </c>
      <c r="AQ18" s="63">
        <v>0</v>
      </c>
      <c r="AR18" s="63">
        <v>0</v>
      </c>
      <c r="AS18" s="63">
        <v>1</v>
      </c>
      <c r="AT18" s="63">
        <v>0</v>
      </c>
      <c r="AU18" s="63">
        <v>0</v>
      </c>
      <c r="AV18" s="63">
        <v>0</v>
      </c>
      <c r="AW18" s="63">
        <v>0</v>
      </c>
      <c r="AX18" s="63">
        <v>0</v>
      </c>
      <c r="AY18" s="63">
        <v>0</v>
      </c>
      <c r="AZ18" s="63">
        <v>0</v>
      </c>
      <c r="BA18" s="63">
        <v>0</v>
      </c>
      <c r="BB18" s="63">
        <v>0</v>
      </c>
      <c r="BC18" s="63">
        <v>0</v>
      </c>
      <c r="BD18" s="63">
        <v>0</v>
      </c>
      <c r="BE18" s="63">
        <v>0</v>
      </c>
      <c r="BF18" s="63">
        <v>0</v>
      </c>
      <c r="BG18" s="63">
        <v>0</v>
      </c>
      <c r="BH18" s="63">
        <v>0</v>
      </c>
      <c r="BI18" s="63">
        <v>0</v>
      </c>
      <c r="BJ18" s="63">
        <v>0</v>
      </c>
      <c r="BK18" s="63">
        <v>0</v>
      </c>
      <c r="BL18" s="63">
        <v>0</v>
      </c>
      <c r="BM18" s="63">
        <v>0</v>
      </c>
      <c r="BN18" s="63">
        <v>0</v>
      </c>
      <c r="BO18" s="63">
        <v>0</v>
      </c>
      <c r="BP18" s="63">
        <v>0</v>
      </c>
      <c r="BQ18" s="63">
        <v>0</v>
      </c>
      <c r="BR18" s="63">
        <v>0</v>
      </c>
      <c r="BS18" s="63">
        <v>0</v>
      </c>
      <c r="BT18" s="63">
        <v>0</v>
      </c>
      <c r="BU18" s="63">
        <v>0</v>
      </c>
      <c r="BV18" s="63">
        <v>0</v>
      </c>
      <c r="BW18" s="63">
        <v>0</v>
      </c>
      <c r="BX18" s="63">
        <v>0</v>
      </c>
      <c r="BY18" s="63">
        <v>0</v>
      </c>
      <c r="BZ18" s="63">
        <v>0</v>
      </c>
      <c r="CA18" s="63">
        <v>0</v>
      </c>
      <c r="CB18" s="63">
        <v>0</v>
      </c>
      <c r="CC18" s="63">
        <v>0</v>
      </c>
      <c r="CD18" s="63">
        <v>0</v>
      </c>
      <c r="CE18" s="63">
        <v>0</v>
      </c>
      <c r="CF18" s="63">
        <v>0</v>
      </c>
      <c r="CG18" s="63">
        <v>0</v>
      </c>
      <c r="CH18" s="63">
        <v>0</v>
      </c>
      <c r="CI18" s="63">
        <v>0</v>
      </c>
      <c r="CJ18" s="63">
        <v>0</v>
      </c>
      <c r="CK18" s="63">
        <v>0</v>
      </c>
      <c r="CL18" s="63">
        <v>0</v>
      </c>
      <c r="CM18" s="63">
        <v>0</v>
      </c>
      <c r="CN18" s="63">
        <v>0</v>
      </c>
      <c r="CO18" s="63">
        <v>0</v>
      </c>
      <c r="CP18" s="63">
        <v>0</v>
      </c>
      <c r="CQ18" s="63">
        <v>0</v>
      </c>
      <c r="CR18" s="63">
        <v>0</v>
      </c>
      <c r="CS18" s="63">
        <v>0</v>
      </c>
      <c r="CT18" s="61">
        <f t="shared" si="0"/>
        <v>6</v>
      </c>
      <c r="CU18" s="61"/>
    </row>
    <row r="19" spans="1:99" ht="15.75" customHeight="1">
      <c r="A19" s="61" t="s">
        <v>353</v>
      </c>
      <c r="B19" s="63">
        <v>0</v>
      </c>
      <c r="C19" s="63">
        <v>1</v>
      </c>
      <c r="D19" s="63">
        <v>1</v>
      </c>
      <c r="E19" s="63">
        <v>0</v>
      </c>
      <c r="F19" s="63">
        <v>0</v>
      </c>
      <c r="G19" s="63">
        <v>0</v>
      </c>
      <c r="H19" s="63">
        <v>0</v>
      </c>
      <c r="I19" s="63">
        <v>0</v>
      </c>
      <c r="J19" s="63">
        <v>0</v>
      </c>
      <c r="K19" s="63">
        <v>0</v>
      </c>
      <c r="L19" s="63">
        <v>1</v>
      </c>
      <c r="M19" s="63">
        <v>0</v>
      </c>
      <c r="N19" s="63">
        <v>0</v>
      </c>
      <c r="O19" s="63">
        <v>0</v>
      </c>
      <c r="P19" s="63">
        <v>0</v>
      </c>
      <c r="Q19" s="63">
        <v>0</v>
      </c>
      <c r="R19" s="63">
        <v>0</v>
      </c>
      <c r="S19" s="63">
        <v>1</v>
      </c>
      <c r="T19" s="63">
        <v>0</v>
      </c>
      <c r="U19" s="63">
        <v>0</v>
      </c>
      <c r="V19" s="63">
        <v>0</v>
      </c>
      <c r="W19" s="63">
        <v>0</v>
      </c>
      <c r="X19" s="63">
        <v>0</v>
      </c>
      <c r="Y19" s="63">
        <v>0</v>
      </c>
      <c r="Z19" s="63">
        <v>0</v>
      </c>
      <c r="AA19" s="63">
        <v>0</v>
      </c>
      <c r="AB19" s="63">
        <v>0</v>
      </c>
      <c r="AC19" s="63">
        <v>0</v>
      </c>
      <c r="AD19" s="63">
        <v>0</v>
      </c>
      <c r="AE19" s="63">
        <v>0</v>
      </c>
      <c r="AF19" s="63">
        <v>0</v>
      </c>
      <c r="AG19" s="63">
        <v>0</v>
      </c>
      <c r="AH19" s="63">
        <v>0</v>
      </c>
      <c r="AI19" s="63">
        <v>0</v>
      </c>
      <c r="AJ19" s="63">
        <v>0</v>
      </c>
      <c r="AK19" s="63">
        <v>0</v>
      </c>
      <c r="AL19" s="63">
        <v>0</v>
      </c>
      <c r="AM19" s="63">
        <v>0</v>
      </c>
      <c r="AN19" s="63">
        <v>0</v>
      </c>
      <c r="AO19" s="63">
        <v>0</v>
      </c>
      <c r="AP19" s="63">
        <v>0</v>
      </c>
      <c r="AQ19" s="63">
        <v>0</v>
      </c>
      <c r="AR19" s="63">
        <v>0</v>
      </c>
      <c r="AS19" s="63">
        <v>0</v>
      </c>
      <c r="AT19" s="63">
        <v>0</v>
      </c>
      <c r="AU19" s="63">
        <v>0</v>
      </c>
      <c r="AV19" s="63">
        <v>0</v>
      </c>
      <c r="AW19" s="63">
        <v>0</v>
      </c>
      <c r="AX19" s="63">
        <v>1</v>
      </c>
      <c r="AY19" s="63">
        <v>0</v>
      </c>
      <c r="AZ19" s="63">
        <v>0</v>
      </c>
      <c r="BA19" s="63">
        <v>0</v>
      </c>
      <c r="BB19" s="63">
        <v>0</v>
      </c>
      <c r="BC19" s="63">
        <v>0</v>
      </c>
      <c r="BD19" s="63">
        <v>0</v>
      </c>
      <c r="BE19" s="63">
        <v>0</v>
      </c>
      <c r="BF19" s="63">
        <v>0</v>
      </c>
      <c r="BG19" s="63">
        <v>0</v>
      </c>
      <c r="BH19" s="63">
        <v>0</v>
      </c>
      <c r="BI19" s="63">
        <v>0</v>
      </c>
      <c r="BJ19" s="63">
        <v>0</v>
      </c>
      <c r="BK19" s="63">
        <v>0</v>
      </c>
      <c r="BL19" s="63">
        <v>0</v>
      </c>
      <c r="BM19" s="63">
        <v>0</v>
      </c>
      <c r="BN19" s="63">
        <v>0</v>
      </c>
      <c r="BO19" s="63">
        <v>0</v>
      </c>
      <c r="BP19" s="63">
        <v>0</v>
      </c>
      <c r="BQ19" s="63">
        <v>0</v>
      </c>
      <c r="BR19" s="63">
        <v>0</v>
      </c>
      <c r="BS19" s="63">
        <v>0</v>
      </c>
      <c r="BT19" s="63">
        <v>0</v>
      </c>
      <c r="BU19" s="63">
        <v>0</v>
      </c>
      <c r="BV19" s="63">
        <v>0</v>
      </c>
      <c r="BW19" s="63">
        <v>0</v>
      </c>
      <c r="BX19" s="63">
        <v>0</v>
      </c>
      <c r="BY19" s="63">
        <v>0</v>
      </c>
      <c r="BZ19" s="63">
        <v>0</v>
      </c>
      <c r="CA19" s="63">
        <v>0</v>
      </c>
      <c r="CB19" s="63">
        <v>0</v>
      </c>
      <c r="CC19" s="63">
        <v>0</v>
      </c>
      <c r="CD19" s="63">
        <v>0</v>
      </c>
      <c r="CE19" s="63">
        <v>0</v>
      </c>
      <c r="CF19" s="63">
        <v>0</v>
      </c>
      <c r="CG19" s="63">
        <v>0</v>
      </c>
      <c r="CH19" s="63">
        <v>0</v>
      </c>
      <c r="CI19" s="63">
        <v>0</v>
      </c>
      <c r="CJ19" s="63">
        <v>0</v>
      </c>
      <c r="CK19" s="63">
        <v>0</v>
      </c>
      <c r="CL19" s="63">
        <v>0</v>
      </c>
      <c r="CM19" s="63">
        <v>0</v>
      </c>
      <c r="CN19" s="63">
        <v>0</v>
      </c>
      <c r="CO19" s="63">
        <v>0</v>
      </c>
      <c r="CP19" s="63">
        <v>0</v>
      </c>
      <c r="CQ19" s="63">
        <v>0</v>
      </c>
      <c r="CR19" s="63">
        <v>0</v>
      </c>
      <c r="CS19" s="63">
        <v>0</v>
      </c>
      <c r="CT19" s="61">
        <f t="shared" si="0"/>
        <v>5</v>
      </c>
      <c r="CU19" s="61"/>
    </row>
    <row r="20" spans="1:99" ht="15.75" customHeight="1">
      <c r="A20" s="61" t="s">
        <v>384</v>
      </c>
      <c r="B20" s="63">
        <v>0</v>
      </c>
      <c r="C20" s="63">
        <v>0</v>
      </c>
      <c r="D20" s="63">
        <v>0</v>
      </c>
      <c r="E20" s="63">
        <v>0</v>
      </c>
      <c r="F20" s="63">
        <v>0</v>
      </c>
      <c r="G20" s="63">
        <v>0</v>
      </c>
      <c r="H20" s="63">
        <v>0</v>
      </c>
      <c r="I20" s="63">
        <v>0</v>
      </c>
      <c r="J20" s="63">
        <v>0</v>
      </c>
      <c r="K20" s="63">
        <v>0</v>
      </c>
      <c r="L20" s="63">
        <v>0</v>
      </c>
      <c r="M20" s="63">
        <v>0</v>
      </c>
      <c r="N20" s="63">
        <v>1</v>
      </c>
      <c r="O20" s="63">
        <v>0</v>
      </c>
      <c r="P20" s="63">
        <v>0</v>
      </c>
      <c r="Q20" s="63">
        <v>0</v>
      </c>
      <c r="R20" s="63">
        <v>0</v>
      </c>
      <c r="S20" s="63">
        <v>0</v>
      </c>
      <c r="T20" s="63">
        <v>1</v>
      </c>
      <c r="U20" s="63">
        <v>0</v>
      </c>
      <c r="V20" s="63">
        <v>1</v>
      </c>
      <c r="W20" s="63">
        <v>0</v>
      </c>
      <c r="X20" s="63">
        <v>0</v>
      </c>
      <c r="Y20" s="63">
        <v>0</v>
      </c>
      <c r="Z20" s="63">
        <v>0</v>
      </c>
      <c r="AA20" s="63">
        <v>0</v>
      </c>
      <c r="AB20" s="63">
        <v>0</v>
      </c>
      <c r="AC20" s="63">
        <v>0</v>
      </c>
      <c r="AD20" s="63">
        <v>0</v>
      </c>
      <c r="AE20" s="63">
        <v>0</v>
      </c>
      <c r="AF20" s="63">
        <v>0</v>
      </c>
      <c r="AG20" s="63">
        <v>0</v>
      </c>
      <c r="AH20" s="63">
        <v>0</v>
      </c>
      <c r="AI20" s="63">
        <v>0</v>
      </c>
      <c r="AJ20" s="63">
        <v>0</v>
      </c>
      <c r="AK20" s="63">
        <v>0</v>
      </c>
      <c r="AL20" s="63">
        <v>0</v>
      </c>
      <c r="AM20" s="63">
        <v>0</v>
      </c>
      <c r="AN20" s="63">
        <v>1</v>
      </c>
      <c r="AO20" s="63">
        <v>0</v>
      </c>
      <c r="AP20" s="63">
        <v>0</v>
      </c>
      <c r="AQ20" s="63">
        <v>0</v>
      </c>
      <c r="AR20" s="63">
        <v>0</v>
      </c>
      <c r="AS20" s="63">
        <v>0</v>
      </c>
      <c r="AT20" s="63">
        <v>1</v>
      </c>
      <c r="AU20" s="63">
        <v>0</v>
      </c>
      <c r="AV20" s="63">
        <v>0</v>
      </c>
      <c r="AW20" s="63">
        <v>0</v>
      </c>
      <c r="AX20" s="63">
        <v>0</v>
      </c>
      <c r="AY20" s="63">
        <v>0</v>
      </c>
      <c r="AZ20" s="63">
        <v>0</v>
      </c>
      <c r="BA20" s="63">
        <v>0</v>
      </c>
      <c r="BB20" s="63">
        <v>0</v>
      </c>
      <c r="BC20" s="63">
        <v>0</v>
      </c>
      <c r="BD20" s="63">
        <v>0</v>
      </c>
      <c r="BE20" s="63">
        <v>0</v>
      </c>
      <c r="BF20" s="63">
        <v>0</v>
      </c>
      <c r="BG20" s="63">
        <v>0</v>
      </c>
      <c r="BH20" s="63">
        <v>0</v>
      </c>
      <c r="BI20" s="63">
        <v>0</v>
      </c>
      <c r="BJ20" s="63">
        <v>0</v>
      </c>
      <c r="BK20" s="63">
        <v>0</v>
      </c>
      <c r="BL20" s="63">
        <v>0</v>
      </c>
      <c r="BM20" s="63">
        <v>0</v>
      </c>
      <c r="BN20" s="63">
        <v>0</v>
      </c>
      <c r="BO20" s="63">
        <v>0</v>
      </c>
      <c r="BP20" s="63">
        <v>0</v>
      </c>
      <c r="BQ20" s="63">
        <v>0</v>
      </c>
      <c r="BR20" s="63">
        <v>0</v>
      </c>
      <c r="BS20" s="63">
        <v>0</v>
      </c>
      <c r="BT20" s="63">
        <v>0</v>
      </c>
      <c r="BU20" s="63">
        <v>0</v>
      </c>
      <c r="BV20" s="63">
        <v>0</v>
      </c>
      <c r="BW20" s="63">
        <v>0</v>
      </c>
      <c r="BX20" s="63">
        <v>0</v>
      </c>
      <c r="BY20" s="63">
        <v>0</v>
      </c>
      <c r="BZ20" s="63">
        <v>0</v>
      </c>
      <c r="CA20" s="63">
        <v>0</v>
      </c>
      <c r="CB20" s="63">
        <v>0</v>
      </c>
      <c r="CC20" s="63">
        <v>0</v>
      </c>
      <c r="CD20" s="63">
        <v>0</v>
      </c>
      <c r="CE20" s="63">
        <v>0</v>
      </c>
      <c r="CF20" s="63">
        <v>0</v>
      </c>
      <c r="CG20" s="63">
        <v>0</v>
      </c>
      <c r="CH20" s="63">
        <v>0</v>
      </c>
      <c r="CI20" s="63">
        <v>0</v>
      </c>
      <c r="CJ20" s="63">
        <v>0</v>
      </c>
      <c r="CK20" s="63">
        <v>0</v>
      </c>
      <c r="CL20" s="63">
        <v>0</v>
      </c>
      <c r="CM20" s="63">
        <v>0</v>
      </c>
      <c r="CN20" s="63">
        <v>0</v>
      </c>
      <c r="CO20" s="63">
        <v>0</v>
      </c>
      <c r="CP20" s="63">
        <v>0</v>
      </c>
      <c r="CQ20" s="63">
        <v>0</v>
      </c>
      <c r="CR20" s="63">
        <v>0</v>
      </c>
      <c r="CS20" s="63">
        <v>0</v>
      </c>
      <c r="CT20" s="61">
        <f t="shared" si="0"/>
        <v>5</v>
      </c>
      <c r="CU20" s="61"/>
    </row>
    <row r="21" spans="1:99" ht="15.75" customHeight="1">
      <c r="A21" s="61" t="s">
        <v>378</v>
      </c>
      <c r="B21" s="63">
        <v>0</v>
      </c>
      <c r="C21" s="63">
        <v>0</v>
      </c>
      <c r="D21" s="63">
        <v>0</v>
      </c>
      <c r="E21" s="63">
        <v>0</v>
      </c>
      <c r="F21" s="63">
        <v>0</v>
      </c>
      <c r="G21" s="63">
        <v>0</v>
      </c>
      <c r="H21" s="63">
        <v>0</v>
      </c>
      <c r="I21" s="63">
        <v>0</v>
      </c>
      <c r="J21" s="63">
        <v>0</v>
      </c>
      <c r="K21" s="63">
        <v>0</v>
      </c>
      <c r="L21" s="63">
        <v>0</v>
      </c>
      <c r="M21" s="63">
        <v>1</v>
      </c>
      <c r="N21" s="63">
        <v>0</v>
      </c>
      <c r="O21" s="63">
        <v>0</v>
      </c>
      <c r="P21" s="63">
        <v>0</v>
      </c>
      <c r="Q21" s="63">
        <v>0</v>
      </c>
      <c r="R21" s="63">
        <v>0</v>
      </c>
      <c r="S21" s="63">
        <v>0</v>
      </c>
      <c r="T21" s="63">
        <v>0</v>
      </c>
      <c r="U21" s="63">
        <v>1</v>
      </c>
      <c r="V21" s="63">
        <v>0</v>
      </c>
      <c r="W21" s="63">
        <v>0</v>
      </c>
      <c r="X21" s="63">
        <v>0</v>
      </c>
      <c r="Y21" s="63">
        <v>0</v>
      </c>
      <c r="Z21" s="63">
        <v>0</v>
      </c>
      <c r="AA21" s="63">
        <v>0</v>
      </c>
      <c r="AB21" s="63">
        <v>0</v>
      </c>
      <c r="AC21" s="63">
        <v>0</v>
      </c>
      <c r="AD21" s="63">
        <v>0</v>
      </c>
      <c r="AE21" s="63">
        <v>0</v>
      </c>
      <c r="AF21" s="63">
        <v>0</v>
      </c>
      <c r="AG21" s="63">
        <v>0</v>
      </c>
      <c r="AH21" s="63">
        <v>0</v>
      </c>
      <c r="AI21" s="63">
        <v>0</v>
      </c>
      <c r="AJ21" s="63">
        <v>0</v>
      </c>
      <c r="AK21" s="63">
        <v>0</v>
      </c>
      <c r="AL21" s="63">
        <v>0</v>
      </c>
      <c r="AM21" s="63">
        <v>1</v>
      </c>
      <c r="AN21" s="63">
        <v>0</v>
      </c>
      <c r="AO21" s="63">
        <v>1</v>
      </c>
      <c r="AP21" s="63">
        <v>0</v>
      </c>
      <c r="AQ21" s="63">
        <v>0</v>
      </c>
      <c r="AR21" s="63">
        <v>0</v>
      </c>
      <c r="AS21" s="63">
        <v>0</v>
      </c>
      <c r="AT21" s="63">
        <v>0</v>
      </c>
      <c r="AU21" s="63">
        <v>0</v>
      </c>
      <c r="AV21" s="63">
        <v>0</v>
      </c>
      <c r="AW21" s="63">
        <v>0</v>
      </c>
      <c r="AX21" s="63">
        <v>0</v>
      </c>
      <c r="AY21" s="63">
        <v>0</v>
      </c>
      <c r="AZ21" s="63">
        <v>0</v>
      </c>
      <c r="BA21" s="63">
        <v>0</v>
      </c>
      <c r="BB21" s="63">
        <v>0</v>
      </c>
      <c r="BC21" s="63">
        <v>0</v>
      </c>
      <c r="BD21" s="63">
        <v>0</v>
      </c>
      <c r="BE21" s="63">
        <v>1</v>
      </c>
      <c r="BF21" s="63">
        <v>0</v>
      </c>
      <c r="BG21" s="63">
        <v>0</v>
      </c>
      <c r="BH21" s="63">
        <v>0</v>
      </c>
      <c r="BI21" s="63">
        <v>0</v>
      </c>
      <c r="BJ21" s="63">
        <v>0</v>
      </c>
      <c r="BK21" s="63">
        <v>0</v>
      </c>
      <c r="BL21" s="63">
        <v>0</v>
      </c>
      <c r="BM21" s="63">
        <v>0</v>
      </c>
      <c r="BN21" s="63">
        <v>0</v>
      </c>
      <c r="BO21" s="63">
        <v>0</v>
      </c>
      <c r="BP21" s="63">
        <v>0</v>
      </c>
      <c r="BQ21" s="63">
        <v>0</v>
      </c>
      <c r="BR21" s="63">
        <v>0</v>
      </c>
      <c r="BS21" s="63">
        <v>0</v>
      </c>
      <c r="BT21" s="63">
        <v>0</v>
      </c>
      <c r="BU21" s="63">
        <v>0</v>
      </c>
      <c r="BV21" s="63">
        <v>0</v>
      </c>
      <c r="BW21" s="63">
        <v>0</v>
      </c>
      <c r="BX21" s="63">
        <v>0</v>
      </c>
      <c r="BY21" s="63">
        <v>1</v>
      </c>
      <c r="BZ21" s="63">
        <v>1</v>
      </c>
      <c r="CA21" s="63">
        <v>0</v>
      </c>
      <c r="CB21" s="63">
        <v>0</v>
      </c>
      <c r="CC21" s="63">
        <v>0</v>
      </c>
      <c r="CD21" s="63">
        <v>0</v>
      </c>
      <c r="CE21" s="63">
        <v>0</v>
      </c>
      <c r="CF21" s="63">
        <v>0</v>
      </c>
      <c r="CG21" s="63">
        <v>0</v>
      </c>
      <c r="CH21" s="63">
        <v>0</v>
      </c>
      <c r="CI21" s="63">
        <v>0</v>
      </c>
      <c r="CJ21" s="63">
        <v>0</v>
      </c>
      <c r="CK21" s="63">
        <v>0</v>
      </c>
      <c r="CL21" s="63">
        <v>0</v>
      </c>
      <c r="CM21" s="63">
        <v>0</v>
      </c>
      <c r="CN21" s="63">
        <v>0</v>
      </c>
      <c r="CO21" s="63">
        <v>0</v>
      </c>
      <c r="CP21" s="63">
        <v>0</v>
      </c>
      <c r="CQ21" s="63">
        <v>0</v>
      </c>
      <c r="CR21" s="63">
        <v>0</v>
      </c>
      <c r="CS21" s="63">
        <v>0</v>
      </c>
      <c r="CT21" s="61">
        <f t="shared" si="0"/>
        <v>7</v>
      </c>
      <c r="CU21" s="61"/>
    </row>
    <row r="22" spans="1:99" ht="15.75" customHeight="1">
      <c r="A22" s="61" t="s">
        <v>386</v>
      </c>
      <c r="B22" s="63">
        <v>0</v>
      </c>
      <c r="C22" s="63">
        <v>0</v>
      </c>
      <c r="D22" s="63">
        <v>0</v>
      </c>
      <c r="E22" s="63">
        <v>0</v>
      </c>
      <c r="F22" s="63">
        <v>0</v>
      </c>
      <c r="G22" s="63">
        <v>0</v>
      </c>
      <c r="H22" s="63">
        <v>0</v>
      </c>
      <c r="I22" s="63">
        <v>0</v>
      </c>
      <c r="J22" s="63">
        <v>0</v>
      </c>
      <c r="K22" s="63">
        <v>0</v>
      </c>
      <c r="L22" s="63">
        <v>0</v>
      </c>
      <c r="M22" s="63">
        <v>0</v>
      </c>
      <c r="N22" s="63">
        <v>1</v>
      </c>
      <c r="O22" s="63">
        <v>0</v>
      </c>
      <c r="P22" s="63">
        <v>0</v>
      </c>
      <c r="Q22" s="63">
        <v>0</v>
      </c>
      <c r="R22" s="63">
        <v>0</v>
      </c>
      <c r="S22" s="63">
        <v>0</v>
      </c>
      <c r="T22" s="63">
        <v>1</v>
      </c>
      <c r="U22" s="63">
        <v>0</v>
      </c>
      <c r="V22" s="63">
        <v>1</v>
      </c>
      <c r="W22" s="63">
        <v>0</v>
      </c>
      <c r="X22" s="63">
        <v>0</v>
      </c>
      <c r="Y22" s="63">
        <v>0</v>
      </c>
      <c r="Z22" s="63">
        <v>0</v>
      </c>
      <c r="AA22" s="63">
        <v>0</v>
      </c>
      <c r="AB22" s="63">
        <v>0</v>
      </c>
      <c r="AC22" s="63">
        <v>0</v>
      </c>
      <c r="AD22" s="63">
        <v>1</v>
      </c>
      <c r="AE22" s="63">
        <v>0</v>
      </c>
      <c r="AF22" s="63">
        <v>0</v>
      </c>
      <c r="AG22" s="63">
        <v>0</v>
      </c>
      <c r="AH22" s="63">
        <v>0</v>
      </c>
      <c r="AI22" s="63">
        <v>0</v>
      </c>
      <c r="AJ22" s="63">
        <v>0</v>
      </c>
      <c r="AK22" s="63">
        <v>1</v>
      </c>
      <c r="AL22" s="63">
        <v>0</v>
      </c>
      <c r="AM22" s="63">
        <v>0</v>
      </c>
      <c r="AN22" s="63">
        <v>1</v>
      </c>
      <c r="AO22" s="63">
        <v>0</v>
      </c>
      <c r="AP22" s="63">
        <v>0</v>
      </c>
      <c r="AQ22" s="63">
        <v>0</v>
      </c>
      <c r="AR22" s="63">
        <v>0</v>
      </c>
      <c r="AS22" s="63">
        <v>0</v>
      </c>
      <c r="AT22" s="63">
        <v>1</v>
      </c>
      <c r="AU22" s="63">
        <v>0</v>
      </c>
      <c r="AV22" s="63">
        <v>0</v>
      </c>
      <c r="AW22" s="63">
        <v>0</v>
      </c>
      <c r="AX22" s="63">
        <v>0</v>
      </c>
      <c r="AY22" s="63">
        <v>0</v>
      </c>
      <c r="AZ22" s="63">
        <v>0</v>
      </c>
      <c r="BA22" s="63">
        <v>0</v>
      </c>
      <c r="BB22" s="63">
        <v>0</v>
      </c>
      <c r="BC22" s="63">
        <v>0</v>
      </c>
      <c r="BD22" s="63">
        <v>0</v>
      </c>
      <c r="BE22" s="63">
        <v>0</v>
      </c>
      <c r="BF22" s="63">
        <v>0</v>
      </c>
      <c r="BG22" s="63">
        <v>0</v>
      </c>
      <c r="BH22" s="63">
        <v>0</v>
      </c>
      <c r="BI22" s="63">
        <v>0</v>
      </c>
      <c r="BJ22" s="63">
        <v>0</v>
      </c>
      <c r="BK22" s="63">
        <v>0</v>
      </c>
      <c r="BL22" s="63">
        <v>0</v>
      </c>
      <c r="BM22" s="63">
        <v>0</v>
      </c>
      <c r="BN22" s="63">
        <v>0</v>
      </c>
      <c r="BO22" s="63">
        <v>0</v>
      </c>
      <c r="BP22" s="63">
        <v>0</v>
      </c>
      <c r="BQ22" s="63">
        <v>0</v>
      </c>
      <c r="BR22" s="63">
        <v>0</v>
      </c>
      <c r="BS22" s="63">
        <v>0</v>
      </c>
      <c r="BT22" s="63">
        <v>0</v>
      </c>
      <c r="BU22" s="63">
        <v>0</v>
      </c>
      <c r="BV22" s="63">
        <v>0</v>
      </c>
      <c r="BW22" s="63">
        <v>0</v>
      </c>
      <c r="BX22" s="63">
        <v>0</v>
      </c>
      <c r="BY22" s="63">
        <v>0</v>
      </c>
      <c r="BZ22" s="63">
        <v>0</v>
      </c>
      <c r="CA22" s="63">
        <v>0</v>
      </c>
      <c r="CB22" s="63">
        <v>0</v>
      </c>
      <c r="CC22" s="63">
        <v>0</v>
      </c>
      <c r="CD22" s="63">
        <v>0</v>
      </c>
      <c r="CE22" s="63">
        <v>0</v>
      </c>
      <c r="CF22" s="63">
        <v>1</v>
      </c>
      <c r="CG22" s="63">
        <v>0</v>
      </c>
      <c r="CH22" s="63">
        <v>0</v>
      </c>
      <c r="CI22" s="63">
        <v>0</v>
      </c>
      <c r="CJ22" s="63">
        <v>0</v>
      </c>
      <c r="CK22" s="63">
        <v>0</v>
      </c>
      <c r="CL22" s="63">
        <v>0</v>
      </c>
      <c r="CM22" s="63">
        <v>0</v>
      </c>
      <c r="CN22" s="63">
        <v>0</v>
      </c>
      <c r="CO22" s="63">
        <v>0</v>
      </c>
      <c r="CP22" s="63">
        <v>0</v>
      </c>
      <c r="CQ22" s="63">
        <v>0</v>
      </c>
      <c r="CR22" s="63">
        <v>0</v>
      </c>
      <c r="CS22" s="63">
        <v>0</v>
      </c>
      <c r="CT22" s="61">
        <f t="shared" si="0"/>
        <v>8</v>
      </c>
      <c r="CU22" s="61"/>
    </row>
    <row r="23" spans="1:99" ht="15.75" customHeight="1">
      <c r="A23" s="61" t="s">
        <v>319</v>
      </c>
      <c r="B23" s="63">
        <v>0</v>
      </c>
      <c r="C23" s="63">
        <v>0</v>
      </c>
      <c r="D23" s="63">
        <v>0</v>
      </c>
      <c r="E23" s="63">
        <v>0</v>
      </c>
      <c r="F23" s="63">
        <v>0</v>
      </c>
      <c r="G23" s="63">
        <v>0</v>
      </c>
      <c r="H23" s="63">
        <v>0</v>
      </c>
      <c r="I23" s="63">
        <v>0</v>
      </c>
      <c r="J23" s="63">
        <v>0</v>
      </c>
      <c r="K23" s="63">
        <v>0</v>
      </c>
      <c r="L23" s="63">
        <v>1</v>
      </c>
      <c r="M23" s="63">
        <v>0</v>
      </c>
      <c r="N23" s="63">
        <v>0</v>
      </c>
      <c r="O23" s="63">
        <v>0</v>
      </c>
      <c r="P23" s="63">
        <v>0</v>
      </c>
      <c r="Q23" s="63">
        <v>0</v>
      </c>
      <c r="R23" s="63">
        <v>0</v>
      </c>
      <c r="S23" s="63">
        <v>0</v>
      </c>
      <c r="T23" s="63">
        <v>0</v>
      </c>
      <c r="U23" s="63">
        <v>0</v>
      </c>
      <c r="V23" s="63">
        <v>0</v>
      </c>
      <c r="W23" s="63">
        <v>1</v>
      </c>
      <c r="X23" s="63">
        <v>0</v>
      </c>
      <c r="Y23" s="63">
        <v>0</v>
      </c>
      <c r="Z23" s="63">
        <v>0</v>
      </c>
      <c r="AA23" s="63">
        <v>0</v>
      </c>
      <c r="AB23" s="63">
        <v>0</v>
      </c>
      <c r="AC23" s="63">
        <v>0</v>
      </c>
      <c r="AD23" s="63">
        <v>0</v>
      </c>
      <c r="AE23" s="63">
        <v>0</v>
      </c>
      <c r="AF23" s="63">
        <v>0</v>
      </c>
      <c r="AG23" s="63">
        <v>0</v>
      </c>
      <c r="AH23" s="63">
        <v>0</v>
      </c>
      <c r="AI23" s="63">
        <v>0</v>
      </c>
      <c r="AJ23" s="63">
        <v>0</v>
      </c>
      <c r="AK23" s="63">
        <v>0</v>
      </c>
      <c r="AL23" s="63">
        <v>0</v>
      </c>
      <c r="AM23" s="63">
        <v>0</v>
      </c>
      <c r="AN23" s="63">
        <v>0</v>
      </c>
      <c r="AO23" s="63">
        <v>0</v>
      </c>
      <c r="AP23" s="63">
        <v>0</v>
      </c>
      <c r="AQ23" s="63">
        <v>0</v>
      </c>
      <c r="AR23" s="63">
        <v>0</v>
      </c>
      <c r="AS23" s="63">
        <v>0</v>
      </c>
      <c r="AT23" s="63">
        <v>0</v>
      </c>
      <c r="AU23" s="63">
        <v>1</v>
      </c>
      <c r="AV23" s="63">
        <v>0</v>
      </c>
      <c r="AW23" s="63">
        <v>0</v>
      </c>
      <c r="AX23" s="63">
        <v>0</v>
      </c>
      <c r="AY23" s="63">
        <v>0</v>
      </c>
      <c r="AZ23" s="63">
        <v>0</v>
      </c>
      <c r="BA23" s="63">
        <v>0</v>
      </c>
      <c r="BB23" s="63">
        <v>0</v>
      </c>
      <c r="BC23" s="63">
        <v>1</v>
      </c>
      <c r="BD23" s="63">
        <v>0</v>
      </c>
      <c r="BE23" s="63">
        <v>0</v>
      </c>
      <c r="BF23" s="63">
        <v>0</v>
      </c>
      <c r="BG23" s="63">
        <v>0</v>
      </c>
      <c r="BH23" s="63">
        <v>0</v>
      </c>
      <c r="BI23" s="63">
        <v>0</v>
      </c>
      <c r="BJ23" s="63">
        <v>0</v>
      </c>
      <c r="BK23" s="63">
        <v>0</v>
      </c>
      <c r="BL23" s="63">
        <v>1</v>
      </c>
      <c r="BM23" s="63">
        <v>0</v>
      </c>
      <c r="BN23" s="63">
        <v>0</v>
      </c>
      <c r="BO23" s="63">
        <v>1</v>
      </c>
      <c r="BP23" s="63">
        <v>0</v>
      </c>
      <c r="BQ23" s="63">
        <v>0</v>
      </c>
      <c r="BR23" s="63">
        <v>0</v>
      </c>
      <c r="BS23" s="63">
        <v>0</v>
      </c>
      <c r="BT23" s="63">
        <v>0</v>
      </c>
      <c r="BU23" s="63">
        <v>0</v>
      </c>
      <c r="BV23" s="63">
        <v>0</v>
      </c>
      <c r="BW23" s="63">
        <v>0</v>
      </c>
      <c r="BX23" s="63">
        <v>0</v>
      </c>
      <c r="BY23" s="63">
        <v>0</v>
      </c>
      <c r="BZ23" s="63">
        <v>0</v>
      </c>
      <c r="CA23" s="63">
        <v>0</v>
      </c>
      <c r="CB23" s="63">
        <v>0</v>
      </c>
      <c r="CC23" s="63">
        <v>0</v>
      </c>
      <c r="CD23" s="63">
        <v>0</v>
      </c>
      <c r="CE23" s="63">
        <v>0</v>
      </c>
      <c r="CF23" s="63">
        <v>0</v>
      </c>
      <c r="CG23" s="63">
        <v>0</v>
      </c>
      <c r="CH23" s="63">
        <v>0</v>
      </c>
      <c r="CI23" s="63">
        <v>0</v>
      </c>
      <c r="CJ23" s="63">
        <v>0</v>
      </c>
      <c r="CK23" s="63">
        <v>0</v>
      </c>
      <c r="CL23" s="63">
        <v>1</v>
      </c>
      <c r="CM23" s="63">
        <v>0</v>
      </c>
      <c r="CN23" s="63">
        <v>0</v>
      </c>
      <c r="CO23" s="63">
        <v>0</v>
      </c>
      <c r="CP23" s="63">
        <v>0</v>
      </c>
      <c r="CQ23" s="63">
        <v>0</v>
      </c>
      <c r="CR23" s="63">
        <v>0</v>
      </c>
      <c r="CS23" s="63">
        <v>0</v>
      </c>
      <c r="CT23" s="61">
        <f t="shared" si="0"/>
        <v>7</v>
      </c>
      <c r="CU23" s="61"/>
    </row>
    <row r="24" spans="1:99" ht="15.75" customHeight="1">
      <c r="A24" s="61" t="s">
        <v>334</v>
      </c>
      <c r="B24" s="63">
        <v>0</v>
      </c>
      <c r="C24" s="63">
        <v>0</v>
      </c>
      <c r="D24" s="63">
        <v>0</v>
      </c>
      <c r="E24" s="63">
        <v>0</v>
      </c>
      <c r="F24" s="63">
        <v>0</v>
      </c>
      <c r="G24" s="63">
        <v>0</v>
      </c>
      <c r="H24" s="63">
        <v>1</v>
      </c>
      <c r="I24" s="63">
        <v>0</v>
      </c>
      <c r="J24" s="63">
        <v>0</v>
      </c>
      <c r="K24" s="63">
        <v>0</v>
      </c>
      <c r="L24" s="63">
        <v>0</v>
      </c>
      <c r="M24" s="63">
        <v>0</v>
      </c>
      <c r="N24" s="63">
        <v>0</v>
      </c>
      <c r="O24" s="63">
        <v>0</v>
      </c>
      <c r="P24" s="63">
        <v>0</v>
      </c>
      <c r="Q24" s="63">
        <v>0</v>
      </c>
      <c r="R24" s="63">
        <v>0</v>
      </c>
      <c r="S24" s="63">
        <v>0</v>
      </c>
      <c r="T24" s="63">
        <v>0</v>
      </c>
      <c r="U24" s="63">
        <v>0</v>
      </c>
      <c r="V24" s="63">
        <v>0</v>
      </c>
      <c r="W24" s="63">
        <v>0</v>
      </c>
      <c r="X24" s="63">
        <v>1</v>
      </c>
      <c r="Y24" s="63">
        <v>0</v>
      </c>
      <c r="Z24" s="63">
        <v>0</v>
      </c>
      <c r="AA24" s="63">
        <v>0</v>
      </c>
      <c r="AB24" s="63">
        <v>0</v>
      </c>
      <c r="AC24" s="63">
        <v>0</v>
      </c>
      <c r="AD24" s="63">
        <v>0</v>
      </c>
      <c r="AE24" s="63">
        <v>0</v>
      </c>
      <c r="AF24" s="63">
        <v>0</v>
      </c>
      <c r="AG24" s="63">
        <v>0</v>
      </c>
      <c r="AH24" s="63">
        <v>0</v>
      </c>
      <c r="AI24" s="63">
        <v>0</v>
      </c>
      <c r="AJ24" s="63">
        <v>0</v>
      </c>
      <c r="AK24" s="63">
        <v>0</v>
      </c>
      <c r="AL24" s="63">
        <v>0</v>
      </c>
      <c r="AM24" s="63">
        <v>0</v>
      </c>
      <c r="AN24" s="63">
        <v>0</v>
      </c>
      <c r="AO24" s="63">
        <v>0</v>
      </c>
      <c r="AP24" s="63">
        <v>0</v>
      </c>
      <c r="AQ24" s="63">
        <v>0</v>
      </c>
      <c r="AR24" s="63">
        <v>0</v>
      </c>
      <c r="AS24" s="63">
        <v>0</v>
      </c>
      <c r="AT24" s="63">
        <v>0</v>
      </c>
      <c r="AU24" s="63">
        <v>0</v>
      </c>
      <c r="AV24" s="63">
        <v>0</v>
      </c>
      <c r="AW24" s="63">
        <v>0</v>
      </c>
      <c r="AX24" s="63">
        <v>0</v>
      </c>
      <c r="AY24" s="63">
        <v>0</v>
      </c>
      <c r="AZ24" s="63">
        <v>0</v>
      </c>
      <c r="BA24" s="63">
        <v>0</v>
      </c>
      <c r="BB24" s="63">
        <v>0</v>
      </c>
      <c r="BC24" s="63">
        <v>0</v>
      </c>
      <c r="BD24" s="63">
        <v>0</v>
      </c>
      <c r="BE24" s="63">
        <v>0</v>
      </c>
      <c r="BF24" s="63">
        <v>0</v>
      </c>
      <c r="BG24" s="63">
        <v>0</v>
      </c>
      <c r="BH24" s="63">
        <v>0</v>
      </c>
      <c r="BI24" s="63">
        <v>0</v>
      </c>
      <c r="BJ24" s="63">
        <v>0</v>
      </c>
      <c r="BK24" s="63">
        <v>0</v>
      </c>
      <c r="BL24" s="63">
        <v>0</v>
      </c>
      <c r="BM24" s="63">
        <v>0</v>
      </c>
      <c r="BN24" s="63">
        <v>0</v>
      </c>
      <c r="BO24" s="63">
        <v>0</v>
      </c>
      <c r="BP24" s="63">
        <v>0</v>
      </c>
      <c r="BQ24" s="63">
        <v>0</v>
      </c>
      <c r="BR24" s="63">
        <v>0</v>
      </c>
      <c r="BS24" s="63">
        <v>0</v>
      </c>
      <c r="BT24" s="63">
        <v>0</v>
      </c>
      <c r="BU24" s="63">
        <v>0</v>
      </c>
      <c r="BV24" s="63">
        <v>0</v>
      </c>
      <c r="BW24" s="63">
        <v>0</v>
      </c>
      <c r="BX24" s="63">
        <v>0</v>
      </c>
      <c r="BY24" s="63">
        <v>0</v>
      </c>
      <c r="BZ24" s="63">
        <v>0</v>
      </c>
      <c r="CA24" s="63">
        <v>0</v>
      </c>
      <c r="CB24" s="63">
        <v>0</v>
      </c>
      <c r="CC24" s="63">
        <v>1</v>
      </c>
      <c r="CD24" s="63">
        <v>1</v>
      </c>
      <c r="CE24" s="63">
        <v>0</v>
      </c>
      <c r="CF24" s="63">
        <v>0</v>
      </c>
      <c r="CG24" s="63">
        <v>1</v>
      </c>
      <c r="CH24" s="63">
        <v>1</v>
      </c>
      <c r="CI24" s="63">
        <v>0</v>
      </c>
      <c r="CJ24" s="63">
        <v>0</v>
      </c>
      <c r="CK24" s="63">
        <v>0</v>
      </c>
      <c r="CL24" s="63">
        <v>0</v>
      </c>
      <c r="CM24" s="63">
        <v>0</v>
      </c>
      <c r="CN24" s="63">
        <v>0</v>
      </c>
      <c r="CO24" s="63">
        <v>0</v>
      </c>
      <c r="CP24" s="63">
        <v>0</v>
      </c>
      <c r="CQ24" s="63">
        <v>0</v>
      </c>
      <c r="CR24" s="63">
        <v>0</v>
      </c>
      <c r="CS24" s="63">
        <v>0</v>
      </c>
      <c r="CT24" s="61">
        <f t="shared" si="0"/>
        <v>6</v>
      </c>
      <c r="CU24" s="61"/>
    </row>
    <row r="25" spans="1:99" ht="15.75" customHeight="1">
      <c r="A25" s="61" t="s">
        <v>294</v>
      </c>
      <c r="B25" s="63">
        <v>0</v>
      </c>
      <c r="C25" s="63">
        <v>0</v>
      </c>
      <c r="D25" s="63">
        <v>0</v>
      </c>
      <c r="E25" s="63">
        <v>0</v>
      </c>
      <c r="F25" s="63">
        <v>1</v>
      </c>
      <c r="G25" s="63">
        <v>0</v>
      </c>
      <c r="H25" s="63">
        <v>0</v>
      </c>
      <c r="I25" s="63">
        <v>0</v>
      </c>
      <c r="J25" s="63">
        <v>0</v>
      </c>
      <c r="K25" s="63">
        <v>0</v>
      </c>
      <c r="L25" s="63">
        <v>0</v>
      </c>
      <c r="M25" s="63">
        <v>0</v>
      </c>
      <c r="N25" s="63">
        <v>0</v>
      </c>
      <c r="O25" s="63">
        <v>1</v>
      </c>
      <c r="P25" s="63">
        <v>0</v>
      </c>
      <c r="Q25" s="63">
        <v>0</v>
      </c>
      <c r="R25" s="63">
        <v>0</v>
      </c>
      <c r="S25" s="63">
        <v>0</v>
      </c>
      <c r="T25" s="63">
        <v>0</v>
      </c>
      <c r="U25" s="63">
        <v>0</v>
      </c>
      <c r="V25" s="63">
        <v>0</v>
      </c>
      <c r="W25" s="63">
        <v>0</v>
      </c>
      <c r="X25" s="63">
        <v>0</v>
      </c>
      <c r="Y25" s="63">
        <v>1</v>
      </c>
      <c r="Z25" s="63">
        <v>0</v>
      </c>
      <c r="AA25" s="63">
        <v>0</v>
      </c>
      <c r="AB25" s="63">
        <v>0</v>
      </c>
      <c r="AC25" s="63">
        <v>1</v>
      </c>
      <c r="AD25" s="63">
        <v>0</v>
      </c>
      <c r="AE25" s="63">
        <v>1</v>
      </c>
      <c r="AF25" s="63">
        <v>0</v>
      </c>
      <c r="AG25" s="63">
        <v>0</v>
      </c>
      <c r="AH25" s="63">
        <v>0</v>
      </c>
      <c r="AI25" s="63">
        <v>0</v>
      </c>
      <c r="AJ25" s="63">
        <v>0</v>
      </c>
      <c r="AK25" s="63">
        <v>0</v>
      </c>
      <c r="AL25" s="63">
        <v>0</v>
      </c>
      <c r="AM25" s="63">
        <v>0</v>
      </c>
      <c r="AN25" s="63">
        <v>0</v>
      </c>
      <c r="AO25" s="63">
        <v>0</v>
      </c>
      <c r="AP25" s="63">
        <v>0</v>
      </c>
      <c r="AQ25" s="63">
        <v>1</v>
      </c>
      <c r="AR25" s="63">
        <v>0</v>
      </c>
      <c r="AS25" s="63">
        <v>0</v>
      </c>
      <c r="AT25" s="63">
        <v>0</v>
      </c>
      <c r="AU25" s="63">
        <v>0</v>
      </c>
      <c r="AV25" s="63">
        <v>1</v>
      </c>
      <c r="AW25" s="63">
        <v>0</v>
      </c>
      <c r="AX25" s="63">
        <v>0</v>
      </c>
      <c r="AY25" s="63">
        <v>0</v>
      </c>
      <c r="AZ25" s="63">
        <v>0</v>
      </c>
      <c r="BA25" s="63">
        <v>0</v>
      </c>
      <c r="BB25" s="63">
        <v>0</v>
      </c>
      <c r="BC25" s="63">
        <v>0</v>
      </c>
      <c r="BD25" s="63">
        <v>0</v>
      </c>
      <c r="BE25" s="63">
        <v>0</v>
      </c>
      <c r="BF25" s="63">
        <v>0</v>
      </c>
      <c r="BG25" s="63">
        <v>0</v>
      </c>
      <c r="BH25" s="63">
        <v>0</v>
      </c>
      <c r="BI25" s="63">
        <v>0</v>
      </c>
      <c r="BJ25" s="63">
        <v>0</v>
      </c>
      <c r="BK25" s="63">
        <v>0</v>
      </c>
      <c r="BL25" s="63">
        <v>0</v>
      </c>
      <c r="BM25" s="63">
        <v>0</v>
      </c>
      <c r="BN25" s="63">
        <v>0</v>
      </c>
      <c r="BO25" s="63">
        <v>0</v>
      </c>
      <c r="BP25" s="63">
        <v>0</v>
      </c>
      <c r="BQ25" s="63">
        <v>0</v>
      </c>
      <c r="BR25" s="63">
        <v>0</v>
      </c>
      <c r="BS25" s="63">
        <v>0</v>
      </c>
      <c r="BT25" s="63">
        <v>0</v>
      </c>
      <c r="BU25" s="63">
        <v>0</v>
      </c>
      <c r="BV25" s="63">
        <v>0</v>
      </c>
      <c r="BW25" s="63">
        <v>0</v>
      </c>
      <c r="BX25" s="63">
        <v>0</v>
      </c>
      <c r="BY25" s="63">
        <v>0</v>
      </c>
      <c r="BZ25" s="63">
        <v>0</v>
      </c>
      <c r="CA25" s="63">
        <v>0</v>
      </c>
      <c r="CB25" s="63">
        <v>0</v>
      </c>
      <c r="CC25" s="63">
        <v>0</v>
      </c>
      <c r="CD25" s="63">
        <v>0</v>
      </c>
      <c r="CE25" s="63">
        <v>0</v>
      </c>
      <c r="CF25" s="63">
        <v>0</v>
      </c>
      <c r="CG25" s="63">
        <v>0</v>
      </c>
      <c r="CH25" s="63">
        <v>0</v>
      </c>
      <c r="CI25" s="63">
        <v>0</v>
      </c>
      <c r="CJ25" s="63">
        <v>0</v>
      </c>
      <c r="CK25" s="63">
        <v>0</v>
      </c>
      <c r="CL25" s="63">
        <v>0</v>
      </c>
      <c r="CM25" s="63">
        <v>0</v>
      </c>
      <c r="CN25" s="63">
        <v>0</v>
      </c>
      <c r="CO25" s="63">
        <v>0</v>
      </c>
      <c r="CP25" s="63">
        <v>0</v>
      </c>
      <c r="CQ25" s="63">
        <v>0</v>
      </c>
      <c r="CR25" s="63">
        <v>0</v>
      </c>
      <c r="CS25" s="63">
        <v>0</v>
      </c>
      <c r="CT25" s="61">
        <f t="shared" si="0"/>
        <v>7</v>
      </c>
      <c r="CU25" s="61"/>
    </row>
    <row r="26" spans="1:99" ht="15.75" customHeight="1">
      <c r="A26" s="61" t="s">
        <v>356</v>
      </c>
      <c r="B26" s="63">
        <v>0</v>
      </c>
      <c r="C26" s="63">
        <v>0</v>
      </c>
      <c r="D26" s="63">
        <v>0</v>
      </c>
      <c r="E26" s="63">
        <v>0</v>
      </c>
      <c r="F26" s="63">
        <v>0</v>
      </c>
      <c r="G26" s="63">
        <v>0</v>
      </c>
      <c r="H26" s="63">
        <v>0</v>
      </c>
      <c r="I26" s="63">
        <v>0</v>
      </c>
      <c r="J26" s="63">
        <v>0</v>
      </c>
      <c r="K26" s="63">
        <v>0</v>
      </c>
      <c r="L26" s="63">
        <v>0</v>
      </c>
      <c r="M26" s="63">
        <v>0</v>
      </c>
      <c r="N26" s="63">
        <v>0</v>
      </c>
      <c r="O26" s="63">
        <v>0</v>
      </c>
      <c r="P26" s="63">
        <v>1</v>
      </c>
      <c r="Q26" s="63">
        <v>0</v>
      </c>
      <c r="R26" s="63">
        <v>0</v>
      </c>
      <c r="S26" s="63">
        <v>0</v>
      </c>
      <c r="T26" s="63">
        <v>0</v>
      </c>
      <c r="U26" s="63">
        <v>0</v>
      </c>
      <c r="V26" s="63">
        <v>0</v>
      </c>
      <c r="W26" s="63">
        <v>0</v>
      </c>
      <c r="X26" s="63">
        <v>0</v>
      </c>
      <c r="Y26" s="63">
        <v>0</v>
      </c>
      <c r="Z26" s="63">
        <v>1</v>
      </c>
      <c r="AA26" s="63">
        <v>1</v>
      </c>
      <c r="AB26" s="63">
        <v>0</v>
      </c>
      <c r="AC26" s="63">
        <v>0</v>
      </c>
      <c r="AD26" s="63">
        <v>0</v>
      </c>
      <c r="AE26" s="63">
        <v>0</v>
      </c>
      <c r="AF26" s="63">
        <v>0</v>
      </c>
      <c r="AG26" s="63">
        <v>0</v>
      </c>
      <c r="AH26" s="63">
        <v>0</v>
      </c>
      <c r="AI26" s="63">
        <v>0</v>
      </c>
      <c r="AJ26" s="63">
        <v>0</v>
      </c>
      <c r="AK26" s="63">
        <v>0</v>
      </c>
      <c r="AL26" s="63">
        <v>0</v>
      </c>
      <c r="AM26" s="63">
        <v>0</v>
      </c>
      <c r="AN26" s="63">
        <v>0</v>
      </c>
      <c r="AO26" s="63">
        <v>0</v>
      </c>
      <c r="AP26" s="63">
        <v>0</v>
      </c>
      <c r="AQ26" s="63">
        <v>0</v>
      </c>
      <c r="AR26" s="63">
        <v>0</v>
      </c>
      <c r="AS26" s="63">
        <v>0</v>
      </c>
      <c r="AT26" s="63">
        <v>0</v>
      </c>
      <c r="AU26" s="63">
        <v>0</v>
      </c>
      <c r="AV26" s="63">
        <v>0</v>
      </c>
      <c r="AW26" s="63">
        <v>0</v>
      </c>
      <c r="AX26" s="63">
        <v>0</v>
      </c>
      <c r="AY26" s="63">
        <v>0</v>
      </c>
      <c r="AZ26" s="63">
        <v>0</v>
      </c>
      <c r="BA26" s="63">
        <v>0</v>
      </c>
      <c r="BB26" s="63">
        <v>0</v>
      </c>
      <c r="BC26" s="63">
        <v>0</v>
      </c>
      <c r="BD26" s="63">
        <v>0</v>
      </c>
      <c r="BE26" s="63">
        <v>0</v>
      </c>
      <c r="BF26" s="63">
        <v>0</v>
      </c>
      <c r="BG26" s="63">
        <v>0</v>
      </c>
      <c r="BH26" s="63">
        <v>0</v>
      </c>
      <c r="BI26" s="63">
        <v>0</v>
      </c>
      <c r="BJ26" s="63">
        <v>0</v>
      </c>
      <c r="BK26" s="63">
        <v>0</v>
      </c>
      <c r="BL26" s="63">
        <v>0</v>
      </c>
      <c r="BM26" s="63">
        <v>0</v>
      </c>
      <c r="BN26" s="63">
        <v>0</v>
      </c>
      <c r="BO26" s="63">
        <v>0</v>
      </c>
      <c r="BP26" s="63">
        <v>0</v>
      </c>
      <c r="BQ26" s="63">
        <v>1</v>
      </c>
      <c r="BR26" s="63">
        <v>0</v>
      </c>
      <c r="BS26" s="63">
        <v>0</v>
      </c>
      <c r="BT26" s="63">
        <v>0</v>
      </c>
      <c r="BU26" s="63">
        <v>0</v>
      </c>
      <c r="BV26" s="63">
        <v>0</v>
      </c>
      <c r="BW26" s="63">
        <v>0</v>
      </c>
      <c r="BX26" s="63">
        <v>0</v>
      </c>
      <c r="BY26" s="63">
        <v>0</v>
      </c>
      <c r="BZ26" s="63">
        <v>0</v>
      </c>
      <c r="CA26" s="63">
        <v>0</v>
      </c>
      <c r="CB26" s="63">
        <v>0</v>
      </c>
      <c r="CC26" s="63">
        <v>0</v>
      </c>
      <c r="CD26" s="63">
        <v>0</v>
      </c>
      <c r="CE26" s="63">
        <v>0</v>
      </c>
      <c r="CF26" s="63">
        <v>0</v>
      </c>
      <c r="CG26" s="63">
        <v>0</v>
      </c>
      <c r="CH26" s="63">
        <v>0</v>
      </c>
      <c r="CI26" s="63">
        <v>0</v>
      </c>
      <c r="CJ26" s="63">
        <v>0</v>
      </c>
      <c r="CK26" s="63">
        <v>0</v>
      </c>
      <c r="CL26" s="63">
        <v>0</v>
      </c>
      <c r="CM26" s="63">
        <v>0</v>
      </c>
      <c r="CN26" s="63">
        <v>0</v>
      </c>
      <c r="CO26" s="63">
        <v>0</v>
      </c>
      <c r="CP26" s="63">
        <v>0</v>
      </c>
      <c r="CQ26" s="63">
        <v>0</v>
      </c>
      <c r="CR26" s="63">
        <v>0</v>
      </c>
      <c r="CS26" s="63">
        <v>0</v>
      </c>
      <c r="CT26" s="61">
        <f t="shared" si="0"/>
        <v>4</v>
      </c>
      <c r="CU26" s="61"/>
    </row>
    <row r="27" spans="1:99" ht="15.75" customHeight="1">
      <c r="A27" s="61" t="s">
        <v>379</v>
      </c>
      <c r="B27" s="63">
        <v>0</v>
      </c>
      <c r="C27" s="63">
        <v>0</v>
      </c>
      <c r="D27" s="63">
        <v>0</v>
      </c>
      <c r="E27" s="63">
        <v>1</v>
      </c>
      <c r="F27" s="63">
        <v>0</v>
      </c>
      <c r="G27" s="63">
        <v>0</v>
      </c>
      <c r="H27" s="63">
        <v>0</v>
      </c>
      <c r="I27" s="63">
        <v>0</v>
      </c>
      <c r="J27" s="63">
        <v>0</v>
      </c>
      <c r="K27" s="63">
        <v>0</v>
      </c>
      <c r="L27" s="63">
        <v>0</v>
      </c>
      <c r="M27" s="63">
        <v>0</v>
      </c>
      <c r="N27" s="63">
        <v>0</v>
      </c>
      <c r="O27" s="63">
        <v>0</v>
      </c>
      <c r="P27" s="63">
        <v>1</v>
      </c>
      <c r="Q27" s="63">
        <v>0</v>
      </c>
      <c r="R27" s="63">
        <v>0</v>
      </c>
      <c r="S27" s="63">
        <v>0</v>
      </c>
      <c r="T27" s="63">
        <v>0</v>
      </c>
      <c r="U27" s="63">
        <v>0</v>
      </c>
      <c r="V27" s="63">
        <v>0</v>
      </c>
      <c r="W27" s="63">
        <v>0</v>
      </c>
      <c r="X27" s="63">
        <v>0</v>
      </c>
      <c r="Y27" s="63">
        <v>0</v>
      </c>
      <c r="Z27" s="63">
        <v>1</v>
      </c>
      <c r="AA27" s="63">
        <v>1</v>
      </c>
      <c r="AB27" s="63">
        <v>0</v>
      </c>
      <c r="AC27" s="63">
        <v>0</v>
      </c>
      <c r="AD27" s="63">
        <v>0</v>
      </c>
      <c r="AE27" s="63">
        <v>0</v>
      </c>
      <c r="AF27" s="63">
        <v>0</v>
      </c>
      <c r="AG27" s="63">
        <v>0</v>
      </c>
      <c r="AH27" s="63">
        <v>0</v>
      </c>
      <c r="AI27" s="63">
        <v>0</v>
      </c>
      <c r="AJ27" s="63">
        <v>0</v>
      </c>
      <c r="AK27" s="63">
        <v>0</v>
      </c>
      <c r="AL27" s="63">
        <v>0</v>
      </c>
      <c r="AM27" s="63">
        <v>0</v>
      </c>
      <c r="AN27" s="63">
        <v>1</v>
      </c>
      <c r="AO27" s="63">
        <v>0</v>
      </c>
      <c r="AP27" s="63">
        <v>0</v>
      </c>
      <c r="AQ27" s="63">
        <v>0</v>
      </c>
      <c r="AR27" s="63">
        <v>0</v>
      </c>
      <c r="AS27" s="63">
        <v>0</v>
      </c>
      <c r="AT27" s="63">
        <v>0</v>
      </c>
      <c r="AU27" s="63">
        <v>0</v>
      </c>
      <c r="AV27" s="63">
        <v>0</v>
      </c>
      <c r="AW27" s="63">
        <v>0</v>
      </c>
      <c r="AX27" s="63">
        <v>0</v>
      </c>
      <c r="AY27" s="63">
        <v>0</v>
      </c>
      <c r="AZ27" s="63">
        <v>0</v>
      </c>
      <c r="BA27" s="63">
        <v>0</v>
      </c>
      <c r="BB27" s="63">
        <v>0</v>
      </c>
      <c r="BC27" s="63">
        <v>0</v>
      </c>
      <c r="BD27" s="63">
        <v>0</v>
      </c>
      <c r="BE27" s="63">
        <v>0</v>
      </c>
      <c r="BF27" s="63">
        <v>0</v>
      </c>
      <c r="BG27" s="63">
        <v>0</v>
      </c>
      <c r="BH27" s="63">
        <v>0</v>
      </c>
      <c r="BI27" s="63">
        <v>0</v>
      </c>
      <c r="BJ27" s="63">
        <v>0</v>
      </c>
      <c r="BK27" s="63">
        <v>0</v>
      </c>
      <c r="BL27" s="63">
        <v>0</v>
      </c>
      <c r="BM27" s="63">
        <v>0</v>
      </c>
      <c r="BN27" s="63">
        <v>0</v>
      </c>
      <c r="BO27" s="63">
        <v>0</v>
      </c>
      <c r="BP27" s="63">
        <v>0</v>
      </c>
      <c r="BQ27" s="63">
        <v>1</v>
      </c>
      <c r="BR27" s="63">
        <v>0</v>
      </c>
      <c r="BS27" s="63">
        <v>0</v>
      </c>
      <c r="BT27" s="63">
        <v>0</v>
      </c>
      <c r="BU27" s="63">
        <v>0</v>
      </c>
      <c r="BV27" s="63">
        <v>0</v>
      </c>
      <c r="BW27" s="63">
        <v>0</v>
      </c>
      <c r="BX27" s="63">
        <v>0</v>
      </c>
      <c r="BY27" s="63">
        <v>0</v>
      </c>
      <c r="BZ27" s="63">
        <v>0</v>
      </c>
      <c r="CA27" s="63">
        <v>0</v>
      </c>
      <c r="CB27" s="63">
        <v>0</v>
      </c>
      <c r="CC27" s="63">
        <v>0</v>
      </c>
      <c r="CD27" s="63">
        <v>0</v>
      </c>
      <c r="CE27" s="63">
        <v>0</v>
      </c>
      <c r="CF27" s="63">
        <v>1</v>
      </c>
      <c r="CG27" s="63">
        <v>0</v>
      </c>
      <c r="CH27" s="63">
        <v>0</v>
      </c>
      <c r="CI27" s="63">
        <v>0</v>
      </c>
      <c r="CJ27" s="63">
        <v>0</v>
      </c>
      <c r="CK27" s="63">
        <v>0</v>
      </c>
      <c r="CL27" s="63">
        <v>0</v>
      </c>
      <c r="CM27" s="63">
        <v>0</v>
      </c>
      <c r="CN27" s="63">
        <v>0</v>
      </c>
      <c r="CO27" s="63">
        <v>0</v>
      </c>
      <c r="CP27" s="63">
        <v>0</v>
      </c>
      <c r="CQ27" s="63">
        <v>0</v>
      </c>
      <c r="CR27" s="63">
        <v>0</v>
      </c>
      <c r="CS27" s="63">
        <v>0</v>
      </c>
      <c r="CT27" s="61">
        <f t="shared" si="0"/>
        <v>7</v>
      </c>
      <c r="CU27" s="61"/>
    </row>
    <row r="28" spans="1:99" ht="15.75" customHeight="1">
      <c r="A28" s="61" t="s">
        <v>398</v>
      </c>
      <c r="B28" s="63">
        <v>0</v>
      </c>
      <c r="C28" s="63">
        <v>0</v>
      </c>
      <c r="D28" s="63">
        <v>0</v>
      </c>
      <c r="E28" s="63">
        <v>0</v>
      </c>
      <c r="F28" s="63">
        <v>0</v>
      </c>
      <c r="G28" s="63">
        <v>0</v>
      </c>
      <c r="H28" s="63">
        <v>0</v>
      </c>
      <c r="I28" s="63">
        <v>0</v>
      </c>
      <c r="J28" s="63">
        <v>0</v>
      </c>
      <c r="K28" s="63">
        <v>0</v>
      </c>
      <c r="L28" s="63">
        <v>0</v>
      </c>
      <c r="M28" s="63">
        <v>0</v>
      </c>
      <c r="N28" s="63">
        <v>0</v>
      </c>
      <c r="O28" s="63">
        <v>0</v>
      </c>
      <c r="P28" s="63">
        <v>0</v>
      </c>
      <c r="Q28" s="63">
        <v>0</v>
      </c>
      <c r="R28" s="63">
        <v>0</v>
      </c>
      <c r="S28" s="63">
        <v>0</v>
      </c>
      <c r="T28" s="63">
        <v>0</v>
      </c>
      <c r="U28" s="63">
        <v>0</v>
      </c>
      <c r="V28" s="63">
        <v>0</v>
      </c>
      <c r="W28" s="63">
        <v>0</v>
      </c>
      <c r="X28" s="63">
        <v>0</v>
      </c>
      <c r="Y28" s="63">
        <v>0</v>
      </c>
      <c r="Z28" s="63">
        <v>0</v>
      </c>
      <c r="AA28" s="63">
        <v>0</v>
      </c>
      <c r="AB28" s="63">
        <v>1</v>
      </c>
      <c r="AC28" s="63">
        <v>0</v>
      </c>
      <c r="AD28" s="63">
        <v>1</v>
      </c>
      <c r="AE28" s="63">
        <v>0</v>
      </c>
      <c r="AF28" s="63">
        <v>0</v>
      </c>
      <c r="AG28" s="63">
        <v>0</v>
      </c>
      <c r="AH28" s="63">
        <v>0</v>
      </c>
      <c r="AI28" s="63">
        <v>0</v>
      </c>
      <c r="AJ28" s="63">
        <v>1</v>
      </c>
      <c r="AK28" s="63">
        <v>0</v>
      </c>
      <c r="AL28" s="63">
        <v>0</v>
      </c>
      <c r="AM28" s="63">
        <v>0</v>
      </c>
      <c r="AN28" s="63">
        <v>0</v>
      </c>
      <c r="AO28" s="63">
        <v>0</v>
      </c>
      <c r="AP28" s="63">
        <v>0</v>
      </c>
      <c r="AQ28" s="63">
        <v>0</v>
      </c>
      <c r="AR28" s="63">
        <v>0</v>
      </c>
      <c r="AS28" s="63">
        <v>0</v>
      </c>
      <c r="AT28" s="63">
        <v>0</v>
      </c>
      <c r="AU28" s="63">
        <v>0</v>
      </c>
      <c r="AV28" s="63">
        <v>0</v>
      </c>
      <c r="AW28" s="63">
        <v>0</v>
      </c>
      <c r="AX28" s="63">
        <v>0</v>
      </c>
      <c r="AY28" s="63">
        <v>0</v>
      </c>
      <c r="AZ28" s="63">
        <v>0</v>
      </c>
      <c r="BA28" s="63">
        <v>0</v>
      </c>
      <c r="BB28" s="63">
        <v>0</v>
      </c>
      <c r="BC28" s="63">
        <v>0</v>
      </c>
      <c r="BD28" s="63">
        <v>0</v>
      </c>
      <c r="BE28" s="63">
        <v>0</v>
      </c>
      <c r="BF28" s="63">
        <v>0</v>
      </c>
      <c r="BG28" s="63">
        <v>0</v>
      </c>
      <c r="BH28" s="63">
        <v>0</v>
      </c>
      <c r="BI28" s="63">
        <v>0</v>
      </c>
      <c r="BJ28" s="63">
        <v>0</v>
      </c>
      <c r="BK28" s="63">
        <v>0</v>
      </c>
      <c r="BL28" s="63">
        <v>0</v>
      </c>
      <c r="BM28" s="63">
        <v>0</v>
      </c>
      <c r="BN28" s="63">
        <v>0</v>
      </c>
      <c r="BO28" s="63">
        <v>0</v>
      </c>
      <c r="BP28" s="63">
        <v>0</v>
      </c>
      <c r="BQ28" s="63">
        <v>0</v>
      </c>
      <c r="BR28" s="63">
        <v>0</v>
      </c>
      <c r="BS28" s="63">
        <v>0</v>
      </c>
      <c r="BT28" s="63">
        <v>0</v>
      </c>
      <c r="BU28" s="63">
        <v>0</v>
      </c>
      <c r="BV28" s="63">
        <v>0</v>
      </c>
      <c r="BW28" s="63">
        <v>0</v>
      </c>
      <c r="BX28" s="63">
        <v>0</v>
      </c>
      <c r="BY28" s="63">
        <v>0</v>
      </c>
      <c r="BZ28" s="63">
        <v>0</v>
      </c>
      <c r="CA28" s="63">
        <v>0</v>
      </c>
      <c r="CB28" s="63">
        <v>0</v>
      </c>
      <c r="CC28" s="63">
        <v>0</v>
      </c>
      <c r="CD28" s="63">
        <v>0</v>
      </c>
      <c r="CE28" s="63">
        <v>0</v>
      </c>
      <c r="CF28" s="63">
        <v>1</v>
      </c>
      <c r="CG28" s="63">
        <v>0</v>
      </c>
      <c r="CH28" s="63">
        <v>0</v>
      </c>
      <c r="CI28" s="63">
        <v>0</v>
      </c>
      <c r="CJ28" s="63">
        <v>0</v>
      </c>
      <c r="CK28" s="63">
        <v>0</v>
      </c>
      <c r="CL28" s="63">
        <v>0</v>
      </c>
      <c r="CM28" s="63">
        <v>0</v>
      </c>
      <c r="CN28" s="63">
        <v>0</v>
      </c>
      <c r="CO28" s="63">
        <v>0</v>
      </c>
      <c r="CP28" s="63">
        <v>0</v>
      </c>
      <c r="CQ28" s="63">
        <v>0</v>
      </c>
      <c r="CR28" s="63">
        <v>0</v>
      </c>
      <c r="CS28" s="63">
        <v>0</v>
      </c>
      <c r="CT28" s="61">
        <f t="shared" si="0"/>
        <v>4</v>
      </c>
      <c r="CU28" s="61"/>
    </row>
    <row r="29" spans="1:99" ht="15.75" customHeight="1">
      <c r="A29" s="61" t="s">
        <v>351</v>
      </c>
      <c r="B29" s="63">
        <v>0</v>
      </c>
      <c r="C29" s="63">
        <v>0</v>
      </c>
      <c r="D29" s="63">
        <v>0</v>
      </c>
      <c r="E29" s="63">
        <v>0</v>
      </c>
      <c r="F29" s="63">
        <v>0</v>
      </c>
      <c r="G29" s="63">
        <v>0</v>
      </c>
      <c r="H29" s="63">
        <v>0</v>
      </c>
      <c r="I29" s="63">
        <v>0</v>
      </c>
      <c r="J29" s="63">
        <v>0</v>
      </c>
      <c r="K29" s="63">
        <v>0</v>
      </c>
      <c r="L29" s="63">
        <v>0</v>
      </c>
      <c r="M29" s="63">
        <v>0</v>
      </c>
      <c r="N29" s="63">
        <v>0</v>
      </c>
      <c r="O29" s="63">
        <v>0</v>
      </c>
      <c r="P29" s="63">
        <v>0</v>
      </c>
      <c r="Q29" s="63">
        <v>0</v>
      </c>
      <c r="R29" s="63">
        <v>1</v>
      </c>
      <c r="S29" s="63">
        <v>0</v>
      </c>
      <c r="T29" s="63">
        <v>0</v>
      </c>
      <c r="U29" s="63">
        <v>0</v>
      </c>
      <c r="V29" s="63">
        <v>0</v>
      </c>
      <c r="W29" s="63">
        <v>0</v>
      </c>
      <c r="X29" s="63">
        <v>0</v>
      </c>
      <c r="Y29" s="63">
        <v>1</v>
      </c>
      <c r="Z29" s="63">
        <v>0</v>
      </c>
      <c r="AA29" s="63">
        <v>0</v>
      </c>
      <c r="AB29" s="63">
        <v>0</v>
      </c>
      <c r="AC29" s="63">
        <v>1</v>
      </c>
      <c r="AD29" s="63">
        <v>0</v>
      </c>
      <c r="AE29" s="63">
        <v>1</v>
      </c>
      <c r="AF29" s="63">
        <v>0</v>
      </c>
      <c r="AG29" s="63">
        <v>0</v>
      </c>
      <c r="AH29" s="63">
        <v>1</v>
      </c>
      <c r="AI29" s="63">
        <v>0</v>
      </c>
      <c r="AJ29" s="63">
        <v>0</v>
      </c>
      <c r="AK29" s="63">
        <v>0</v>
      </c>
      <c r="AL29" s="63">
        <v>0</v>
      </c>
      <c r="AM29" s="63">
        <v>0</v>
      </c>
      <c r="AN29" s="63">
        <v>0</v>
      </c>
      <c r="AO29" s="63">
        <v>0</v>
      </c>
      <c r="AP29" s="63">
        <v>0</v>
      </c>
      <c r="AQ29" s="63">
        <v>1</v>
      </c>
      <c r="AR29" s="63">
        <v>0</v>
      </c>
      <c r="AS29" s="63">
        <v>1</v>
      </c>
      <c r="AT29" s="63">
        <v>0</v>
      </c>
      <c r="AU29" s="63">
        <v>0</v>
      </c>
      <c r="AV29" s="63">
        <v>0</v>
      </c>
      <c r="AW29" s="63">
        <v>0</v>
      </c>
      <c r="AX29" s="63">
        <v>0</v>
      </c>
      <c r="AY29" s="63">
        <v>0</v>
      </c>
      <c r="AZ29" s="63">
        <v>0</v>
      </c>
      <c r="BA29" s="63">
        <v>0</v>
      </c>
      <c r="BB29" s="63">
        <v>0</v>
      </c>
      <c r="BC29" s="63">
        <v>0</v>
      </c>
      <c r="BD29" s="63">
        <v>0</v>
      </c>
      <c r="BE29" s="63">
        <v>0</v>
      </c>
      <c r="BF29" s="63">
        <v>0</v>
      </c>
      <c r="BG29" s="63">
        <v>0</v>
      </c>
      <c r="BH29" s="63">
        <v>0</v>
      </c>
      <c r="BI29" s="63">
        <v>0</v>
      </c>
      <c r="BJ29" s="63">
        <v>0</v>
      </c>
      <c r="BK29" s="63">
        <v>0</v>
      </c>
      <c r="BL29" s="63">
        <v>0</v>
      </c>
      <c r="BM29" s="63">
        <v>0</v>
      </c>
      <c r="BN29" s="63">
        <v>0</v>
      </c>
      <c r="BO29" s="63">
        <v>0</v>
      </c>
      <c r="BP29" s="63">
        <v>0</v>
      </c>
      <c r="BQ29" s="63">
        <v>0</v>
      </c>
      <c r="BR29" s="63">
        <v>0</v>
      </c>
      <c r="BS29" s="63">
        <v>0</v>
      </c>
      <c r="BT29" s="63">
        <v>0</v>
      </c>
      <c r="BU29" s="63">
        <v>0</v>
      </c>
      <c r="BV29" s="63">
        <v>0</v>
      </c>
      <c r="BW29" s="63">
        <v>0</v>
      </c>
      <c r="BX29" s="63">
        <v>0</v>
      </c>
      <c r="BY29" s="63">
        <v>0</v>
      </c>
      <c r="BZ29" s="63">
        <v>0</v>
      </c>
      <c r="CA29" s="63">
        <v>0</v>
      </c>
      <c r="CB29" s="63">
        <v>0</v>
      </c>
      <c r="CC29" s="63">
        <v>0</v>
      </c>
      <c r="CD29" s="63">
        <v>0</v>
      </c>
      <c r="CE29" s="63">
        <v>0</v>
      </c>
      <c r="CF29" s="63">
        <v>0</v>
      </c>
      <c r="CG29" s="63">
        <v>0</v>
      </c>
      <c r="CH29" s="63">
        <v>0</v>
      </c>
      <c r="CI29" s="63">
        <v>0</v>
      </c>
      <c r="CJ29" s="63">
        <v>0</v>
      </c>
      <c r="CK29" s="63">
        <v>0</v>
      </c>
      <c r="CL29" s="63">
        <v>0</v>
      </c>
      <c r="CM29" s="63">
        <v>0</v>
      </c>
      <c r="CN29" s="63">
        <v>0</v>
      </c>
      <c r="CO29" s="63">
        <v>0</v>
      </c>
      <c r="CP29" s="63">
        <v>0</v>
      </c>
      <c r="CQ29" s="63">
        <v>0</v>
      </c>
      <c r="CR29" s="63">
        <v>0</v>
      </c>
      <c r="CS29" s="63">
        <v>0</v>
      </c>
      <c r="CT29" s="61">
        <f t="shared" si="0"/>
        <v>7</v>
      </c>
      <c r="CU29" s="61"/>
    </row>
    <row r="30" spans="1:99" ht="15.75" customHeight="1">
      <c r="A30" s="61" t="s">
        <v>355</v>
      </c>
      <c r="B30" s="63">
        <v>0</v>
      </c>
      <c r="C30" s="63">
        <v>0</v>
      </c>
      <c r="D30" s="63">
        <v>0</v>
      </c>
      <c r="E30" s="63">
        <v>0</v>
      </c>
      <c r="F30" s="63">
        <v>0</v>
      </c>
      <c r="G30" s="63">
        <v>0</v>
      </c>
      <c r="H30" s="63">
        <v>0</v>
      </c>
      <c r="I30" s="63">
        <v>0</v>
      </c>
      <c r="J30" s="63">
        <v>0</v>
      </c>
      <c r="K30" s="63">
        <v>0</v>
      </c>
      <c r="L30" s="63">
        <v>0</v>
      </c>
      <c r="M30" s="63">
        <v>0</v>
      </c>
      <c r="N30" s="63">
        <v>0</v>
      </c>
      <c r="O30" s="63">
        <v>0</v>
      </c>
      <c r="P30" s="63">
        <v>0</v>
      </c>
      <c r="Q30" s="63">
        <v>0</v>
      </c>
      <c r="R30" s="63">
        <v>0</v>
      </c>
      <c r="S30" s="63">
        <v>0</v>
      </c>
      <c r="T30" s="63">
        <v>0</v>
      </c>
      <c r="U30" s="63">
        <v>0</v>
      </c>
      <c r="V30" s="63">
        <v>1</v>
      </c>
      <c r="W30" s="63">
        <v>0</v>
      </c>
      <c r="X30" s="63">
        <v>0</v>
      </c>
      <c r="Y30" s="63">
        <v>0</v>
      </c>
      <c r="Z30" s="63">
        <v>0</v>
      </c>
      <c r="AA30" s="63">
        <v>0</v>
      </c>
      <c r="AB30" s="63">
        <v>1</v>
      </c>
      <c r="AC30" s="63">
        <v>0</v>
      </c>
      <c r="AD30" s="63">
        <v>1</v>
      </c>
      <c r="AE30" s="63">
        <v>0</v>
      </c>
      <c r="AF30" s="63">
        <v>0</v>
      </c>
      <c r="AG30" s="63">
        <v>0</v>
      </c>
      <c r="AH30" s="63">
        <v>0</v>
      </c>
      <c r="AI30" s="63">
        <v>0</v>
      </c>
      <c r="AJ30" s="63">
        <v>0</v>
      </c>
      <c r="AK30" s="63">
        <v>1</v>
      </c>
      <c r="AL30" s="63">
        <v>0</v>
      </c>
      <c r="AM30" s="63">
        <v>0</v>
      </c>
      <c r="AN30" s="63">
        <v>0</v>
      </c>
      <c r="AO30" s="63">
        <v>0</v>
      </c>
      <c r="AP30" s="63">
        <v>0</v>
      </c>
      <c r="AQ30" s="63">
        <v>0</v>
      </c>
      <c r="AR30" s="63">
        <v>0</v>
      </c>
      <c r="AS30" s="63">
        <v>0</v>
      </c>
      <c r="AT30" s="63">
        <v>0</v>
      </c>
      <c r="AU30" s="63">
        <v>0</v>
      </c>
      <c r="AV30" s="63">
        <v>0</v>
      </c>
      <c r="AW30" s="63">
        <v>0</v>
      </c>
      <c r="AX30" s="63">
        <v>0</v>
      </c>
      <c r="AY30" s="63">
        <v>0</v>
      </c>
      <c r="AZ30" s="63">
        <v>0</v>
      </c>
      <c r="BA30" s="63">
        <v>0</v>
      </c>
      <c r="BB30" s="63">
        <v>0</v>
      </c>
      <c r="BC30" s="63">
        <v>0</v>
      </c>
      <c r="BD30" s="63">
        <v>0</v>
      </c>
      <c r="BE30" s="63">
        <v>0</v>
      </c>
      <c r="BF30" s="63">
        <v>0</v>
      </c>
      <c r="BG30" s="63">
        <v>0</v>
      </c>
      <c r="BH30" s="63">
        <v>0</v>
      </c>
      <c r="BI30" s="63">
        <v>0</v>
      </c>
      <c r="BJ30" s="63">
        <v>0</v>
      </c>
      <c r="BK30" s="63">
        <v>0</v>
      </c>
      <c r="BL30" s="63">
        <v>0</v>
      </c>
      <c r="BM30" s="63">
        <v>0</v>
      </c>
      <c r="BN30" s="63">
        <v>0</v>
      </c>
      <c r="BO30" s="63">
        <v>0</v>
      </c>
      <c r="BP30" s="63">
        <v>0</v>
      </c>
      <c r="BQ30" s="63">
        <v>0</v>
      </c>
      <c r="BR30" s="63">
        <v>0</v>
      </c>
      <c r="BS30" s="63">
        <v>0</v>
      </c>
      <c r="BT30" s="63">
        <v>0</v>
      </c>
      <c r="BU30" s="63">
        <v>0</v>
      </c>
      <c r="BV30" s="63">
        <v>0</v>
      </c>
      <c r="BW30" s="63">
        <v>0</v>
      </c>
      <c r="BX30" s="63">
        <v>0</v>
      </c>
      <c r="BY30" s="63">
        <v>0</v>
      </c>
      <c r="BZ30" s="63">
        <v>0</v>
      </c>
      <c r="CA30" s="63">
        <v>0</v>
      </c>
      <c r="CB30" s="63">
        <v>0</v>
      </c>
      <c r="CC30" s="63">
        <v>0</v>
      </c>
      <c r="CD30" s="63">
        <v>0</v>
      </c>
      <c r="CE30" s="63">
        <v>0</v>
      </c>
      <c r="CF30" s="63">
        <v>1</v>
      </c>
      <c r="CG30" s="63">
        <v>0</v>
      </c>
      <c r="CH30" s="63">
        <v>0</v>
      </c>
      <c r="CI30" s="63">
        <v>0</v>
      </c>
      <c r="CJ30" s="63">
        <v>0</v>
      </c>
      <c r="CK30" s="63">
        <v>0</v>
      </c>
      <c r="CL30" s="63">
        <v>0</v>
      </c>
      <c r="CM30" s="63">
        <v>0</v>
      </c>
      <c r="CN30" s="63">
        <v>0</v>
      </c>
      <c r="CO30" s="63">
        <v>0</v>
      </c>
      <c r="CP30" s="63">
        <v>0</v>
      </c>
      <c r="CQ30" s="63">
        <v>0</v>
      </c>
      <c r="CR30" s="63">
        <v>0</v>
      </c>
      <c r="CS30" s="63">
        <v>0</v>
      </c>
      <c r="CT30" s="61">
        <f t="shared" si="0"/>
        <v>5</v>
      </c>
      <c r="CU30" s="61"/>
    </row>
    <row r="31" spans="1:99" ht="15.75" customHeight="1">
      <c r="A31" s="61" t="s">
        <v>400</v>
      </c>
      <c r="B31" s="63">
        <v>0</v>
      </c>
      <c r="C31" s="63">
        <v>0</v>
      </c>
      <c r="D31" s="63">
        <v>0</v>
      </c>
      <c r="E31" s="63">
        <v>0</v>
      </c>
      <c r="F31" s="63">
        <v>0</v>
      </c>
      <c r="G31" s="63">
        <v>0</v>
      </c>
      <c r="H31" s="63">
        <v>0</v>
      </c>
      <c r="I31" s="63">
        <v>0</v>
      </c>
      <c r="J31" s="63">
        <v>1</v>
      </c>
      <c r="K31" s="63">
        <v>1</v>
      </c>
      <c r="L31" s="63">
        <v>0</v>
      </c>
      <c r="M31" s="63">
        <v>0</v>
      </c>
      <c r="N31" s="63">
        <v>0</v>
      </c>
      <c r="O31" s="63">
        <v>1</v>
      </c>
      <c r="P31" s="63">
        <v>0</v>
      </c>
      <c r="Q31" s="63">
        <v>0</v>
      </c>
      <c r="R31" s="63">
        <v>0</v>
      </c>
      <c r="S31" s="63">
        <v>0</v>
      </c>
      <c r="T31" s="63">
        <v>0</v>
      </c>
      <c r="U31" s="63">
        <v>0</v>
      </c>
      <c r="V31" s="63">
        <v>0</v>
      </c>
      <c r="W31" s="63">
        <v>0</v>
      </c>
      <c r="X31" s="63">
        <v>0</v>
      </c>
      <c r="Y31" s="63">
        <v>1</v>
      </c>
      <c r="Z31" s="63">
        <v>0</v>
      </c>
      <c r="AA31" s="63">
        <v>0</v>
      </c>
      <c r="AB31" s="63">
        <v>0</v>
      </c>
      <c r="AC31" s="63">
        <v>1</v>
      </c>
      <c r="AD31" s="63">
        <v>0</v>
      </c>
      <c r="AE31" s="63">
        <v>1</v>
      </c>
      <c r="AF31" s="63">
        <v>0</v>
      </c>
      <c r="AG31" s="63">
        <v>0</v>
      </c>
      <c r="AH31" s="63">
        <v>1</v>
      </c>
      <c r="AI31" s="63">
        <v>0</v>
      </c>
      <c r="AJ31" s="63">
        <v>0</v>
      </c>
      <c r="AK31" s="63">
        <v>0</v>
      </c>
      <c r="AL31" s="63">
        <v>0</v>
      </c>
      <c r="AM31" s="63">
        <v>0</v>
      </c>
      <c r="AN31" s="63">
        <v>0</v>
      </c>
      <c r="AO31" s="63">
        <v>0</v>
      </c>
      <c r="AP31" s="63">
        <v>0</v>
      </c>
      <c r="AQ31" s="63">
        <v>0</v>
      </c>
      <c r="AR31" s="63">
        <v>0</v>
      </c>
      <c r="AS31" s="63">
        <v>0</v>
      </c>
      <c r="AT31" s="63">
        <v>0</v>
      </c>
      <c r="AU31" s="63">
        <v>1</v>
      </c>
      <c r="AV31" s="63">
        <v>1</v>
      </c>
      <c r="AW31" s="63">
        <v>0</v>
      </c>
      <c r="AX31" s="63">
        <v>0</v>
      </c>
      <c r="AY31" s="63">
        <v>0</v>
      </c>
      <c r="AZ31" s="63">
        <v>0</v>
      </c>
      <c r="BA31" s="63">
        <v>0</v>
      </c>
      <c r="BB31" s="63">
        <v>0</v>
      </c>
      <c r="BC31" s="63">
        <v>0</v>
      </c>
      <c r="BD31" s="63">
        <v>0</v>
      </c>
      <c r="BE31" s="63">
        <v>0</v>
      </c>
      <c r="BF31" s="63">
        <v>0</v>
      </c>
      <c r="BG31" s="63">
        <v>0</v>
      </c>
      <c r="BH31" s="63">
        <v>0</v>
      </c>
      <c r="BI31" s="63">
        <v>0</v>
      </c>
      <c r="BJ31" s="63">
        <v>0</v>
      </c>
      <c r="BK31" s="63">
        <v>0</v>
      </c>
      <c r="BL31" s="63">
        <v>0</v>
      </c>
      <c r="BM31" s="63">
        <v>0</v>
      </c>
      <c r="BN31" s="63">
        <v>0</v>
      </c>
      <c r="BO31" s="63">
        <v>0</v>
      </c>
      <c r="BP31" s="63">
        <v>0</v>
      </c>
      <c r="BQ31" s="63">
        <v>0</v>
      </c>
      <c r="BR31" s="63">
        <v>0</v>
      </c>
      <c r="BS31" s="63">
        <v>0</v>
      </c>
      <c r="BT31" s="63">
        <v>0</v>
      </c>
      <c r="BU31" s="63">
        <v>0</v>
      </c>
      <c r="BV31" s="63">
        <v>0</v>
      </c>
      <c r="BW31" s="63">
        <v>0</v>
      </c>
      <c r="BX31" s="63">
        <v>0</v>
      </c>
      <c r="BY31" s="63">
        <v>0</v>
      </c>
      <c r="BZ31" s="63">
        <v>0</v>
      </c>
      <c r="CA31" s="63">
        <v>0</v>
      </c>
      <c r="CB31" s="63">
        <v>0</v>
      </c>
      <c r="CC31" s="63">
        <v>0</v>
      </c>
      <c r="CD31" s="63">
        <v>0</v>
      </c>
      <c r="CE31" s="63">
        <v>0</v>
      </c>
      <c r="CF31" s="63">
        <v>0</v>
      </c>
      <c r="CG31" s="63">
        <v>0</v>
      </c>
      <c r="CH31" s="63">
        <v>0</v>
      </c>
      <c r="CI31" s="63">
        <v>0</v>
      </c>
      <c r="CJ31" s="63">
        <v>0</v>
      </c>
      <c r="CK31" s="63">
        <v>0</v>
      </c>
      <c r="CL31" s="63">
        <v>0</v>
      </c>
      <c r="CM31" s="63">
        <v>0</v>
      </c>
      <c r="CN31" s="63">
        <v>0</v>
      </c>
      <c r="CO31" s="63">
        <v>0</v>
      </c>
      <c r="CP31" s="63">
        <v>0</v>
      </c>
      <c r="CQ31" s="63">
        <v>0</v>
      </c>
      <c r="CR31" s="63">
        <v>0</v>
      </c>
      <c r="CS31" s="63">
        <v>0</v>
      </c>
      <c r="CT31" s="61">
        <f t="shared" si="0"/>
        <v>9</v>
      </c>
      <c r="CU31" s="61"/>
    </row>
    <row r="32" spans="1:99" ht="15.75" customHeight="1">
      <c r="A32" s="61" t="s">
        <v>361</v>
      </c>
      <c r="B32" s="63">
        <v>0</v>
      </c>
      <c r="C32" s="63">
        <v>0</v>
      </c>
      <c r="D32" s="63">
        <v>0</v>
      </c>
      <c r="E32" s="63">
        <v>0</v>
      </c>
      <c r="F32" s="63">
        <v>0</v>
      </c>
      <c r="G32" s="63">
        <v>0</v>
      </c>
      <c r="H32" s="63">
        <v>0</v>
      </c>
      <c r="I32" s="63">
        <v>0</v>
      </c>
      <c r="J32" s="63">
        <v>0</v>
      </c>
      <c r="K32" s="63">
        <v>0</v>
      </c>
      <c r="L32" s="63">
        <v>0</v>
      </c>
      <c r="M32" s="63">
        <v>0</v>
      </c>
      <c r="N32" s="63">
        <v>0</v>
      </c>
      <c r="O32" s="63">
        <v>0</v>
      </c>
      <c r="P32" s="63">
        <v>0</v>
      </c>
      <c r="Q32" s="63">
        <v>0</v>
      </c>
      <c r="R32" s="63">
        <v>0</v>
      </c>
      <c r="S32" s="63">
        <v>0</v>
      </c>
      <c r="T32" s="63">
        <v>0</v>
      </c>
      <c r="U32" s="63">
        <v>0</v>
      </c>
      <c r="V32" s="63">
        <v>0</v>
      </c>
      <c r="W32" s="63">
        <v>0</v>
      </c>
      <c r="X32" s="63">
        <v>0</v>
      </c>
      <c r="Y32" s="63">
        <v>0</v>
      </c>
      <c r="Z32" s="63">
        <v>0</v>
      </c>
      <c r="AA32" s="63">
        <v>0</v>
      </c>
      <c r="AB32" s="63">
        <v>0</v>
      </c>
      <c r="AC32" s="63">
        <v>0</v>
      </c>
      <c r="AD32" s="63">
        <v>0</v>
      </c>
      <c r="AE32" s="63">
        <v>0</v>
      </c>
      <c r="AF32" s="63">
        <v>1</v>
      </c>
      <c r="AG32" s="63">
        <v>1</v>
      </c>
      <c r="AH32" s="63">
        <v>0</v>
      </c>
      <c r="AI32" s="63">
        <v>1</v>
      </c>
      <c r="AJ32" s="63">
        <v>0</v>
      </c>
      <c r="AK32" s="63">
        <v>0</v>
      </c>
      <c r="AL32" s="63">
        <v>0</v>
      </c>
      <c r="AM32" s="63">
        <v>0</v>
      </c>
      <c r="AN32" s="63">
        <v>0</v>
      </c>
      <c r="AO32" s="63">
        <v>0</v>
      </c>
      <c r="AP32" s="63">
        <v>0</v>
      </c>
      <c r="AQ32" s="63">
        <v>0</v>
      </c>
      <c r="AR32" s="63">
        <v>0</v>
      </c>
      <c r="AS32" s="63">
        <v>0</v>
      </c>
      <c r="AT32" s="63">
        <v>0</v>
      </c>
      <c r="AU32" s="63">
        <v>0</v>
      </c>
      <c r="AV32" s="63">
        <v>0</v>
      </c>
      <c r="AW32" s="63">
        <v>0</v>
      </c>
      <c r="AX32" s="63">
        <v>0</v>
      </c>
      <c r="AY32" s="63">
        <v>0</v>
      </c>
      <c r="AZ32" s="63">
        <v>0</v>
      </c>
      <c r="BA32" s="63">
        <v>0</v>
      </c>
      <c r="BB32" s="63">
        <v>0</v>
      </c>
      <c r="BC32" s="63">
        <v>0</v>
      </c>
      <c r="BD32" s="63">
        <v>0</v>
      </c>
      <c r="BE32" s="63">
        <v>0</v>
      </c>
      <c r="BF32" s="63">
        <v>0</v>
      </c>
      <c r="BG32" s="63">
        <v>0</v>
      </c>
      <c r="BH32" s="63">
        <v>0</v>
      </c>
      <c r="BI32" s="63">
        <v>0</v>
      </c>
      <c r="BJ32" s="63">
        <v>0</v>
      </c>
      <c r="BK32" s="63">
        <v>1</v>
      </c>
      <c r="BL32" s="63">
        <v>0</v>
      </c>
      <c r="BM32" s="63">
        <v>0</v>
      </c>
      <c r="BN32" s="63">
        <v>0</v>
      </c>
      <c r="BO32" s="63">
        <v>0</v>
      </c>
      <c r="BP32" s="63">
        <v>0</v>
      </c>
      <c r="BQ32" s="63">
        <v>0</v>
      </c>
      <c r="BR32" s="63">
        <v>0</v>
      </c>
      <c r="BS32" s="63">
        <v>0</v>
      </c>
      <c r="BT32" s="63">
        <v>0</v>
      </c>
      <c r="BU32" s="63">
        <v>0</v>
      </c>
      <c r="BV32" s="63">
        <v>0</v>
      </c>
      <c r="BW32" s="63">
        <v>0</v>
      </c>
      <c r="BX32" s="63">
        <v>0</v>
      </c>
      <c r="BY32" s="63">
        <v>0</v>
      </c>
      <c r="BZ32" s="63">
        <v>0</v>
      </c>
      <c r="CA32" s="63">
        <v>0</v>
      </c>
      <c r="CB32" s="63">
        <v>0</v>
      </c>
      <c r="CC32" s="63">
        <v>0</v>
      </c>
      <c r="CD32" s="63">
        <v>0</v>
      </c>
      <c r="CE32" s="63">
        <v>0</v>
      </c>
      <c r="CF32" s="63">
        <v>0</v>
      </c>
      <c r="CG32" s="63">
        <v>0</v>
      </c>
      <c r="CH32" s="63">
        <v>1</v>
      </c>
      <c r="CI32" s="63">
        <v>0</v>
      </c>
      <c r="CJ32" s="63">
        <v>0</v>
      </c>
      <c r="CK32" s="63">
        <v>0</v>
      </c>
      <c r="CL32" s="63">
        <v>0</v>
      </c>
      <c r="CM32" s="63">
        <v>0</v>
      </c>
      <c r="CN32" s="63">
        <v>0</v>
      </c>
      <c r="CO32" s="63">
        <v>0</v>
      </c>
      <c r="CP32" s="63">
        <v>0</v>
      </c>
      <c r="CQ32" s="63">
        <v>0</v>
      </c>
      <c r="CR32" s="63">
        <v>0</v>
      </c>
      <c r="CS32" s="63">
        <v>0</v>
      </c>
      <c r="CT32" s="61">
        <f t="shared" si="0"/>
        <v>5</v>
      </c>
      <c r="CU32" s="61"/>
    </row>
    <row r="33" spans="1:99" ht="15.75" customHeight="1">
      <c r="A33" s="61" t="s">
        <v>342</v>
      </c>
      <c r="B33" s="63">
        <v>0</v>
      </c>
      <c r="C33" s="63">
        <v>0</v>
      </c>
      <c r="D33" s="63">
        <v>0</v>
      </c>
      <c r="E33" s="63">
        <v>0</v>
      </c>
      <c r="F33" s="63">
        <v>0</v>
      </c>
      <c r="G33" s="63">
        <v>0</v>
      </c>
      <c r="H33" s="63">
        <v>0</v>
      </c>
      <c r="I33" s="63">
        <v>0</v>
      </c>
      <c r="J33" s="63">
        <v>0</v>
      </c>
      <c r="K33" s="63">
        <v>0</v>
      </c>
      <c r="L33" s="63">
        <v>0</v>
      </c>
      <c r="M33" s="63">
        <v>0</v>
      </c>
      <c r="N33" s="63">
        <v>0</v>
      </c>
      <c r="O33" s="63">
        <v>0</v>
      </c>
      <c r="P33" s="63">
        <v>0</v>
      </c>
      <c r="Q33" s="63">
        <v>0</v>
      </c>
      <c r="R33" s="63">
        <v>0</v>
      </c>
      <c r="S33" s="63">
        <v>0</v>
      </c>
      <c r="T33" s="63">
        <v>0</v>
      </c>
      <c r="U33" s="63">
        <v>0</v>
      </c>
      <c r="V33" s="63">
        <v>0</v>
      </c>
      <c r="W33" s="63">
        <v>0</v>
      </c>
      <c r="X33" s="63">
        <v>0</v>
      </c>
      <c r="Y33" s="63">
        <v>0</v>
      </c>
      <c r="Z33" s="63">
        <v>0</v>
      </c>
      <c r="AA33" s="63">
        <v>0</v>
      </c>
      <c r="AB33" s="63">
        <v>0</v>
      </c>
      <c r="AC33" s="63">
        <v>0</v>
      </c>
      <c r="AD33" s="63">
        <v>0</v>
      </c>
      <c r="AE33" s="63">
        <v>0</v>
      </c>
      <c r="AF33" s="63">
        <v>1</v>
      </c>
      <c r="AG33" s="63">
        <v>1</v>
      </c>
      <c r="AH33" s="63">
        <v>0</v>
      </c>
      <c r="AI33" s="63">
        <v>0</v>
      </c>
      <c r="AJ33" s="63">
        <v>0</v>
      </c>
      <c r="AK33" s="63">
        <v>0</v>
      </c>
      <c r="AL33" s="63">
        <v>0</v>
      </c>
      <c r="AM33" s="63">
        <v>0</v>
      </c>
      <c r="AN33" s="63">
        <v>0</v>
      </c>
      <c r="AO33" s="63">
        <v>0</v>
      </c>
      <c r="AP33" s="63">
        <v>0</v>
      </c>
      <c r="AQ33" s="63">
        <v>0</v>
      </c>
      <c r="AR33" s="63">
        <v>0</v>
      </c>
      <c r="AS33" s="63">
        <v>0</v>
      </c>
      <c r="AT33" s="63">
        <v>0</v>
      </c>
      <c r="AU33" s="63">
        <v>0</v>
      </c>
      <c r="AV33" s="63">
        <v>0</v>
      </c>
      <c r="AW33" s="63">
        <v>0</v>
      </c>
      <c r="AX33" s="63">
        <v>0</v>
      </c>
      <c r="AY33" s="63">
        <v>0</v>
      </c>
      <c r="AZ33" s="63">
        <v>0</v>
      </c>
      <c r="BA33" s="63">
        <v>1</v>
      </c>
      <c r="BB33" s="63">
        <v>0</v>
      </c>
      <c r="BC33" s="63">
        <v>0</v>
      </c>
      <c r="BD33" s="63">
        <v>0</v>
      </c>
      <c r="BE33" s="63">
        <v>0</v>
      </c>
      <c r="BF33" s="63">
        <v>0</v>
      </c>
      <c r="BG33" s="63">
        <v>0</v>
      </c>
      <c r="BH33" s="63">
        <v>0</v>
      </c>
      <c r="BI33" s="63">
        <v>0</v>
      </c>
      <c r="BJ33" s="63">
        <v>0</v>
      </c>
      <c r="BK33" s="63">
        <v>1</v>
      </c>
      <c r="BL33" s="63">
        <v>0</v>
      </c>
      <c r="BM33" s="63">
        <v>0</v>
      </c>
      <c r="BN33" s="63">
        <v>0</v>
      </c>
      <c r="BO33" s="63">
        <v>0</v>
      </c>
      <c r="BP33" s="63">
        <v>0</v>
      </c>
      <c r="BQ33" s="63">
        <v>0</v>
      </c>
      <c r="BR33" s="63">
        <v>0</v>
      </c>
      <c r="BS33" s="63">
        <v>0</v>
      </c>
      <c r="BT33" s="63">
        <v>0</v>
      </c>
      <c r="BU33" s="63">
        <v>0</v>
      </c>
      <c r="BV33" s="63">
        <v>0</v>
      </c>
      <c r="BW33" s="63">
        <v>0</v>
      </c>
      <c r="BX33" s="63">
        <v>0</v>
      </c>
      <c r="BY33" s="63">
        <v>0</v>
      </c>
      <c r="BZ33" s="63">
        <v>0</v>
      </c>
      <c r="CA33" s="63">
        <v>0</v>
      </c>
      <c r="CB33" s="63">
        <v>0</v>
      </c>
      <c r="CC33" s="63">
        <v>0</v>
      </c>
      <c r="CD33" s="63">
        <v>0</v>
      </c>
      <c r="CE33" s="63">
        <v>0</v>
      </c>
      <c r="CF33" s="63">
        <v>0</v>
      </c>
      <c r="CG33" s="63">
        <v>1</v>
      </c>
      <c r="CH33" s="63">
        <v>1</v>
      </c>
      <c r="CI33" s="63">
        <v>0</v>
      </c>
      <c r="CJ33" s="63">
        <v>0</v>
      </c>
      <c r="CK33" s="63">
        <v>0</v>
      </c>
      <c r="CL33" s="63">
        <v>0</v>
      </c>
      <c r="CM33" s="63">
        <v>0</v>
      </c>
      <c r="CN33" s="63">
        <v>0</v>
      </c>
      <c r="CO33" s="63">
        <v>0</v>
      </c>
      <c r="CP33" s="63">
        <v>0</v>
      </c>
      <c r="CQ33" s="63">
        <v>0</v>
      </c>
      <c r="CR33" s="63">
        <v>0</v>
      </c>
      <c r="CS33" s="63">
        <v>0</v>
      </c>
      <c r="CT33" s="61">
        <f t="shared" si="0"/>
        <v>6</v>
      </c>
      <c r="CU33" s="61"/>
    </row>
    <row r="34" spans="1:99" ht="15.75" customHeight="1">
      <c r="A34" s="61" t="s">
        <v>291</v>
      </c>
      <c r="B34" s="63">
        <v>0</v>
      </c>
      <c r="C34" s="63">
        <v>0</v>
      </c>
      <c r="D34" s="63">
        <v>0</v>
      </c>
      <c r="E34" s="63">
        <v>0</v>
      </c>
      <c r="F34" s="63">
        <v>0</v>
      </c>
      <c r="G34" s="63">
        <v>0</v>
      </c>
      <c r="H34" s="63">
        <v>0</v>
      </c>
      <c r="I34" s="63">
        <v>0</v>
      </c>
      <c r="J34" s="63">
        <v>0</v>
      </c>
      <c r="K34" s="63">
        <v>0</v>
      </c>
      <c r="L34" s="63">
        <v>1</v>
      </c>
      <c r="M34" s="63">
        <v>0</v>
      </c>
      <c r="N34" s="63">
        <v>1</v>
      </c>
      <c r="O34" s="63">
        <v>0</v>
      </c>
      <c r="P34" s="63">
        <v>0</v>
      </c>
      <c r="Q34" s="63">
        <v>0</v>
      </c>
      <c r="R34" s="63">
        <v>1</v>
      </c>
      <c r="S34" s="63">
        <v>0</v>
      </c>
      <c r="T34" s="63">
        <v>0</v>
      </c>
      <c r="U34" s="63">
        <v>0</v>
      </c>
      <c r="V34" s="63">
        <v>0</v>
      </c>
      <c r="W34" s="63">
        <v>0</v>
      </c>
      <c r="X34" s="63">
        <v>0</v>
      </c>
      <c r="Y34" s="63">
        <v>0</v>
      </c>
      <c r="Z34" s="63">
        <v>0</v>
      </c>
      <c r="AA34" s="63">
        <v>0</v>
      </c>
      <c r="AB34" s="63">
        <v>0</v>
      </c>
      <c r="AC34" s="63">
        <v>1</v>
      </c>
      <c r="AD34" s="63">
        <v>0</v>
      </c>
      <c r="AE34" s="63">
        <v>1</v>
      </c>
      <c r="AF34" s="63">
        <v>0</v>
      </c>
      <c r="AG34" s="63">
        <v>0</v>
      </c>
      <c r="AH34" s="63">
        <v>1</v>
      </c>
      <c r="AI34" s="63">
        <v>0</v>
      </c>
      <c r="AJ34" s="63">
        <v>0</v>
      </c>
      <c r="AK34" s="63">
        <v>0</v>
      </c>
      <c r="AL34" s="63">
        <v>0</v>
      </c>
      <c r="AM34" s="63">
        <v>0</v>
      </c>
      <c r="AN34" s="63">
        <v>0</v>
      </c>
      <c r="AO34" s="63">
        <v>0</v>
      </c>
      <c r="AP34" s="63">
        <v>0</v>
      </c>
      <c r="AQ34" s="63">
        <v>0</v>
      </c>
      <c r="AR34" s="63">
        <v>0</v>
      </c>
      <c r="AS34" s="63">
        <v>0</v>
      </c>
      <c r="AT34" s="63">
        <v>0</v>
      </c>
      <c r="AU34" s="63">
        <v>1</v>
      </c>
      <c r="AV34" s="63">
        <v>0</v>
      </c>
      <c r="AW34" s="63">
        <v>0</v>
      </c>
      <c r="AX34" s="63">
        <v>0</v>
      </c>
      <c r="AY34" s="63">
        <v>0</v>
      </c>
      <c r="AZ34" s="63">
        <v>0</v>
      </c>
      <c r="BA34" s="63">
        <v>0</v>
      </c>
      <c r="BB34" s="63">
        <v>0</v>
      </c>
      <c r="BC34" s="63">
        <v>0</v>
      </c>
      <c r="BD34" s="63">
        <v>0</v>
      </c>
      <c r="BE34" s="63">
        <v>0</v>
      </c>
      <c r="BF34" s="63">
        <v>0</v>
      </c>
      <c r="BG34" s="63">
        <v>0</v>
      </c>
      <c r="BH34" s="63">
        <v>0</v>
      </c>
      <c r="BI34" s="63">
        <v>0</v>
      </c>
      <c r="BJ34" s="63">
        <v>0</v>
      </c>
      <c r="BK34" s="63">
        <v>0</v>
      </c>
      <c r="BL34" s="63">
        <v>0</v>
      </c>
      <c r="BM34" s="63">
        <v>0</v>
      </c>
      <c r="BN34" s="63">
        <v>0</v>
      </c>
      <c r="BO34" s="63">
        <v>0</v>
      </c>
      <c r="BP34" s="63">
        <v>0</v>
      </c>
      <c r="BQ34" s="63">
        <v>0</v>
      </c>
      <c r="BR34" s="63">
        <v>0</v>
      </c>
      <c r="BS34" s="63">
        <v>0</v>
      </c>
      <c r="BT34" s="63">
        <v>0</v>
      </c>
      <c r="BU34" s="63">
        <v>0</v>
      </c>
      <c r="BV34" s="63">
        <v>0</v>
      </c>
      <c r="BW34" s="63">
        <v>0</v>
      </c>
      <c r="BX34" s="63">
        <v>0</v>
      </c>
      <c r="BY34" s="63">
        <v>0</v>
      </c>
      <c r="BZ34" s="63">
        <v>0</v>
      </c>
      <c r="CA34" s="63">
        <v>0</v>
      </c>
      <c r="CB34" s="63">
        <v>0</v>
      </c>
      <c r="CC34" s="63">
        <v>0</v>
      </c>
      <c r="CD34" s="63">
        <v>0</v>
      </c>
      <c r="CE34" s="63">
        <v>0</v>
      </c>
      <c r="CF34" s="63">
        <v>0</v>
      </c>
      <c r="CG34" s="63">
        <v>0</v>
      </c>
      <c r="CH34" s="63">
        <v>0</v>
      </c>
      <c r="CI34" s="63">
        <v>0</v>
      </c>
      <c r="CJ34" s="63">
        <v>0</v>
      </c>
      <c r="CK34" s="63">
        <v>0</v>
      </c>
      <c r="CL34" s="63">
        <v>0</v>
      </c>
      <c r="CM34" s="63">
        <v>0</v>
      </c>
      <c r="CN34" s="63">
        <v>0</v>
      </c>
      <c r="CO34" s="63">
        <v>0</v>
      </c>
      <c r="CP34" s="63">
        <v>0</v>
      </c>
      <c r="CQ34" s="63">
        <v>0</v>
      </c>
      <c r="CR34" s="63">
        <v>0</v>
      </c>
      <c r="CS34" s="63">
        <v>0</v>
      </c>
      <c r="CT34" s="61">
        <f t="shared" si="0"/>
        <v>7</v>
      </c>
      <c r="CU34" s="61"/>
    </row>
    <row r="35" spans="1:99" ht="15.75" customHeight="1">
      <c r="A35" s="61" t="s">
        <v>360</v>
      </c>
      <c r="B35" s="63">
        <v>0</v>
      </c>
      <c r="C35" s="63">
        <v>0</v>
      </c>
      <c r="D35" s="63">
        <v>0</v>
      </c>
      <c r="E35" s="63">
        <v>0</v>
      </c>
      <c r="F35" s="63">
        <v>0</v>
      </c>
      <c r="G35" s="63">
        <v>0</v>
      </c>
      <c r="H35" s="63">
        <v>0</v>
      </c>
      <c r="I35" s="63">
        <v>0</v>
      </c>
      <c r="J35" s="63">
        <v>0</v>
      </c>
      <c r="K35" s="63">
        <v>0</v>
      </c>
      <c r="L35" s="63">
        <v>0</v>
      </c>
      <c r="M35" s="63">
        <v>0</v>
      </c>
      <c r="N35" s="63">
        <v>0</v>
      </c>
      <c r="O35" s="63">
        <v>0</v>
      </c>
      <c r="P35" s="63">
        <v>0</v>
      </c>
      <c r="Q35" s="63">
        <v>0</v>
      </c>
      <c r="R35" s="63">
        <v>0</v>
      </c>
      <c r="S35" s="63">
        <v>0</v>
      </c>
      <c r="T35" s="63">
        <v>0</v>
      </c>
      <c r="U35" s="63">
        <v>0</v>
      </c>
      <c r="V35" s="63">
        <v>0</v>
      </c>
      <c r="W35" s="63">
        <v>0</v>
      </c>
      <c r="X35" s="63">
        <v>0</v>
      </c>
      <c r="Y35" s="63">
        <v>0</v>
      </c>
      <c r="Z35" s="63">
        <v>0</v>
      </c>
      <c r="AA35" s="63">
        <v>0</v>
      </c>
      <c r="AB35" s="63">
        <v>0</v>
      </c>
      <c r="AC35" s="63">
        <v>0</v>
      </c>
      <c r="AD35" s="63">
        <v>0</v>
      </c>
      <c r="AE35" s="63">
        <v>0</v>
      </c>
      <c r="AF35" s="63">
        <v>1</v>
      </c>
      <c r="AG35" s="63">
        <v>0</v>
      </c>
      <c r="AH35" s="63">
        <v>0</v>
      </c>
      <c r="AI35" s="63">
        <v>1</v>
      </c>
      <c r="AJ35" s="63">
        <v>0</v>
      </c>
      <c r="AK35" s="63">
        <v>0</v>
      </c>
      <c r="AL35" s="63">
        <v>0</v>
      </c>
      <c r="AM35" s="63">
        <v>0</v>
      </c>
      <c r="AN35" s="63">
        <v>0</v>
      </c>
      <c r="AO35" s="63">
        <v>0</v>
      </c>
      <c r="AP35" s="63">
        <v>0</v>
      </c>
      <c r="AQ35" s="63">
        <v>0</v>
      </c>
      <c r="AR35" s="63">
        <v>0</v>
      </c>
      <c r="AS35" s="63">
        <v>0</v>
      </c>
      <c r="AT35" s="63">
        <v>0</v>
      </c>
      <c r="AU35" s="63">
        <v>0</v>
      </c>
      <c r="AV35" s="63">
        <v>0</v>
      </c>
      <c r="AW35" s="63">
        <v>0</v>
      </c>
      <c r="AX35" s="63">
        <v>0</v>
      </c>
      <c r="AY35" s="63">
        <v>0</v>
      </c>
      <c r="AZ35" s="63">
        <v>0</v>
      </c>
      <c r="BA35" s="63">
        <v>0</v>
      </c>
      <c r="BB35" s="63">
        <v>0</v>
      </c>
      <c r="BC35" s="63">
        <v>0</v>
      </c>
      <c r="BD35" s="63">
        <v>0</v>
      </c>
      <c r="BE35" s="63">
        <v>0</v>
      </c>
      <c r="BF35" s="63">
        <v>0</v>
      </c>
      <c r="BG35" s="63">
        <v>0</v>
      </c>
      <c r="BH35" s="63">
        <v>0</v>
      </c>
      <c r="BI35" s="63">
        <v>0</v>
      </c>
      <c r="BJ35" s="63">
        <v>0</v>
      </c>
      <c r="BK35" s="63">
        <v>1</v>
      </c>
      <c r="BL35" s="63">
        <v>0</v>
      </c>
      <c r="BM35" s="63">
        <v>0</v>
      </c>
      <c r="BN35" s="63">
        <v>0</v>
      </c>
      <c r="BO35" s="63">
        <v>0</v>
      </c>
      <c r="BP35" s="63">
        <v>0</v>
      </c>
      <c r="BQ35" s="63">
        <v>0</v>
      </c>
      <c r="BR35" s="63">
        <v>0</v>
      </c>
      <c r="BS35" s="63">
        <v>0</v>
      </c>
      <c r="BT35" s="63">
        <v>0</v>
      </c>
      <c r="BU35" s="63">
        <v>1</v>
      </c>
      <c r="BV35" s="63">
        <v>0</v>
      </c>
      <c r="BW35" s="63">
        <v>0</v>
      </c>
      <c r="BX35" s="63">
        <v>0</v>
      </c>
      <c r="BY35" s="63">
        <v>1</v>
      </c>
      <c r="BZ35" s="63">
        <v>0</v>
      </c>
      <c r="CA35" s="63">
        <v>0</v>
      </c>
      <c r="CB35" s="63">
        <v>0</v>
      </c>
      <c r="CC35" s="63">
        <v>0</v>
      </c>
      <c r="CD35" s="63">
        <v>0</v>
      </c>
      <c r="CE35" s="63">
        <v>0</v>
      </c>
      <c r="CF35" s="63">
        <v>0</v>
      </c>
      <c r="CG35" s="63">
        <v>0</v>
      </c>
      <c r="CH35" s="63">
        <v>1</v>
      </c>
      <c r="CI35" s="63">
        <v>0</v>
      </c>
      <c r="CJ35" s="63">
        <v>0</v>
      </c>
      <c r="CK35" s="63">
        <v>0</v>
      </c>
      <c r="CL35" s="63">
        <v>0</v>
      </c>
      <c r="CM35" s="63">
        <v>0</v>
      </c>
      <c r="CN35" s="63">
        <v>0</v>
      </c>
      <c r="CO35" s="63">
        <v>0</v>
      </c>
      <c r="CP35" s="63">
        <v>0</v>
      </c>
      <c r="CQ35" s="63">
        <v>0</v>
      </c>
      <c r="CR35" s="63">
        <v>0</v>
      </c>
      <c r="CS35" s="63">
        <v>0</v>
      </c>
      <c r="CT35" s="61">
        <f t="shared" si="0"/>
        <v>6</v>
      </c>
      <c r="CU35" s="61"/>
    </row>
    <row r="36" spans="1:99" ht="15.75" customHeight="1">
      <c r="A36" s="61" t="s">
        <v>341</v>
      </c>
      <c r="B36" s="63">
        <v>0</v>
      </c>
      <c r="C36" s="63">
        <v>0</v>
      </c>
      <c r="D36" s="63">
        <v>0</v>
      </c>
      <c r="E36" s="63">
        <v>0</v>
      </c>
      <c r="F36" s="63">
        <v>0</v>
      </c>
      <c r="G36" s="63">
        <v>0</v>
      </c>
      <c r="H36" s="63">
        <v>0</v>
      </c>
      <c r="I36" s="63">
        <v>0</v>
      </c>
      <c r="J36" s="63">
        <v>0</v>
      </c>
      <c r="K36" s="63">
        <v>0</v>
      </c>
      <c r="L36" s="63">
        <v>0</v>
      </c>
      <c r="M36" s="63">
        <v>0</v>
      </c>
      <c r="N36" s="63">
        <v>0</v>
      </c>
      <c r="O36" s="63">
        <v>0</v>
      </c>
      <c r="P36" s="63">
        <v>1</v>
      </c>
      <c r="Q36" s="63">
        <v>0</v>
      </c>
      <c r="R36" s="63">
        <v>0</v>
      </c>
      <c r="S36" s="63">
        <v>0</v>
      </c>
      <c r="T36" s="63">
        <v>0</v>
      </c>
      <c r="U36" s="63">
        <v>0</v>
      </c>
      <c r="V36" s="63">
        <v>0</v>
      </c>
      <c r="W36" s="63">
        <v>0</v>
      </c>
      <c r="X36" s="63">
        <v>0</v>
      </c>
      <c r="Y36" s="63">
        <v>0</v>
      </c>
      <c r="Z36" s="63">
        <v>0</v>
      </c>
      <c r="AA36" s="63">
        <v>0</v>
      </c>
      <c r="AB36" s="63">
        <v>1</v>
      </c>
      <c r="AC36" s="63">
        <v>0</v>
      </c>
      <c r="AD36" s="63">
        <v>0</v>
      </c>
      <c r="AE36" s="63">
        <v>0</v>
      </c>
      <c r="AF36" s="63">
        <v>0</v>
      </c>
      <c r="AG36" s="63">
        <v>0</v>
      </c>
      <c r="AH36" s="63">
        <v>0</v>
      </c>
      <c r="AI36" s="63">
        <v>0</v>
      </c>
      <c r="AJ36" s="63">
        <v>1</v>
      </c>
      <c r="AK36" s="63">
        <v>0</v>
      </c>
      <c r="AL36" s="63">
        <v>0</v>
      </c>
      <c r="AM36" s="63">
        <v>0</v>
      </c>
      <c r="AN36" s="63">
        <v>0</v>
      </c>
      <c r="AO36" s="63">
        <v>0</v>
      </c>
      <c r="AP36" s="63">
        <v>0</v>
      </c>
      <c r="AQ36" s="63">
        <v>0</v>
      </c>
      <c r="AR36" s="63">
        <v>0</v>
      </c>
      <c r="AS36" s="63">
        <v>0</v>
      </c>
      <c r="AT36" s="63">
        <v>0</v>
      </c>
      <c r="AU36" s="63">
        <v>0</v>
      </c>
      <c r="AV36" s="63">
        <v>0</v>
      </c>
      <c r="AW36" s="63">
        <v>0</v>
      </c>
      <c r="AX36" s="63">
        <v>0</v>
      </c>
      <c r="AY36" s="63">
        <v>0</v>
      </c>
      <c r="AZ36" s="63">
        <v>0</v>
      </c>
      <c r="BA36" s="63">
        <v>0</v>
      </c>
      <c r="BB36" s="63">
        <v>0</v>
      </c>
      <c r="BC36" s="63">
        <v>0</v>
      </c>
      <c r="BD36" s="63">
        <v>0</v>
      </c>
      <c r="BE36" s="63">
        <v>0</v>
      </c>
      <c r="BF36" s="63">
        <v>0</v>
      </c>
      <c r="BG36" s="63">
        <v>0</v>
      </c>
      <c r="BH36" s="63">
        <v>0</v>
      </c>
      <c r="BI36" s="63">
        <v>0</v>
      </c>
      <c r="BJ36" s="63">
        <v>0</v>
      </c>
      <c r="BK36" s="63">
        <v>0</v>
      </c>
      <c r="BL36" s="63">
        <v>0</v>
      </c>
      <c r="BM36" s="63">
        <v>0</v>
      </c>
      <c r="BN36" s="63">
        <v>0</v>
      </c>
      <c r="BO36" s="63">
        <v>0</v>
      </c>
      <c r="BP36" s="63">
        <v>0</v>
      </c>
      <c r="BQ36" s="63">
        <v>0</v>
      </c>
      <c r="BR36" s="63">
        <v>0</v>
      </c>
      <c r="BS36" s="63">
        <v>0</v>
      </c>
      <c r="BT36" s="63">
        <v>0</v>
      </c>
      <c r="BU36" s="63">
        <v>0</v>
      </c>
      <c r="BV36" s="63">
        <v>0</v>
      </c>
      <c r="BW36" s="63">
        <v>0</v>
      </c>
      <c r="BX36" s="63">
        <v>0</v>
      </c>
      <c r="BY36" s="63">
        <v>0</v>
      </c>
      <c r="BZ36" s="63">
        <v>0</v>
      </c>
      <c r="CA36" s="63">
        <v>0</v>
      </c>
      <c r="CB36" s="63">
        <v>0</v>
      </c>
      <c r="CC36" s="63">
        <v>0</v>
      </c>
      <c r="CD36" s="63">
        <v>0</v>
      </c>
      <c r="CE36" s="63">
        <v>0</v>
      </c>
      <c r="CF36" s="63">
        <v>1</v>
      </c>
      <c r="CG36" s="63">
        <v>0</v>
      </c>
      <c r="CH36" s="63">
        <v>0</v>
      </c>
      <c r="CI36" s="63">
        <v>0</v>
      </c>
      <c r="CJ36" s="63">
        <v>0</v>
      </c>
      <c r="CK36" s="63">
        <v>0</v>
      </c>
      <c r="CL36" s="63">
        <v>0</v>
      </c>
      <c r="CM36" s="63">
        <v>0</v>
      </c>
      <c r="CN36" s="63">
        <v>0</v>
      </c>
      <c r="CO36" s="63">
        <v>0</v>
      </c>
      <c r="CP36" s="63">
        <v>0</v>
      </c>
      <c r="CQ36" s="63">
        <v>0</v>
      </c>
      <c r="CR36" s="63">
        <v>0</v>
      </c>
      <c r="CS36" s="63">
        <v>0</v>
      </c>
      <c r="CT36" s="61">
        <f t="shared" si="0"/>
        <v>4</v>
      </c>
      <c r="CU36" s="61"/>
    </row>
    <row r="37" spans="1:99" ht="12.75">
      <c r="A37" s="61" t="s">
        <v>296</v>
      </c>
      <c r="B37" s="63">
        <v>0</v>
      </c>
      <c r="C37" s="63">
        <v>0</v>
      </c>
      <c r="D37" s="63">
        <v>0</v>
      </c>
      <c r="E37" s="63">
        <v>0</v>
      </c>
      <c r="F37" s="63">
        <v>0</v>
      </c>
      <c r="G37" s="63">
        <v>0</v>
      </c>
      <c r="H37" s="63">
        <v>0</v>
      </c>
      <c r="I37" s="63">
        <v>0</v>
      </c>
      <c r="J37" s="63">
        <v>0</v>
      </c>
      <c r="K37" s="63">
        <v>0</v>
      </c>
      <c r="L37" s="63">
        <v>0</v>
      </c>
      <c r="M37" s="63">
        <v>0</v>
      </c>
      <c r="N37" s="63">
        <v>0</v>
      </c>
      <c r="O37" s="63">
        <v>0</v>
      </c>
      <c r="P37" s="63">
        <v>0</v>
      </c>
      <c r="Q37" s="63">
        <v>0</v>
      </c>
      <c r="R37" s="63">
        <v>0</v>
      </c>
      <c r="S37" s="63">
        <v>0</v>
      </c>
      <c r="T37" s="63">
        <v>0</v>
      </c>
      <c r="U37" s="63">
        <v>0</v>
      </c>
      <c r="V37" s="63">
        <v>1</v>
      </c>
      <c r="W37" s="63">
        <v>0</v>
      </c>
      <c r="X37" s="63">
        <v>0</v>
      </c>
      <c r="Y37" s="63">
        <v>0</v>
      </c>
      <c r="Z37" s="63">
        <v>0</v>
      </c>
      <c r="AA37" s="63">
        <v>0</v>
      </c>
      <c r="AB37" s="63">
        <v>0</v>
      </c>
      <c r="AC37" s="63">
        <v>0</v>
      </c>
      <c r="AD37" s="63">
        <v>1</v>
      </c>
      <c r="AE37" s="63">
        <v>0</v>
      </c>
      <c r="AF37" s="63">
        <v>0</v>
      </c>
      <c r="AG37" s="63">
        <v>0</v>
      </c>
      <c r="AH37" s="63">
        <v>0</v>
      </c>
      <c r="AI37" s="63">
        <v>0</v>
      </c>
      <c r="AJ37" s="63">
        <v>0</v>
      </c>
      <c r="AK37" s="63">
        <v>1</v>
      </c>
      <c r="AL37" s="63">
        <v>0</v>
      </c>
      <c r="AM37" s="63">
        <v>0</v>
      </c>
      <c r="AN37" s="63">
        <v>0</v>
      </c>
      <c r="AO37" s="63">
        <v>0</v>
      </c>
      <c r="AP37" s="63">
        <v>0</v>
      </c>
      <c r="AQ37" s="63">
        <v>0</v>
      </c>
      <c r="AR37" s="63">
        <v>0</v>
      </c>
      <c r="AS37" s="63">
        <v>0</v>
      </c>
      <c r="AT37" s="63">
        <v>1</v>
      </c>
      <c r="AU37" s="63">
        <v>0</v>
      </c>
      <c r="AV37" s="63">
        <v>0</v>
      </c>
      <c r="AW37" s="63">
        <v>0</v>
      </c>
      <c r="AX37" s="63">
        <v>0</v>
      </c>
      <c r="AY37" s="63">
        <v>0</v>
      </c>
      <c r="AZ37" s="63">
        <v>0</v>
      </c>
      <c r="BA37" s="63">
        <v>0</v>
      </c>
      <c r="BB37" s="63">
        <v>0</v>
      </c>
      <c r="BC37" s="63">
        <v>0</v>
      </c>
      <c r="BD37" s="63">
        <v>0</v>
      </c>
      <c r="BE37" s="63">
        <v>0</v>
      </c>
      <c r="BF37" s="63">
        <v>0</v>
      </c>
      <c r="BG37" s="63">
        <v>0</v>
      </c>
      <c r="BH37" s="63">
        <v>0</v>
      </c>
      <c r="BI37" s="63">
        <v>0</v>
      </c>
      <c r="BJ37" s="63">
        <v>0</v>
      </c>
      <c r="BK37" s="63">
        <v>0</v>
      </c>
      <c r="BL37" s="63">
        <v>0</v>
      </c>
      <c r="BM37" s="63">
        <v>0</v>
      </c>
      <c r="BN37" s="63">
        <v>0</v>
      </c>
      <c r="BO37" s="63">
        <v>0</v>
      </c>
      <c r="BP37" s="63">
        <v>0</v>
      </c>
      <c r="BQ37" s="63">
        <v>0</v>
      </c>
      <c r="BR37" s="63">
        <v>1</v>
      </c>
      <c r="BS37" s="63">
        <v>0</v>
      </c>
      <c r="BT37" s="63">
        <v>0</v>
      </c>
      <c r="BU37" s="63">
        <v>0</v>
      </c>
      <c r="BV37" s="63">
        <v>0</v>
      </c>
      <c r="BW37" s="63">
        <v>0</v>
      </c>
      <c r="BX37" s="63">
        <v>0</v>
      </c>
      <c r="BY37" s="63">
        <v>0</v>
      </c>
      <c r="BZ37" s="63">
        <v>0</v>
      </c>
      <c r="CA37" s="63">
        <v>0</v>
      </c>
      <c r="CB37" s="63">
        <v>0</v>
      </c>
      <c r="CC37" s="63">
        <v>0</v>
      </c>
      <c r="CD37" s="63">
        <v>0</v>
      </c>
      <c r="CE37" s="63">
        <v>0</v>
      </c>
      <c r="CF37" s="63">
        <v>0</v>
      </c>
      <c r="CG37" s="63">
        <v>0</v>
      </c>
      <c r="CH37" s="63">
        <v>0</v>
      </c>
      <c r="CI37" s="63">
        <v>0</v>
      </c>
      <c r="CJ37" s="63">
        <v>0</v>
      </c>
      <c r="CK37" s="63">
        <v>0</v>
      </c>
      <c r="CL37" s="63">
        <v>0</v>
      </c>
      <c r="CM37" s="63">
        <v>0</v>
      </c>
      <c r="CN37" s="63">
        <v>0</v>
      </c>
      <c r="CO37" s="63">
        <v>0</v>
      </c>
      <c r="CP37" s="63">
        <v>0</v>
      </c>
      <c r="CQ37" s="63">
        <v>0</v>
      </c>
      <c r="CR37" s="63">
        <v>0</v>
      </c>
      <c r="CS37" s="63">
        <v>0</v>
      </c>
      <c r="CT37" s="61">
        <f t="shared" si="0"/>
        <v>5</v>
      </c>
      <c r="CU37" s="61"/>
    </row>
    <row r="38" spans="1:99" ht="12.75">
      <c r="A38" s="61" t="s">
        <v>344</v>
      </c>
      <c r="B38" s="63">
        <v>0</v>
      </c>
      <c r="C38" s="63">
        <v>0</v>
      </c>
      <c r="D38" s="63">
        <v>0</v>
      </c>
      <c r="E38" s="63">
        <v>0</v>
      </c>
      <c r="F38" s="63">
        <v>0</v>
      </c>
      <c r="G38" s="63">
        <v>0</v>
      </c>
      <c r="H38" s="63">
        <v>0</v>
      </c>
      <c r="I38" s="63">
        <v>0</v>
      </c>
      <c r="J38" s="63">
        <v>0</v>
      </c>
      <c r="K38" s="63">
        <v>0</v>
      </c>
      <c r="L38" s="63">
        <v>0</v>
      </c>
      <c r="M38" s="63">
        <v>0</v>
      </c>
      <c r="N38" s="63">
        <v>0</v>
      </c>
      <c r="O38" s="63">
        <v>0</v>
      </c>
      <c r="P38" s="63">
        <v>0</v>
      </c>
      <c r="Q38" s="63">
        <v>0</v>
      </c>
      <c r="R38" s="63">
        <v>0</v>
      </c>
      <c r="S38" s="63">
        <v>0</v>
      </c>
      <c r="T38" s="63">
        <v>0</v>
      </c>
      <c r="U38" s="63">
        <v>0</v>
      </c>
      <c r="V38" s="63">
        <v>0</v>
      </c>
      <c r="W38" s="63">
        <v>0</v>
      </c>
      <c r="X38" s="63">
        <v>0</v>
      </c>
      <c r="Y38" s="63">
        <v>0</v>
      </c>
      <c r="Z38" s="63">
        <v>0</v>
      </c>
      <c r="AA38" s="63">
        <v>0</v>
      </c>
      <c r="AB38" s="63">
        <v>0</v>
      </c>
      <c r="AC38" s="63">
        <v>0</v>
      </c>
      <c r="AD38" s="63">
        <v>0</v>
      </c>
      <c r="AE38" s="63">
        <v>0</v>
      </c>
      <c r="AF38" s="63">
        <v>0</v>
      </c>
      <c r="AG38" s="63">
        <v>0</v>
      </c>
      <c r="AH38" s="63">
        <v>0</v>
      </c>
      <c r="AI38" s="63">
        <v>0</v>
      </c>
      <c r="AJ38" s="63">
        <v>0</v>
      </c>
      <c r="AK38" s="63">
        <v>0</v>
      </c>
      <c r="AL38" s="63">
        <v>1</v>
      </c>
      <c r="AM38" s="63">
        <v>0</v>
      </c>
      <c r="AN38" s="63">
        <v>0</v>
      </c>
      <c r="AO38" s="63">
        <v>0</v>
      </c>
      <c r="AP38" s="63">
        <v>0</v>
      </c>
      <c r="AQ38" s="63">
        <v>1</v>
      </c>
      <c r="AR38" s="63">
        <v>0</v>
      </c>
      <c r="AS38" s="63">
        <v>1</v>
      </c>
      <c r="AT38" s="63">
        <v>0</v>
      </c>
      <c r="AU38" s="63">
        <v>0</v>
      </c>
      <c r="AV38" s="63">
        <v>0</v>
      </c>
      <c r="AW38" s="63">
        <v>0</v>
      </c>
      <c r="AX38" s="63">
        <v>0</v>
      </c>
      <c r="AY38" s="63">
        <v>0</v>
      </c>
      <c r="AZ38" s="63">
        <v>0</v>
      </c>
      <c r="BA38" s="63">
        <v>0</v>
      </c>
      <c r="BB38" s="63">
        <v>0</v>
      </c>
      <c r="BC38" s="63">
        <v>0</v>
      </c>
      <c r="BD38" s="63">
        <v>0</v>
      </c>
      <c r="BE38" s="63">
        <v>0</v>
      </c>
      <c r="BF38" s="63">
        <v>0</v>
      </c>
      <c r="BG38" s="63">
        <v>0</v>
      </c>
      <c r="BH38" s="63">
        <v>0</v>
      </c>
      <c r="BI38" s="63">
        <v>0</v>
      </c>
      <c r="BJ38" s="63">
        <v>0</v>
      </c>
      <c r="BK38" s="63">
        <v>0</v>
      </c>
      <c r="BL38" s="63">
        <v>0</v>
      </c>
      <c r="BM38" s="63">
        <v>0</v>
      </c>
      <c r="BN38" s="63">
        <v>0</v>
      </c>
      <c r="BO38" s="63">
        <v>0</v>
      </c>
      <c r="BP38" s="63">
        <v>0</v>
      </c>
      <c r="BQ38" s="63">
        <v>0</v>
      </c>
      <c r="BR38" s="63">
        <v>0</v>
      </c>
      <c r="BS38" s="63">
        <v>0</v>
      </c>
      <c r="BT38" s="63">
        <v>0</v>
      </c>
      <c r="BU38" s="63">
        <v>0</v>
      </c>
      <c r="BV38" s="63">
        <v>0</v>
      </c>
      <c r="BW38" s="63">
        <v>0</v>
      </c>
      <c r="BX38" s="63">
        <v>0</v>
      </c>
      <c r="BY38" s="63">
        <v>0</v>
      </c>
      <c r="BZ38" s="63">
        <v>0</v>
      </c>
      <c r="CA38" s="63">
        <v>0</v>
      </c>
      <c r="CB38" s="63">
        <v>0</v>
      </c>
      <c r="CC38" s="63">
        <v>0</v>
      </c>
      <c r="CD38" s="63">
        <v>0</v>
      </c>
      <c r="CE38" s="63">
        <v>1</v>
      </c>
      <c r="CF38" s="63">
        <v>0</v>
      </c>
      <c r="CG38" s="63">
        <v>0</v>
      </c>
      <c r="CH38" s="63">
        <v>0</v>
      </c>
      <c r="CI38" s="63">
        <v>0</v>
      </c>
      <c r="CJ38" s="63">
        <v>0</v>
      </c>
      <c r="CK38" s="63">
        <v>0</v>
      </c>
      <c r="CL38" s="63">
        <v>0</v>
      </c>
      <c r="CM38" s="63">
        <v>0</v>
      </c>
      <c r="CN38" s="63">
        <v>0</v>
      </c>
      <c r="CO38" s="63">
        <v>0</v>
      </c>
      <c r="CP38" s="63">
        <v>0</v>
      </c>
      <c r="CQ38" s="63">
        <v>0</v>
      </c>
      <c r="CR38" s="63">
        <v>0</v>
      </c>
      <c r="CS38" s="63">
        <v>0</v>
      </c>
      <c r="CT38" s="61">
        <f t="shared" si="0"/>
        <v>4</v>
      </c>
      <c r="CU38" s="61"/>
    </row>
    <row r="39" spans="1:99" ht="12.75">
      <c r="A39" s="61" t="s">
        <v>350</v>
      </c>
      <c r="B39" s="63">
        <v>0</v>
      </c>
      <c r="C39" s="63">
        <v>0</v>
      </c>
      <c r="D39" s="63">
        <v>0</v>
      </c>
      <c r="E39" s="63">
        <v>0</v>
      </c>
      <c r="F39" s="63">
        <v>0</v>
      </c>
      <c r="G39" s="63">
        <v>0</v>
      </c>
      <c r="H39" s="63">
        <v>0</v>
      </c>
      <c r="I39" s="63">
        <v>0</v>
      </c>
      <c r="J39" s="63">
        <v>0</v>
      </c>
      <c r="K39" s="63">
        <v>0</v>
      </c>
      <c r="L39" s="63">
        <v>0</v>
      </c>
      <c r="M39" s="63">
        <v>1</v>
      </c>
      <c r="N39" s="63">
        <v>0</v>
      </c>
      <c r="O39" s="63">
        <v>0</v>
      </c>
      <c r="P39" s="63">
        <v>0</v>
      </c>
      <c r="Q39" s="63">
        <v>0</v>
      </c>
      <c r="R39" s="63">
        <v>0</v>
      </c>
      <c r="S39" s="63">
        <v>0</v>
      </c>
      <c r="T39" s="63">
        <v>0</v>
      </c>
      <c r="U39" s="63">
        <v>1</v>
      </c>
      <c r="V39" s="63">
        <v>0</v>
      </c>
      <c r="W39" s="63">
        <v>0</v>
      </c>
      <c r="X39" s="63">
        <v>0</v>
      </c>
      <c r="Y39" s="63">
        <v>0</v>
      </c>
      <c r="Z39" s="63">
        <v>0</v>
      </c>
      <c r="AA39" s="63">
        <v>0</v>
      </c>
      <c r="AB39" s="63">
        <v>0</v>
      </c>
      <c r="AC39" s="63">
        <v>0</v>
      </c>
      <c r="AD39" s="63">
        <v>0</v>
      </c>
      <c r="AE39" s="63">
        <v>0</v>
      </c>
      <c r="AF39" s="63">
        <v>0</v>
      </c>
      <c r="AG39" s="63">
        <v>0</v>
      </c>
      <c r="AH39" s="63">
        <v>0</v>
      </c>
      <c r="AI39" s="63">
        <v>0</v>
      </c>
      <c r="AJ39" s="63">
        <v>0</v>
      </c>
      <c r="AK39" s="63">
        <v>0</v>
      </c>
      <c r="AL39" s="63">
        <v>0</v>
      </c>
      <c r="AM39" s="63">
        <v>1</v>
      </c>
      <c r="AN39" s="63">
        <v>0</v>
      </c>
      <c r="AO39" s="63">
        <v>0</v>
      </c>
      <c r="AP39" s="63">
        <v>0</v>
      </c>
      <c r="AQ39" s="63">
        <v>0</v>
      </c>
      <c r="AR39" s="63">
        <v>0</v>
      </c>
      <c r="AS39" s="63">
        <v>0</v>
      </c>
      <c r="AT39" s="63">
        <v>0</v>
      </c>
      <c r="AU39" s="63">
        <v>0</v>
      </c>
      <c r="AV39" s="63">
        <v>0</v>
      </c>
      <c r="AW39" s="63">
        <v>0</v>
      </c>
      <c r="AX39" s="63">
        <v>0</v>
      </c>
      <c r="AY39" s="63">
        <v>0</v>
      </c>
      <c r="AZ39" s="63">
        <v>0</v>
      </c>
      <c r="BA39" s="63">
        <v>0</v>
      </c>
      <c r="BB39" s="63">
        <v>0</v>
      </c>
      <c r="BC39" s="63">
        <v>0</v>
      </c>
      <c r="BD39" s="63">
        <v>0</v>
      </c>
      <c r="BE39" s="63">
        <v>0</v>
      </c>
      <c r="BF39" s="63">
        <v>0</v>
      </c>
      <c r="BG39" s="63">
        <v>0</v>
      </c>
      <c r="BH39" s="63">
        <v>0</v>
      </c>
      <c r="BI39" s="63">
        <v>0</v>
      </c>
      <c r="BJ39" s="63">
        <v>0</v>
      </c>
      <c r="BK39" s="63">
        <v>1</v>
      </c>
      <c r="BL39" s="63">
        <v>0</v>
      </c>
      <c r="BM39" s="63">
        <v>0</v>
      </c>
      <c r="BN39" s="63">
        <v>0</v>
      </c>
      <c r="BO39" s="63">
        <v>0</v>
      </c>
      <c r="BP39" s="63">
        <v>0</v>
      </c>
      <c r="BQ39" s="63">
        <v>0</v>
      </c>
      <c r="BR39" s="63">
        <v>0</v>
      </c>
      <c r="BS39" s="63">
        <v>0</v>
      </c>
      <c r="BT39" s="63">
        <v>0</v>
      </c>
      <c r="BU39" s="63">
        <v>0</v>
      </c>
      <c r="BV39" s="63">
        <v>0</v>
      </c>
      <c r="BW39" s="63">
        <v>0</v>
      </c>
      <c r="BX39" s="63">
        <v>0</v>
      </c>
      <c r="BY39" s="63">
        <v>1</v>
      </c>
      <c r="BZ39" s="63">
        <v>0</v>
      </c>
      <c r="CA39" s="63">
        <v>1</v>
      </c>
      <c r="CB39" s="63">
        <v>0</v>
      </c>
      <c r="CC39" s="63">
        <v>0</v>
      </c>
      <c r="CD39" s="63">
        <v>0</v>
      </c>
      <c r="CE39" s="63">
        <v>0</v>
      </c>
      <c r="CF39" s="63">
        <v>0</v>
      </c>
      <c r="CG39" s="63">
        <v>0</v>
      </c>
      <c r="CH39" s="63">
        <v>0</v>
      </c>
      <c r="CI39" s="63">
        <v>0</v>
      </c>
      <c r="CJ39" s="63">
        <v>0</v>
      </c>
      <c r="CK39" s="63">
        <v>0</v>
      </c>
      <c r="CL39" s="63">
        <v>0</v>
      </c>
      <c r="CM39" s="63">
        <v>0</v>
      </c>
      <c r="CN39" s="63">
        <v>0</v>
      </c>
      <c r="CO39" s="63">
        <v>0</v>
      </c>
      <c r="CP39" s="63">
        <v>0</v>
      </c>
      <c r="CQ39" s="63">
        <v>0</v>
      </c>
      <c r="CR39" s="63">
        <v>0</v>
      </c>
      <c r="CS39" s="63">
        <v>0</v>
      </c>
      <c r="CT39" s="61">
        <f t="shared" si="0"/>
        <v>6</v>
      </c>
      <c r="CU39" s="61"/>
    </row>
    <row r="40" spans="1:99" ht="12.75">
      <c r="A40" s="61" t="s">
        <v>375</v>
      </c>
      <c r="B40" s="63">
        <v>0</v>
      </c>
      <c r="C40" s="63">
        <v>0</v>
      </c>
      <c r="D40" s="63">
        <v>0</v>
      </c>
      <c r="E40" s="63">
        <v>1</v>
      </c>
      <c r="F40" s="63">
        <v>0</v>
      </c>
      <c r="G40" s="63">
        <v>0</v>
      </c>
      <c r="H40" s="63">
        <v>0</v>
      </c>
      <c r="I40" s="63">
        <v>0</v>
      </c>
      <c r="J40" s="63">
        <v>0</v>
      </c>
      <c r="K40" s="63">
        <v>0</v>
      </c>
      <c r="L40" s="63">
        <v>0</v>
      </c>
      <c r="M40" s="63">
        <v>0</v>
      </c>
      <c r="N40" s="63">
        <v>1</v>
      </c>
      <c r="O40" s="63">
        <v>0</v>
      </c>
      <c r="P40" s="63">
        <v>0</v>
      </c>
      <c r="Q40" s="63">
        <v>0</v>
      </c>
      <c r="R40" s="63">
        <v>1</v>
      </c>
      <c r="S40" s="63">
        <v>0</v>
      </c>
      <c r="T40" s="63">
        <v>1</v>
      </c>
      <c r="U40" s="63">
        <v>0</v>
      </c>
      <c r="V40" s="63">
        <v>1</v>
      </c>
      <c r="W40" s="63">
        <v>0</v>
      </c>
      <c r="X40" s="63">
        <v>0</v>
      </c>
      <c r="Y40" s="63">
        <v>0</v>
      </c>
      <c r="Z40" s="63">
        <v>0</v>
      </c>
      <c r="AA40" s="63">
        <v>1</v>
      </c>
      <c r="AB40" s="63">
        <v>0</v>
      </c>
      <c r="AC40" s="63">
        <v>0</v>
      </c>
      <c r="AD40" s="63">
        <v>0</v>
      </c>
      <c r="AE40" s="63">
        <v>0</v>
      </c>
      <c r="AF40" s="63">
        <v>0</v>
      </c>
      <c r="AG40" s="63">
        <v>0</v>
      </c>
      <c r="AH40" s="63">
        <v>0</v>
      </c>
      <c r="AI40" s="63">
        <v>0</v>
      </c>
      <c r="AJ40" s="63">
        <v>0</v>
      </c>
      <c r="AK40" s="63">
        <v>0</v>
      </c>
      <c r="AL40" s="63">
        <v>0</v>
      </c>
      <c r="AM40" s="63">
        <v>0</v>
      </c>
      <c r="AN40" s="63">
        <v>1</v>
      </c>
      <c r="AO40" s="63">
        <v>0</v>
      </c>
      <c r="AP40" s="63">
        <v>0</v>
      </c>
      <c r="AQ40" s="63">
        <v>0</v>
      </c>
      <c r="AR40" s="63">
        <v>0</v>
      </c>
      <c r="AS40" s="63">
        <v>1</v>
      </c>
      <c r="AT40" s="63">
        <v>0</v>
      </c>
      <c r="AU40" s="63">
        <v>0</v>
      </c>
      <c r="AV40" s="63">
        <v>0</v>
      </c>
      <c r="AW40" s="63">
        <v>0</v>
      </c>
      <c r="AX40" s="63">
        <v>0</v>
      </c>
      <c r="AY40" s="63">
        <v>0</v>
      </c>
      <c r="AZ40" s="63">
        <v>0</v>
      </c>
      <c r="BA40" s="63">
        <v>0</v>
      </c>
      <c r="BB40" s="63">
        <v>0</v>
      </c>
      <c r="BC40" s="63">
        <v>0</v>
      </c>
      <c r="BD40" s="63">
        <v>0</v>
      </c>
      <c r="BE40" s="63">
        <v>0</v>
      </c>
      <c r="BF40" s="63">
        <v>0</v>
      </c>
      <c r="BG40" s="63">
        <v>0</v>
      </c>
      <c r="BH40" s="63">
        <v>0</v>
      </c>
      <c r="BI40" s="63">
        <v>0</v>
      </c>
      <c r="BJ40" s="63">
        <v>0</v>
      </c>
      <c r="BK40" s="63">
        <v>0</v>
      </c>
      <c r="BL40" s="63">
        <v>0</v>
      </c>
      <c r="BM40" s="63">
        <v>0</v>
      </c>
      <c r="BN40" s="63">
        <v>0</v>
      </c>
      <c r="BO40" s="63">
        <v>0</v>
      </c>
      <c r="BP40" s="63">
        <v>0</v>
      </c>
      <c r="BQ40" s="63">
        <v>1</v>
      </c>
      <c r="BR40" s="63">
        <v>0</v>
      </c>
      <c r="BS40" s="63">
        <v>0</v>
      </c>
      <c r="BT40" s="63">
        <v>0</v>
      </c>
      <c r="BU40" s="63">
        <v>0</v>
      </c>
      <c r="BV40" s="63">
        <v>0</v>
      </c>
      <c r="BW40" s="63">
        <v>0</v>
      </c>
      <c r="BX40" s="63">
        <v>0</v>
      </c>
      <c r="BY40" s="63">
        <v>0</v>
      </c>
      <c r="BZ40" s="63">
        <v>0</v>
      </c>
      <c r="CA40" s="63">
        <v>0</v>
      </c>
      <c r="CB40" s="63">
        <v>0</v>
      </c>
      <c r="CC40" s="63">
        <v>0</v>
      </c>
      <c r="CD40" s="63">
        <v>0</v>
      </c>
      <c r="CE40" s="63">
        <v>0</v>
      </c>
      <c r="CF40" s="63">
        <v>1</v>
      </c>
      <c r="CG40" s="63">
        <v>0</v>
      </c>
      <c r="CH40" s="63">
        <v>0</v>
      </c>
      <c r="CI40" s="63">
        <v>0</v>
      </c>
      <c r="CJ40" s="63">
        <v>0</v>
      </c>
      <c r="CK40" s="63">
        <v>0</v>
      </c>
      <c r="CL40" s="63">
        <v>0</v>
      </c>
      <c r="CM40" s="63">
        <v>0</v>
      </c>
      <c r="CN40" s="63">
        <v>0</v>
      </c>
      <c r="CO40" s="63">
        <v>0</v>
      </c>
      <c r="CP40" s="63">
        <v>0</v>
      </c>
      <c r="CQ40" s="63">
        <v>0</v>
      </c>
      <c r="CR40" s="63">
        <v>0</v>
      </c>
      <c r="CS40" s="63">
        <v>0</v>
      </c>
      <c r="CT40" s="61">
        <f t="shared" si="0"/>
        <v>10</v>
      </c>
      <c r="CU40" s="61"/>
    </row>
    <row r="41" spans="1:99" ht="12.75">
      <c r="A41" s="61" t="s">
        <v>288</v>
      </c>
      <c r="B41" s="63">
        <v>0</v>
      </c>
      <c r="C41" s="63">
        <v>0</v>
      </c>
      <c r="D41" s="63">
        <v>0</v>
      </c>
      <c r="E41" s="63">
        <v>0</v>
      </c>
      <c r="F41" s="63">
        <v>0</v>
      </c>
      <c r="G41" s="63">
        <v>0</v>
      </c>
      <c r="H41" s="63">
        <v>0</v>
      </c>
      <c r="I41" s="63">
        <v>0</v>
      </c>
      <c r="J41" s="63">
        <v>0</v>
      </c>
      <c r="K41" s="63">
        <v>0</v>
      </c>
      <c r="L41" s="63">
        <v>0</v>
      </c>
      <c r="M41" s="63">
        <v>0</v>
      </c>
      <c r="N41" s="63">
        <v>0</v>
      </c>
      <c r="O41" s="63">
        <v>0</v>
      </c>
      <c r="P41" s="63">
        <v>0</v>
      </c>
      <c r="Q41" s="63">
        <v>0</v>
      </c>
      <c r="R41" s="63">
        <v>0</v>
      </c>
      <c r="S41" s="63">
        <v>0</v>
      </c>
      <c r="T41" s="63">
        <v>0</v>
      </c>
      <c r="U41" s="63">
        <v>1</v>
      </c>
      <c r="V41" s="63">
        <v>0</v>
      </c>
      <c r="W41" s="63">
        <v>0</v>
      </c>
      <c r="X41" s="63">
        <v>0</v>
      </c>
      <c r="Y41" s="63">
        <v>0</v>
      </c>
      <c r="Z41" s="63">
        <v>0</v>
      </c>
      <c r="AA41" s="63">
        <v>0</v>
      </c>
      <c r="AB41" s="63">
        <v>0</v>
      </c>
      <c r="AC41" s="63">
        <v>0</v>
      </c>
      <c r="AD41" s="63">
        <v>0</v>
      </c>
      <c r="AE41" s="63">
        <v>0</v>
      </c>
      <c r="AF41" s="63">
        <v>0</v>
      </c>
      <c r="AG41" s="63">
        <v>0</v>
      </c>
      <c r="AH41" s="63">
        <v>0</v>
      </c>
      <c r="AI41" s="63">
        <v>0</v>
      </c>
      <c r="AJ41" s="63">
        <v>0</v>
      </c>
      <c r="AK41" s="63">
        <v>0</v>
      </c>
      <c r="AL41" s="63">
        <v>0</v>
      </c>
      <c r="AM41" s="63">
        <v>0</v>
      </c>
      <c r="AN41" s="63">
        <v>0</v>
      </c>
      <c r="AO41" s="63">
        <v>1</v>
      </c>
      <c r="AP41" s="63">
        <v>0</v>
      </c>
      <c r="AQ41" s="63">
        <v>0</v>
      </c>
      <c r="AR41" s="63">
        <v>0</v>
      </c>
      <c r="AS41" s="63">
        <v>0</v>
      </c>
      <c r="AT41" s="63">
        <v>0</v>
      </c>
      <c r="AU41" s="63">
        <v>0</v>
      </c>
      <c r="AV41" s="63">
        <v>0</v>
      </c>
      <c r="AW41" s="63">
        <v>0</v>
      </c>
      <c r="AX41" s="63">
        <v>0</v>
      </c>
      <c r="AY41" s="63">
        <v>0</v>
      </c>
      <c r="AZ41" s="63">
        <v>1</v>
      </c>
      <c r="BA41" s="63">
        <v>0</v>
      </c>
      <c r="BB41" s="63">
        <v>0</v>
      </c>
      <c r="BC41" s="63">
        <v>0</v>
      </c>
      <c r="BD41" s="63">
        <v>0</v>
      </c>
      <c r="BE41" s="63">
        <v>1</v>
      </c>
      <c r="BF41" s="63">
        <v>0</v>
      </c>
      <c r="BG41" s="63">
        <v>0</v>
      </c>
      <c r="BH41" s="63">
        <v>0</v>
      </c>
      <c r="BI41" s="63">
        <v>0</v>
      </c>
      <c r="BJ41" s="63">
        <v>0</v>
      </c>
      <c r="BK41" s="63">
        <v>0</v>
      </c>
      <c r="BL41" s="63">
        <v>0</v>
      </c>
      <c r="BM41" s="63">
        <v>0</v>
      </c>
      <c r="BN41" s="63">
        <v>0</v>
      </c>
      <c r="BO41" s="63">
        <v>0</v>
      </c>
      <c r="BP41" s="63">
        <v>0</v>
      </c>
      <c r="BQ41" s="63">
        <v>0</v>
      </c>
      <c r="BR41" s="63">
        <v>0</v>
      </c>
      <c r="BS41" s="63">
        <v>0</v>
      </c>
      <c r="BT41" s="63">
        <v>0</v>
      </c>
      <c r="BU41" s="63">
        <v>0</v>
      </c>
      <c r="BV41" s="63">
        <v>1</v>
      </c>
      <c r="BW41" s="63">
        <v>0</v>
      </c>
      <c r="BX41" s="63">
        <v>0</v>
      </c>
      <c r="BY41" s="63">
        <v>1</v>
      </c>
      <c r="BZ41" s="63">
        <v>1</v>
      </c>
      <c r="CA41" s="63">
        <v>0</v>
      </c>
      <c r="CB41" s="63">
        <v>0</v>
      </c>
      <c r="CC41" s="63">
        <v>0</v>
      </c>
      <c r="CD41" s="63">
        <v>0</v>
      </c>
      <c r="CE41" s="63">
        <v>0</v>
      </c>
      <c r="CF41" s="63">
        <v>0</v>
      </c>
      <c r="CG41" s="63">
        <v>0</v>
      </c>
      <c r="CH41" s="63">
        <v>0</v>
      </c>
      <c r="CI41" s="63">
        <v>0</v>
      </c>
      <c r="CJ41" s="63">
        <v>0</v>
      </c>
      <c r="CK41" s="63">
        <v>0</v>
      </c>
      <c r="CL41" s="63">
        <v>0</v>
      </c>
      <c r="CM41" s="63">
        <v>0</v>
      </c>
      <c r="CN41" s="63">
        <v>0</v>
      </c>
      <c r="CO41" s="63">
        <v>1</v>
      </c>
      <c r="CP41" s="63">
        <v>1</v>
      </c>
      <c r="CQ41" s="63">
        <v>0</v>
      </c>
      <c r="CR41" s="63">
        <v>0</v>
      </c>
      <c r="CS41" s="63">
        <v>0</v>
      </c>
      <c r="CT41" s="61">
        <f t="shared" si="0"/>
        <v>9</v>
      </c>
      <c r="CU41" s="61"/>
    </row>
    <row r="42" spans="1:99" ht="12.75">
      <c r="A42" s="61" t="s">
        <v>367</v>
      </c>
      <c r="B42" s="63">
        <v>0</v>
      </c>
      <c r="C42" s="63">
        <v>0</v>
      </c>
      <c r="D42" s="63">
        <v>0</v>
      </c>
      <c r="E42" s="63">
        <v>0</v>
      </c>
      <c r="F42" s="63">
        <v>0</v>
      </c>
      <c r="G42" s="63">
        <v>0</v>
      </c>
      <c r="H42" s="63">
        <v>0</v>
      </c>
      <c r="I42" s="63">
        <v>0</v>
      </c>
      <c r="J42" s="63">
        <v>0</v>
      </c>
      <c r="K42" s="63">
        <v>0</v>
      </c>
      <c r="L42" s="63">
        <v>0</v>
      </c>
      <c r="M42" s="63">
        <v>0</v>
      </c>
      <c r="N42" s="63">
        <v>0</v>
      </c>
      <c r="O42" s="63">
        <v>0</v>
      </c>
      <c r="P42" s="63">
        <v>0</v>
      </c>
      <c r="Q42" s="63">
        <v>0</v>
      </c>
      <c r="R42" s="63">
        <v>0</v>
      </c>
      <c r="S42" s="63">
        <v>0</v>
      </c>
      <c r="T42" s="63">
        <v>0</v>
      </c>
      <c r="U42" s="63">
        <v>0</v>
      </c>
      <c r="V42" s="63">
        <v>0</v>
      </c>
      <c r="W42" s="63">
        <v>0</v>
      </c>
      <c r="X42" s="63">
        <v>0</v>
      </c>
      <c r="Y42" s="63">
        <v>0</v>
      </c>
      <c r="Z42" s="63">
        <v>0</v>
      </c>
      <c r="AA42" s="63">
        <v>0</v>
      </c>
      <c r="AB42" s="63">
        <v>0</v>
      </c>
      <c r="AC42" s="63">
        <v>0</v>
      </c>
      <c r="AD42" s="63">
        <v>0</v>
      </c>
      <c r="AE42" s="63">
        <v>0</v>
      </c>
      <c r="AF42" s="63">
        <v>0</v>
      </c>
      <c r="AG42" s="63">
        <v>0</v>
      </c>
      <c r="AH42" s="63">
        <v>0</v>
      </c>
      <c r="AI42" s="63">
        <v>0</v>
      </c>
      <c r="AJ42" s="63">
        <v>0</v>
      </c>
      <c r="AK42" s="63">
        <v>0</v>
      </c>
      <c r="AL42" s="63">
        <v>0</v>
      </c>
      <c r="AM42" s="63">
        <v>0</v>
      </c>
      <c r="AN42" s="63">
        <v>0</v>
      </c>
      <c r="AO42" s="63">
        <v>0</v>
      </c>
      <c r="AP42" s="63">
        <v>1</v>
      </c>
      <c r="AQ42" s="63">
        <v>0</v>
      </c>
      <c r="AR42" s="63">
        <v>0</v>
      </c>
      <c r="AS42" s="63">
        <v>0</v>
      </c>
      <c r="AT42" s="63">
        <v>0</v>
      </c>
      <c r="AU42" s="63">
        <v>0</v>
      </c>
      <c r="AV42" s="63">
        <v>0</v>
      </c>
      <c r="AW42" s="63">
        <v>0</v>
      </c>
      <c r="AX42" s="63">
        <v>0</v>
      </c>
      <c r="AY42" s="63">
        <v>0</v>
      </c>
      <c r="AZ42" s="63">
        <v>0</v>
      </c>
      <c r="BA42" s="63">
        <v>0</v>
      </c>
      <c r="BB42" s="63">
        <v>0</v>
      </c>
      <c r="BC42" s="63">
        <v>0</v>
      </c>
      <c r="BD42" s="63">
        <v>0</v>
      </c>
      <c r="BE42" s="63">
        <v>0</v>
      </c>
      <c r="BF42" s="63">
        <v>0</v>
      </c>
      <c r="BG42" s="63">
        <v>0</v>
      </c>
      <c r="BH42" s="63">
        <v>1</v>
      </c>
      <c r="BI42" s="63">
        <v>0</v>
      </c>
      <c r="BJ42" s="63">
        <v>0</v>
      </c>
      <c r="BK42" s="63">
        <v>0</v>
      </c>
      <c r="BL42" s="63">
        <v>0</v>
      </c>
      <c r="BM42" s="63">
        <v>1</v>
      </c>
      <c r="BN42" s="63">
        <v>0</v>
      </c>
      <c r="BO42" s="63">
        <v>0</v>
      </c>
      <c r="BP42" s="63">
        <v>0</v>
      </c>
      <c r="BQ42" s="63">
        <v>0</v>
      </c>
      <c r="BR42" s="63">
        <v>0</v>
      </c>
      <c r="BS42" s="63">
        <v>0</v>
      </c>
      <c r="BT42" s="63">
        <v>0</v>
      </c>
      <c r="BU42" s="63">
        <v>0</v>
      </c>
      <c r="BV42" s="63">
        <v>0</v>
      </c>
      <c r="BW42" s="63">
        <v>1</v>
      </c>
      <c r="BX42" s="63">
        <v>0</v>
      </c>
      <c r="BY42" s="63">
        <v>0</v>
      </c>
      <c r="BZ42" s="63">
        <v>0</v>
      </c>
      <c r="CA42" s="63">
        <v>0</v>
      </c>
      <c r="CB42" s="63">
        <v>1</v>
      </c>
      <c r="CC42" s="63">
        <v>0</v>
      </c>
      <c r="CD42" s="63">
        <v>0</v>
      </c>
      <c r="CE42" s="63">
        <v>0</v>
      </c>
      <c r="CF42" s="63">
        <v>0</v>
      </c>
      <c r="CG42" s="63">
        <v>0</v>
      </c>
      <c r="CH42" s="63">
        <v>0</v>
      </c>
      <c r="CI42" s="63">
        <v>1</v>
      </c>
      <c r="CJ42" s="63">
        <v>0</v>
      </c>
      <c r="CK42" s="63">
        <v>0</v>
      </c>
      <c r="CL42" s="63">
        <v>0</v>
      </c>
      <c r="CM42" s="63">
        <v>0</v>
      </c>
      <c r="CN42" s="63">
        <v>0</v>
      </c>
      <c r="CO42" s="63">
        <v>0</v>
      </c>
      <c r="CP42" s="63">
        <v>0</v>
      </c>
      <c r="CQ42" s="63">
        <v>1</v>
      </c>
      <c r="CR42" s="63">
        <v>0</v>
      </c>
      <c r="CS42" s="63">
        <v>0</v>
      </c>
      <c r="CT42" s="61">
        <f t="shared" si="0"/>
        <v>7</v>
      </c>
      <c r="CU42" s="61"/>
    </row>
    <row r="43" spans="1:99" ht="12.75">
      <c r="A43" s="61" t="s">
        <v>329</v>
      </c>
      <c r="B43" s="63">
        <v>0</v>
      </c>
      <c r="C43" s="63">
        <v>0</v>
      </c>
      <c r="D43" s="63">
        <v>0</v>
      </c>
      <c r="E43" s="63">
        <v>0</v>
      </c>
      <c r="F43" s="63">
        <v>1</v>
      </c>
      <c r="G43" s="63">
        <v>0</v>
      </c>
      <c r="H43" s="63">
        <v>0</v>
      </c>
      <c r="I43" s="63">
        <v>0</v>
      </c>
      <c r="J43" s="63">
        <v>0</v>
      </c>
      <c r="K43" s="63">
        <v>0</v>
      </c>
      <c r="L43" s="63">
        <v>0</v>
      </c>
      <c r="M43" s="63">
        <v>0</v>
      </c>
      <c r="N43" s="63">
        <v>0</v>
      </c>
      <c r="O43" s="63">
        <v>0</v>
      </c>
      <c r="P43" s="63">
        <v>0</v>
      </c>
      <c r="Q43" s="63">
        <v>0</v>
      </c>
      <c r="R43" s="63">
        <v>0</v>
      </c>
      <c r="S43" s="63">
        <v>0</v>
      </c>
      <c r="T43" s="63">
        <v>0</v>
      </c>
      <c r="U43" s="63">
        <v>0</v>
      </c>
      <c r="V43" s="63">
        <v>0</v>
      </c>
      <c r="W43" s="63">
        <v>0</v>
      </c>
      <c r="X43" s="63">
        <v>0</v>
      </c>
      <c r="Y43" s="63">
        <v>1</v>
      </c>
      <c r="Z43" s="63">
        <v>0</v>
      </c>
      <c r="AA43" s="63">
        <v>0</v>
      </c>
      <c r="AB43" s="63">
        <v>0</v>
      </c>
      <c r="AC43" s="63">
        <v>1</v>
      </c>
      <c r="AD43" s="63">
        <v>0</v>
      </c>
      <c r="AE43" s="63">
        <v>0</v>
      </c>
      <c r="AF43" s="63">
        <v>0</v>
      </c>
      <c r="AG43" s="63">
        <v>0</v>
      </c>
      <c r="AH43" s="63">
        <v>0</v>
      </c>
      <c r="AI43" s="63">
        <v>0</v>
      </c>
      <c r="AJ43" s="63">
        <v>0</v>
      </c>
      <c r="AK43" s="63">
        <v>0</v>
      </c>
      <c r="AL43" s="63">
        <v>1</v>
      </c>
      <c r="AM43" s="63">
        <v>0</v>
      </c>
      <c r="AN43" s="63">
        <v>0</v>
      </c>
      <c r="AO43" s="63">
        <v>0</v>
      </c>
      <c r="AP43" s="63">
        <v>0</v>
      </c>
      <c r="AQ43" s="63">
        <v>1</v>
      </c>
      <c r="AR43" s="63">
        <v>0</v>
      </c>
      <c r="AS43" s="63">
        <v>1</v>
      </c>
      <c r="AT43" s="63">
        <v>0</v>
      </c>
      <c r="AU43" s="63">
        <v>0</v>
      </c>
      <c r="AV43" s="63">
        <v>0</v>
      </c>
      <c r="AW43" s="63">
        <v>0</v>
      </c>
      <c r="AX43" s="63">
        <v>0</v>
      </c>
      <c r="AY43" s="63">
        <v>0</v>
      </c>
      <c r="AZ43" s="63">
        <v>0</v>
      </c>
      <c r="BA43" s="63">
        <v>0</v>
      </c>
      <c r="BB43" s="63">
        <v>0</v>
      </c>
      <c r="BC43" s="63">
        <v>0</v>
      </c>
      <c r="BD43" s="63">
        <v>0</v>
      </c>
      <c r="BE43" s="63">
        <v>0</v>
      </c>
      <c r="BF43" s="63">
        <v>0</v>
      </c>
      <c r="BG43" s="63">
        <v>0</v>
      </c>
      <c r="BH43" s="63">
        <v>0</v>
      </c>
      <c r="BI43" s="63">
        <v>0</v>
      </c>
      <c r="BJ43" s="63">
        <v>0</v>
      </c>
      <c r="BK43" s="63">
        <v>0</v>
      </c>
      <c r="BL43" s="63">
        <v>0</v>
      </c>
      <c r="BM43" s="63">
        <v>0</v>
      </c>
      <c r="BN43" s="63">
        <v>0</v>
      </c>
      <c r="BO43" s="63">
        <v>0</v>
      </c>
      <c r="BP43" s="63">
        <v>0</v>
      </c>
      <c r="BQ43" s="63">
        <v>0</v>
      </c>
      <c r="BR43" s="63">
        <v>0</v>
      </c>
      <c r="BS43" s="63">
        <v>0</v>
      </c>
      <c r="BT43" s="63">
        <v>0</v>
      </c>
      <c r="BU43" s="63">
        <v>0</v>
      </c>
      <c r="BV43" s="63">
        <v>0</v>
      </c>
      <c r="BW43" s="63">
        <v>0</v>
      </c>
      <c r="BX43" s="63">
        <v>0</v>
      </c>
      <c r="BY43" s="63">
        <v>0</v>
      </c>
      <c r="BZ43" s="63">
        <v>0</v>
      </c>
      <c r="CA43" s="63">
        <v>0</v>
      </c>
      <c r="CB43" s="63">
        <v>0</v>
      </c>
      <c r="CC43" s="63">
        <v>0</v>
      </c>
      <c r="CD43" s="63">
        <v>0</v>
      </c>
      <c r="CE43" s="63">
        <v>1</v>
      </c>
      <c r="CF43" s="63">
        <v>0</v>
      </c>
      <c r="CG43" s="63">
        <v>0</v>
      </c>
      <c r="CH43" s="63">
        <v>0</v>
      </c>
      <c r="CI43" s="63">
        <v>0</v>
      </c>
      <c r="CJ43" s="63">
        <v>0</v>
      </c>
      <c r="CK43" s="63">
        <v>0</v>
      </c>
      <c r="CL43" s="63">
        <v>0</v>
      </c>
      <c r="CM43" s="63">
        <v>0</v>
      </c>
      <c r="CN43" s="63">
        <v>0</v>
      </c>
      <c r="CO43" s="63">
        <v>0</v>
      </c>
      <c r="CP43" s="63">
        <v>0</v>
      </c>
      <c r="CQ43" s="63">
        <v>0</v>
      </c>
      <c r="CR43" s="63">
        <v>0</v>
      </c>
      <c r="CS43" s="63">
        <v>0</v>
      </c>
      <c r="CT43" s="61">
        <f t="shared" si="0"/>
        <v>7</v>
      </c>
      <c r="CU43" s="61"/>
    </row>
    <row r="44" spans="1:99" ht="12.75">
      <c r="A44" s="61" t="s">
        <v>298</v>
      </c>
      <c r="B44" s="63">
        <v>0</v>
      </c>
      <c r="C44" s="63">
        <v>0</v>
      </c>
      <c r="D44" s="63">
        <v>0</v>
      </c>
      <c r="E44" s="63">
        <v>0</v>
      </c>
      <c r="F44" s="63">
        <v>0</v>
      </c>
      <c r="G44" s="63">
        <v>0</v>
      </c>
      <c r="H44" s="63">
        <v>0</v>
      </c>
      <c r="I44" s="63">
        <v>0</v>
      </c>
      <c r="J44" s="63">
        <v>0</v>
      </c>
      <c r="K44" s="63">
        <v>0</v>
      </c>
      <c r="L44" s="63">
        <v>0</v>
      </c>
      <c r="M44" s="63">
        <v>0</v>
      </c>
      <c r="N44" s="63">
        <v>0</v>
      </c>
      <c r="O44" s="63">
        <v>0</v>
      </c>
      <c r="P44" s="63">
        <v>0</v>
      </c>
      <c r="Q44" s="63">
        <v>0</v>
      </c>
      <c r="R44" s="63">
        <v>0</v>
      </c>
      <c r="S44" s="63">
        <v>0</v>
      </c>
      <c r="T44" s="63">
        <v>0</v>
      </c>
      <c r="U44" s="63">
        <v>0</v>
      </c>
      <c r="V44" s="63">
        <v>0</v>
      </c>
      <c r="W44" s="63">
        <v>0</v>
      </c>
      <c r="X44" s="63">
        <v>0</v>
      </c>
      <c r="Y44" s="63">
        <v>0</v>
      </c>
      <c r="Z44" s="63">
        <v>0</v>
      </c>
      <c r="AA44" s="63">
        <v>0</v>
      </c>
      <c r="AB44" s="63">
        <v>0</v>
      </c>
      <c r="AC44" s="63">
        <v>0</v>
      </c>
      <c r="AD44" s="63">
        <v>0</v>
      </c>
      <c r="AE44" s="63">
        <v>0</v>
      </c>
      <c r="AF44" s="63">
        <v>0</v>
      </c>
      <c r="AG44" s="63">
        <v>0</v>
      </c>
      <c r="AH44" s="63">
        <v>0</v>
      </c>
      <c r="AI44" s="63">
        <v>0</v>
      </c>
      <c r="AJ44" s="63">
        <v>0</v>
      </c>
      <c r="AK44" s="63">
        <v>0</v>
      </c>
      <c r="AL44" s="63">
        <v>0</v>
      </c>
      <c r="AM44" s="63">
        <v>0</v>
      </c>
      <c r="AN44" s="63">
        <v>0</v>
      </c>
      <c r="AO44" s="63">
        <v>0</v>
      </c>
      <c r="AP44" s="63">
        <v>0</v>
      </c>
      <c r="AQ44" s="63">
        <v>0</v>
      </c>
      <c r="AR44" s="63">
        <v>1</v>
      </c>
      <c r="AS44" s="63">
        <v>0</v>
      </c>
      <c r="AT44" s="63">
        <v>0</v>
      </c>
      <c r="AU44" s="63">
        <v>0</v>
      </c>
      <c r="AV44" s="63">
        <v>0</v>
      </c>
      <c r="AW44" s="63">
        <v>1</v>
      </c>
      <c r="AX44" s="63">
        <v>0</v>
      </c>
      <c r="AY44" s="63">
        <v>1</v>
      </c>
      <c r="AZ44" s="63">
        <v>0</v>
      </c>
      <c r="BA44" s="63">
        <v>0</v>
      </c>
      <c r="BB44" s="63">
        <v>0</v>
      </c>
      <c r="BC44" s="63">
        <v>0</v>
      </c>
      <c r="BD44" s="63">
        <v>0</v>
      </c>
      <c r="BE44" s="63">
        <v>0</v>
      </c>
      <c r="BF44" s="63">
        <v>0</v>
      </c>
      <c r="BG44" s="63">
        <v>0</v>
      </c>
      <c r="BH44" s="63">
        <v>0</v>
      </c>
      <c r="BI44" s="63">
        <v>0</v>
      </c>
      <c r="BJ44" s="63">
        <v>0</v>
      </c>
      <c r="BK44" s="63">
        <v>0</v>
      </c>
      <c r="BL44" s="63">
        <v>0</v>
      </c>
      <c r="BM44" s="63">
        <v>0</v>
      </c>
      <c r="BN44" s="63">
        <v>1</v>
      </c>
      <c r="BO44" s="63">
        <v>0</v>
      </c>
      <c r="BP44" s="63">
        <v>0</v>
      </c>
      <c r="BQ44" s="63">
        <v>0</v>
      </c>
      <c r="BR44" s="63">
        <v>0</v>
      </c>
      <c r="BS44" s="63">
        <v>0</v>
      </c>
      <c r="BT44" s="63">
        <v>0</v>
      </c>
      <c r="BU44" s="63">
        <v>0</v>
      </c>
      <c r="BV44" s="63">
        <v>0</v>
      </c>
      <c r="BW44" s="63">
        <v>0</v>
      </c>
      <c r="BX44" s="63">
        <v>0</v>
      </c>
      <c r="BY44" s="63">
        <v>0</v>
      </c>
      <c r="BZ44" s="63">
        <v>0</v>
      </c>
      <c r="CA44" s="63">
        <v>0</v>
      </c>
      <c r="CB44" s="63">
        <v>0</v>
      </c>
      <c r="CC44" s="63">
        <v>0</v>
      </c>
      <c r="CD44" s="63">
        <v>0</v>
      </c>
      <c r="CE44" s="63">
        <v>0</v>
      </c>
      <c r="CF44" s="63">
        <v>0</v>
      </c>
      <c r="CG44" s="63">
        <v>0</v>
      </c>
      <c r="CH44" s="63">
        <v>0</v>
      </c>
      <c r="CI44" s="63">
        <v>0</v>
      </c>
      <c r="CJ44" s="63">
        <v>0</v>
      </c>
      <c r="CK44" s="63">
        <v>0</v>
      </c>
      <c r="CL44" s="63">
        <v>0</v>
      </c>
      <c r="CM44" s="63">
        <v>0</v>
      </c>
      <c r="CN44" s="63">
        <v>0</v>
      </c>
      <c r="CO44" s="63">
        <v>0</v>
      </c>
      <c r="CP44" s="63">
        <v>0</v>
      </c>
      <c r="CQ44" s="63">
        <v>0</v>
      </c>
      <c r="CR44" s="63">
        <v>1</v>
      </c>
      <c r="CS44" s="63">
        <v>0</v>
      </c>
      <c r="CT44" s="61">
        <f t="shared" si="0"/>
        <v>5</v>
      </c>
      <c r="CU44" s="61"/>
    </row>
    <row r="45" spans="1:99" ht="12.75">
      <c r="A45" s="61" t="s">
        <v>339</v>
      </c>
      <c r="B45" s="63">
        <v>0</v>
      </c>
      <c r="C45" s="63">
        <v>0</v>
      </c>
      <c r="D45" s="63">
        <v>0</v>
      </c>
      <c r="E45" s="63">
        <v>0</v>
      </c>
      <c r="F45" s="63">
        <v>0</v>
      </c>
      <c r="G45" s="63">
        <v>0</v>
      </c>
      <c r="H45" s="63">
        <v>0</v>
      </c>
      <c r="I45" s="63">
        <v>0</v>
      </c>
      <c r="J45" s="63">
        <v>0</v>
      </c>
      <c r="K45" s="63">
        <v>0</v>
      </c>
      <c r="L45" s="63">
        <v>0</v>
      </c>
      <c r="M45" s="63">
        <v>0</v>
      </c>
      <c r="N45" s="63">
        <v>0</v>
      </c>
      <c r="O45" s="63">
        <v>0</v>
      </c>
      <c r="P45" s="63">
        <v>0</v>
      </c>
      <c r="Q45" s="63">
        <v>0</v>
      </c>
      <c r="R45" s="63">
        <v>1</v>
      </c>
      <c r="S45" s="63">
        <v>0</v>
      </c>
      <c r="T45" s="63">
        <v>0</v>
      </c>
      <c r="U45" s="63">
        <v>0</v>
      </c>
      <c r="V45" s="63">
        <v>0</v>
      </c>
      <c r="W45" s="63">
        <v>0</v>
      </c>
      <c r="X45" s="63">
        <v>0</v>
      </c>
      <c r="Y45" s="63">
        <v>0</v>
      </c>
      <c r="Z45" s="63">
        <v>0</v>
      </c>
      <c r="AA45" s="63">
        <v>0</v>
      </c>
      <c r="AB45" s="63">
        <v>0</v>
      </c>
      <c r="AC45" s="63">
        <v>1</v>
      </c>
      <c r="AD45" s="63">
        <v>0</v>
      </c>
      <c r="AE45" s="63">
        <v>0</v>
      </c>
      <c r="AF45" s="63">
        <v>0</v>
      </c>
      <c r="AG45" s="63">
        <v>0</v>
      </c>
      <c r="AH45" s="63">
        <v>0</v>
      </c>
      <c r="AI45" s="63">
        <v>0</v>
      </c>
      <c r="AJ45" s="63">
        <v>0</v>
      </c>
      <c r="AK45" s="63">
        <v>0</v>
      </c>
      <c r="AL45" s="63">
        <v>1</v>
      </c>
      <c r="AM45" s="63">
        <v>0</v>
      </c>
      <c r="AN45" s="63">
        <v>1</v>
      </c>
      <c r="AO45" s="63">
        <v>0</v>
      </c>
      <c r="AP45" s="63">
        <v>0</v>
      </c>
      <c r="AQ45" s="63">
        <v>1</v>
      </c>
      <c r="AR45" s="63">
        <v>0</v>
      </c>
      <c r="AS45" s="63">
        <v>1</v>
      </c>
      <c r="AT45" s="63">
        <v>0</v>
      </c>
      <c r="AU45" s="63">
        <v>0</v>
      </c>
      <c r="AV45" s="63">
        <v>0</v>
      </c>
      <c r="AW45" s="63">
        <v>0</v>
      </c>
      <c r="AX45" s="63">
        <v>0</v>
      </c>
      <c r="AY45" s="63">
        <v>0</v>
      </c>
      <c r="AZ45" s="63">
        <v>0</v>
      </c>
      <c r="BA45" s="63">
        <v>0</v>
      </c>
      <c r="BB45" s="63">
        <v>0</v>
      </c>
      <c r="BC45" s="63">
        <v>0</v>
      </c>
      <c r="BD45" s="63">
        <v>0</v>
      </c>
      <c r="BE45" s="63">
        <v>0</v>
      </c>
      <c r="BF45" s="63">
        <v>0</v>
      </c>
      <c r="BG45" s="63">
        <v>0</v>
      </c>
      <c r="BH45" s="63">
        <v>0</v>
      </c>
      <c r="BI45" s="63">
        <v>0</v>
      </c>
      <c r="BJ45" s="63">
        <v>0</v>
      </c>
      <c r="BK45" s="63">
        <v>0</v>
      </c>
      <c r="BL45" s="63">
        <v>0</v>
      </c>
      <c r="BM45" s="63">
        <v>0</v>
      </c>
      <c r="BN45" s="63">
        <v>0</v>
      </c>
      <c r="BO45" s="63">
        <v>0</v>
      </c>
      <c r="BP45" s="63">
        <v>0</v>
      </c>
      <c r="BQ45" s="63">
        <v>1</v>
      </c>
      <c r="BR45" s="63">
        <v>0</v>
      </c>
      <c r="BS45" s="63">
        <v>0</v>
      </c>
      <c r="BT45" s="63">
        <v>0</v>
      </c>
      <c r="BU45" s="63">
        <v>0</v>
      </c>
      <c r="BV45" s="63">
        <v>0</v>
      </c>
      <c r="BW45" s="63">
        <v>0</v>
      </c>
      <c r="BX45" s="63">
        <v>0</v>
      </c>
      <c r="BY45" s="63">
        <v>0</v>
      </c>
      <c r="BZ45" s="63">
        <v>0</v>
      </c>
      <c r="CA45" s="63">
        <v>0</v>
      </c>
      <c r="CB45" s="63">
        <v>0</v>
      </c>
      <c r="CC45" s="63">
        <v>0</v>
      </c>
      <c r="CD45" s="63">
        <v>0</v>
      </c>
      <c r="CE45" s="63">
        <v>1</v>
      </c>
      <c r="CF45" s="63">
        <v>0</v>
      </c>
      <c r="CG45" s="63">
        <v>0</v>
      </c>
      <c r="CH45" s="63">
        <v>0</v>
      </c>
      <c r="CI45" s="63">
        <v>0</v>
      </c>
      <c r="CJ45" s="63">
        <v>0</v>
      </c>
      <c r="CK45" s="63">
        <v>0</v>
      </c>
      <c r="CL45" s="63">
        <v>0</v>
      </c>
      <c r="CM45" s="63">
        <v>0</v>
      </c>
      <c r="CN45" s="63">
        <v>0</v>
      </c>
      <c r="CO45" s="63">
        <v>0</v>
      </c>
      <c r="CP45" s="63">
        <v>0</v>
      </c>
      <c r="CQ45" s="63">
        <v>0</v>
      </c>
      <c r="CR45" s="63">
        <v>0</v>
      </c>
      <c r="CS45" s="63">
        <v>0</v>
      </c>
      <c r="CT45" s="61">
        <f t="shared" si="0"/>
        <v>8</v>
      </c>
      <c r="CU45" s="61"/>
    </row>
    <row r="46" spans="1:99" ht="12.75">
      <c r="A46" s="61" t="s">
        <v>318</v>
      </c>
      <c r="B46" s="63">
        <v>0</v>
      </c>
      <c r="C46" s="63">
        <v>0</v>
      </c>
      <c r="D46" s="63">
        <v>0</v>
      </c>
      <c r="E46" s="63">
        <v>0</v>
      </c>
      <c r="F46" s="63">
        <v>0</v>
      </c>
      <c r="G46" s="63">
        <v>0</v>
      </c>
      <c r="H46" s="63">
        <v>0</v>
      </c>
      <c r="I46" s="63">
        <v>0</v>
      </c>
      <c r="J46" s="63">
        <v>0</v>
      </c>
      <c r="K46" s="63">
        <v>0</v>
      </c>
      <c r="L46" s="63">
        <v>0</v>
      </c>
      <c r="M46" s="63">
        <v>0</v>
      </c>
      <c r="N46" s="63">
        <v>1</v>
      </c>
      <c r="O46" s="63">
        <v>0</v>
      </c>
      <c r="P46" s="63">
        <v>0</v>
      </c>
      <c r="Q46" s="63">
        <v>0</v>
      </c>
      <c r="R46" s="63">
        <v>0</v>
      </c>
      <c r="S46" s="63">
        <v>0</v>
      </c>
      <c r="T46" s="63">
        <v>1</v>
      </c>
      <c r="U46" s="63">
        <v>0</v>
      </c>
      <c r="V46" s="63">
        <v>1</v>
      </c>
      <c r="W46" s="63">
        <v>0</v>
      </c>
      <c r="X46" s="63">
        <v>0</v>
      </c>
      <c r="Y46" s="63">
        <v>0</v>
      </c>
      <c r="Z46" s="63">
        <v>0</v>
      </c>
      <c r="AA46" s="63">
        <v>0</v>
      </c>
      <c r="AB46" s="63">
        <v>0</v>
      </c>
      <c r="AC46" s="63">
        <v>0</v>
      </c>
      <c r="AD46" s="63">
        <v>0</v>
      </c>
      <c r="AE46" s="63">
        <v>0</v>
      </c>
      <c r="AF46" s="63">
        <v>0</v>
      </c>
      <c r="AG46" s="63">
        <v>0</v>
      </c>
      <c r="AH46" s="63">
        <v>0</v>
      </c>
      <c r="AI46" s="63">
        <v>0</v>
      </c>
      <c r="AJ46" s="63">
        <v>0</v>
      </c>
      <c r="AK46" s="63">
        <v>1</v>
      </c>
      <c r="AL46" s="63">
        <v>0</v>
      </c>
      <c r="AM46" s="63">
        <v>0</v>
      </c>
      <c r="AN46" s="63">
        <v>0</v>
      </c>
      <c r="AO46" s="63">
        <v>0</v>
      </c>
      <c r="AP46" s="63">
        <v>0</v>
      </c>
      <c r="AQ46" s="63">
        <v>0</v>
      </c>
      <c r="AR46" s="63">
        <v>0</v>
      </c>
      <c r="AS46" s="63">
        <v>0</v>
      </c>
      <c r="AT46" s="63">
        <v>1</v>
      </c>
      <c r="AU46" s="63">
        <v>0</v>
      </c>
      <c r="AV46" s="63">
        <v>0</v>
      </c>
      <c r="AW46" s="63">
        <v>0</v>
      </c>
      <c r="AX46" s="63">
        <v>0</v>
      </c>
      <c r="AY46" s="63">
        <v>0</v>
      </c>
      <c r="AZ46" s="63">
        <v>0</v>
      </c>
      <c r="BA46" s="63">
        <v>0</v>
      </c>
      <c r="BB46" s="63">
        <v>0</v>
      </c>
      <c r="BC46" s="63">
        <v>0</v>
      </c>
      <c r="BD46" s="63">
        <v>0</v>
      </c>
      <c r="BE46" s="63">
        <v>0</v>
      </c>
      <c r="BF46" s="63">
        <v>1</v>
      </c>
      <c r="BG46" s="63">
        <v>0</v>
      </c>
      <c r="BH46" s="63">
        <v>0</v>
      </c>
      <c r="BI46" s="63">
        <v>0</v>
      </c>
      <c r="BJ46" s="63">
        <v>0</v>
      </c>
      <c r="BK46" s="63">
        <v>0</v>
      </c>
      <c r="BL46" s="63">
        <v>0</v>
      </c>
      <c r="BM46" s="63">
        <v>0</v>
      </c>
      <c r="BN46" s="63">
        <v>0</v>
      </c>
      <c r="BO46" s="63">
        <v>0</v>
      </c>
      <c r="BP46" s="63">
        <v>1</v>
      </c>
      <c r="BQ46" s="63">
        <v>0</v>
      </c>
      <c r="BR46" s="63">
        <v>1</v>
      </c>
      <c r="BS46" s="63">
        <v>0</v>
      </c>
      <c r="BT46" s="63">
        <v>0</v>
      </c>
      <c r="BU46" s="63">
        <v>0</v>
      </c>
      <c r="BV46" s="63">
        <v>0</v>
      </c>
      <c r="BW46" s="63">
        <v>0</v>
      </c>
      <c r="BX46" s="63">
        <v>0</v>
      </c>
      <c r="BY46" s="63">
        <v>0</v>
      </c>
      <c r="BZ46" s="63">
        <v>0</v>
      </c>
      <c r="CA46" s="63">
        <v>0</v>
      </c>
      <c r="CB46" s="63">
        <v>0</v>
      </c>
      <c r="CC46" s="63">
        <v>0</v>
      </c>
      <c r="CD46" s="63">
        <v>0</v>
      </c>
      <c r="CE46" s="63">
        <v>0</v>
      </c>
      <c r="CF46" s="63">
        <v>0</v>
      </c>
      <c r="CG46" s="63">
        <v>0</v>
      </c>
      <c r="CH46" s="63">
        <v>0</v>
      </c>
      <c r="CI46" s="63">
        <v>0</v>
      </c>
      <c r="CJ46" s="63">
        <v>0</v>
      </c>
      <c r="CK46" s="63">
        <v>0</v>
      </c>
      <c r="CL46" s="63">
        <v>0</v>
      </c>
      <c r="CM46" s="63">
        <v>0</v>
      </c>
      <c r="CN46" s="63">
        <v>0</v>
      </c>
      <c r="CO46" s="63">
        <v>0</v>
      </c>
      <c r="CP46" s="63">
        <v>0</v>
      </c>
      <c r="CQ46" s="63">
        <v>0</v>
      </c>
      <c r="CR46" s="63">
        <v>0</v>
      </c>
      <c r="CS46" s="63">
        <v>0</v>
      </c>
      <c r="CT46" s="61">
        <f t="shared" si="0"/>
        <v>8</v>
      </c>
      <c r="CU46" s="61"/>
    </row>
    <row r="47" spans="1:99" ht="12.75">
      <c r="A47" s="61" t="s">
        <v>325</v>
      </c>
      <c r="B47" s="63">
        <v>0</v>
      </c>
      <c r="C47" s="63">
        <v>0</v>
      </c>
      <c r="D47" s="63">
        <v>0</v>
      </c>
      <c r="E47" s="63">
        <v>0</v>
      </c>
      <c r="F47" s="63">
        <v>0</v>
      </c>
      <c r="G47" s="63">
        <v>0</v>
      </c>
      <c r="H47" s="63">
        <v>0</v>
      </c>
      <c r="I47" s="63">
        <v>0</v>
      </c>
      <c r="J47" s="63">
        <v>0</v>
      </c>
      <c r="K47" s="63">
        <v>1</v>
      </c>
      <c r="L47" s="63">
        <v>1</v>
      </c>
      <c r="M47" s="63">
        <v>0</v>
      </c>
      <c r="N47" s="63">
        <v>0</v>
      </c>
      <c r="O47" s="63">
        <v>0</v>
      </c>
      <c r="P47" s="63">
        <v>0</v>
      </c>
      <c r="Q47" s="63">
        <v>0</v>
      </c>
      <c r="R47" s="63">
        <v>0</v>
      </c>
      <c r="S47" s="63">
        <v>0</v>
      </c>
      <c r="T47" s="63">
        <v>0</v>
      </c>
      <c r="U47" s="63">
        <v>0</v>
      </c>
      <c r="V47" s="63">
        <v>0</v>
      </c>
      <c r="W47" s="63">
        <v>1</v>
      </c>
      <c r="X47" s="63">
        <v>0</v>
      </c>
      <c r="Y47" s="63">
        <v>0</v>
      </c>
      <c r="Z47" s="63">
        <v>0</v>
      </c>
      <c r="AA47" s="63">
        <v>0</v>
      </c>
      <c r="AB47" s="63">
        <v>0</v>
      </c>
      <c r="AC47" s="63">
        <v>0</v>
      </c>
      <c r="AD47" s="63">
        <v>0</v>
      </c>
      <c r="AE47" s="63">
        <v>1</v>
      </c>
      <c r="AF47" s="63">
        <v>0</v>
      </c>
      <c r="AG47" s="63">
        <v>0</v>
      </c>
      <c r="AH47" s="63">
        <v>1</v>
      </c>
      <c r="AI47" s="63">
        <v>0</v>
      </c>
      <c r="AJ47" s="63">
        <v>0</v>
      </c>
      <c r="AK47" s="63">
        <v>0</v>
      </c>
      <c r="AL47" s="63">
        <v>0</v>
      </c>
      <c r="AM47" s="63">
        <v>0</v>
      </c>
      <c r="AN47" s="63">
        <v>0</v>
      </c>
      <c r="AO47" s="63">
        <v>0</v>
      </c>
      <c r="AP47" s="63">
        <v>0</v>
      </c>
      <c r="AQ47" s="63">
        <v>0</v>
      </c>
      <c r="AR47" s="63">
        <v>0</v>
      </c>
      <c r="AS47" s="63">
        <v>0</v>
      </c>
      <c r="AT47" s="63">
        <v>0</v>
      </c>
      <c r="AU47" s="63">
        <v>1</v>
      </c>
      <c r="AV47" s="63">
        <v>0</v>
      </c>
      <c r="AW47" s="63">
        <v>0</v>
      </c>
      <c r="AX47" s="63">
        <v>0</v>
      </c>
      <c r="AY47" s="63">
        <v>0</v>
      </c>
      <c r="AZ47" s="63">
        <v>0</v>
      </c>
      <c r="BA47" s="63">
        <v>0</v>
      </c>
      <c r="BB47" s="63">
        <v>0</v>
      </c>
      <c r="BC47" s="63">
        <v>0</v>
      </c>
      <c r="BD47" s="63">
        <v>1</v>
      </c>
      <c r="BE47" s="63">
        <v>0</v>
      </c>
      <c r="BF47" s="63">
        <v>0</v>
      </c>
      <c r="BG47" s="63">
        <v>0</v>
      </c>
      <c r="BH47" s="63">
        <v>0</v>
      </c>
      <c r="BI47" s="63">
        <v>0</v>
      </c>
      <c r="BJ47" s="63">
        <v>0</v>
      </c>
      <c r="BK47" s="63">
        <v>0</v>
      </c>
      <c r="BL47" s="63">
        <v>0</v>
      </c>
      <c r="BM47" s="63">
        <v>0</v>
      </c>
      <c r="BN47" s="63">
        <v>0</v>
      </c>
      <c r="BO47" s="63">
        <v>1</v>
      </c>
      <c r="BP47" s="63">
        <v>0</v>
      </c>
      <c r="BQ47" s="63">
        <v>0</v>
      </c>
      <c r="BR47" s="63">
        <v>0</v>
      </c>
      <c r="BS47" s="63">
        <v>1</v>
      </c>
      <c r="BT47" s="63">
        <v>1</v>
      </c>
      <c r="BU47" s="63">
        <v>0</v>
      </c>
      <c r="BV47" s="63">
        <v>0</v>
      </c>
      <c r="BW47" s="63">
        <v>0</v>
      </c>
      <c r="BX47" s="63">
        <v>0</v>
      </c>
      <c r="BY47" s="63">
        <v>0</v>
      </c>
      <c r="BZ47" s="63">
        <v>0</v>
      </c>
      <c r="CA47" s="63">
        <v>0</v>
      </c>
      <c r="CB47" s="63">
        <v>0</v>
      </c>
      <c r="CC47" s="63">
        <v>0</v>
      </c>
      <c r="CD47" s="63">
        <v>0</v>
      </c>
      <c r="CE47" s="63">
        <v>0</v>
      </c>
      <c r="CF47" s="63">
        <v>0</v>
      </c>
      <c r="CG47" s="63">
        <v>0</v>
      </c>
      <c r="CH47" s="63">
        <v>0</v>
      </c>
      <c r="CI47" s="63">
        <v>0</v>
      </c>
      <c r="CJ47" s="63">
        <v>0</v>
      </c>
      <c r="CK47" s="63">
        <v>0</v>
      </c>
      <c r="CL47" s="63">
        <v>0</v>
      </c>
      <c r="CM47" s="63">
        <v>0</v>
      </c>
      <c r="CN47" s="63">
        <v>0</v>
      </c>
      <c r="CO47" s="63">
        <v>0</v>
      </c>
      <c r="CP47" s="63">
        <v>0</v>
      </c>
      <c r="CQ47" s="63">
        <v>0</v>
      </c>
      <c r="CR47" s="63">
        <v>0</v>
      </c>
      <c r="CS47" s="63">
        <v>0</v>
      </c>
      <c r="CT47" s="61">
        <f t="shared" si="0"/>
        <v>10</v>
      </c>
      <c r="CU47" s="61"/>
    </row>
    <row r="48" spans="1:99" ht="12.75">
      <c r="A48" s="61" t="s">
        <v>322</v>
      </c>
      <c r="B48" s="63">
        <v>0</v>
      </c>
      <c r="C48" s="63">
        <v>0</v>
      </c>
      <c r="D48" s="63">
        <v>0</v>
      </c>
      <c r="E48" s="63">
        <v>0</v>
      </c>
      <c r="F48" s="63">
        <v>0</v>
      </c>
      <c r="G48" s="63">
        <v>0</v>
      </c>
      <c r="H48" s="63">
        <v>0</v>
      </c>
      <c r="I48" s="63">
        <v>0</v>
      </c>
      <c r="J48" s="63">
        <v>1</v>
      </c>
      <c r="K48" s="63">
        <v>0</v>
      </c>
      <c r="L48" s="63">
        <v>0</v>
      </c>
      <c r="M48" s="63">
        <v>0</v>
      </c>
      <c r="N48" s="63">
        <v>0</v>
      </c>
      <c r="O48" s="63">
        <v>1</v>
      </c>
      <c r="P48" s="63">
        <v>0</v>
      </c>
      <c r="Q48" s="63">
        <v>0</v>
      </c>
      <c r="R48" s="63">
        <v>0</v>
      </c>
      <c r="S48" s="63">
        <v>0</v>
      </c>
      <c r="T48" s="63">
        <v>0</v>
      </c>
      <c r="U48" s="63">
        <v>0</v>
      </c>
      <c r="V48" s="63">
        <v>0</v>
      </c>
      <c r="W48" s="63">
        <v>0</v>
      </c>
      <c r="X48" s="63">
        <v>0</v>
      </c>
      <c r="Y48" s="63">
        <v>1</v>
      </c>
      <c r="Z48" s="63">
        <v>0</v>
      </c>
      <c r="AA48" s="63">
        <v>0</v>
      </c>
      <c r="AB48" s="63">
        <v>0</v>
      </c>
      <c r="AC48" s="63">
        <v>0</v>
      </c>
      <c r="AD48" s="63">
        <v>0</v>
      </c>
      <c r="AE48" s="63">
        <v>1</v>
      </c>
      <c r="AF48" s="63">
        <v>0</v>
      </c>
      <c r="AG48" s="63">
        <v>0</v>
      </c>
      <c r="AH48" s="63">
        <v>0</v>
      </c>
      <c r="AI48" s="63">
        <v>0</v>
      </c>
      <c r="AJ48" s="63">
        <v>0</v>
      </c>
      <c r="AK48" s="63">
        <v>0</v>
      </c>
      <c r="AL48" s="63">
        <v>0</v>
      </c>
      <c r="AM48" s="63">
        <v>0</v>
      </c>
      <c r="AN48" s="63">
        <v>0</v>
      </c>
      <c r="AO48" s="63">
        <v>0</v>
      </c>
      <c r="AP48" s="63">
        <v>0</v>
      </c>
      <c r="AQ48" s="63">
        <v>0</v>
      </c>
      <c r="AR48" s="63">
        <v>0</v>
      </c>
      <c r="AS48" s="63">
        <v>0</v>
      </c>
      <c r="AT48" s="63">
        <v>0</v>
      </c>
      <c r="AU48" s="63">
        <v>0</v>
      </c>
      <c r="AV48" s="63">
        <v>1</v>
      </c>
      <c r="AW48" s="63">
        <v>0</v>
      </c>
      <c r="AX48" s="63">
        <v>0</v>
      </c>
      <c r="AY48" s="63">
        <v>0</v>
      </c>
      <c r="AZ48" s="63">
        <v>0</v>
      </c>
      <c r="BA48" s="63">
        <v>0</v>
      </c>
      <c r="BB48" s="63">
        <v>0</v>
      </c>
      <c r="BC48" s="63">
        <v>0</v>
      </c>
      <c r="BD48" s="63">
        <v>0</v>
      </c>
      <c r="BE48" s="63">
        <v>0</v>
      </c>
      <c r="BF48" s="63">
        <v>0</v>
      </c>
      <c r="BG48" s="63">
        <v>0</v>
      </c>
      <c r="BH48" s="63">
        <v>0</v>
      </c>
      <c r="BI48" s="63">
        <v>1</v>
      </c>
      <c r="BJ48" s="63">
        <v>0</v>
      </c>
      <c r="BK48" s="63">
        <v>0</v>
      </c>
      <c r="BL48" s="63">
        <v>0</v>
      </c>
      <c r="BM48" s="63">
        <v>0</v>
      </c>
      <c r="BN48" s="63">
        <v>0</v>
      </c>
      <c r="BO48" s="63">
        <v>0</v>
      </c>
      <c r="BP48" s="63">
        <v>0</v>
      </c>
      <c r="BQ48" s="63">
        <v>0</v>
      </c>
      <c r="BR48" s="63">
        <v>0</v>
      </c>
      <c r="BS48" s="63">
        <v>0</v>
      </c>
      <c r="BT48" s="63">
        <v>0</v>
      </c>
      <c r="BU48" s="63">
        <v>0</v>
      </c>
      <c r="BV48" s="63">
        <v>0</v>
      </c>
      <c r="BW48" s="63">
        <v>0</v>
      </c>
      <c r="BX48" s="63">
        <v>0</v>
      </c>
      <c r="BY48" s="63">
        <v>0</v>
      </c>
      <c r="BZ48" s="63">
        <v>0</v>
      </c>
      <c r="CA48" s="63">
        <v>0</v>
      </c>
      <c r="CB48" s="63">
        <v>0</v>
      </c>
      <c r="CC48" s="63">
        <v>0</v>
      </c>
      <c r="CD48" s="63">
        <v>1</v>
      </c>
      <c r="CE48" s="63">
        <v>0</v>
      </c>
      <c r="CF48" s="63">
        <v>0</v>
      </c>
      <c r="CG48" s="63">
        <v>0</v>
      </c>
      <c r="CH48" s="63">
        <v>0</v>
      </c>
      <c r="CI48" s="63">
        <v>0</v>
      </c>
      <c r="CJ48" s="63">
        <v>0</v>
      </c>
      <c r="CK48" s="63">
        <v>0</v>
      </c>
      <c r="CL48" s="63">
        <v>0</v>
      </c>
      <c r="CM48" s="63">
        <v>0</v>
      </c>
      <c r="CN48" s="63">
        <v>0</v>
      </c>
      <c r="CO48" s="63">
        <v>0</v>
      </c>
      <c r="CP48" s="63">
        <v>0</v>
      </c>
      <c r="CQ48" s="63">
        <v>0</v>
      </c>
      <c r="CR48" s="63">
        <v>0</v>
      </c>
      <c r="CS48" s="63">
        <v>0</v>
      </c>
      <c r="CT48" s="61">
        <f t="shared" si="0"/>
        <v>7</v>
      </c>
      <c r="CU48" s="61"/>
    </row>
    <row r="49" spans="1:99" ht="12.75">
      <c r="A49" s="61" t="s">
        <v>363</v>
      </c>
      <c r="B49" s="63">
        <v>0</v>
      </c>
      <c r="C49" s="63">
        <v>0</v>
      </c>
      <c r="D49" s="63">
        <v>0</v>
      </c>
      <c r="E49" s="63">
        <v>0</v>
      </c>
      <c r="F49" s="63">
        <v>0</v>
      </c>
      <c r="G49" s="63">
        <v>0</v>
      </c>
      <c r="H49" s="63">
        <v>0</v>
      </c>
      <c r="I49" s="63">
        <v>1</v>
      </c>
      <c r="J49" s="63">
        <v>0</v>
      </c>
      <c r="K49" s="63">
        <v>0</v>
      </c>
      <c r="L49" s="63">
        <v>0</v>
      </c>
      <c r="M49" s="63">
        <v>0</v>
      </c>
      <c r="N49" s="63">
        <v>0</v>
      </c>
      <c r="O49" s="63">
        <v>0</v>
      </c>
      <c r="P49" s="63">
        <v>0</v>
      </c>
      <c r="Q49" s="63">
        <v>0</v>
      </c>
      <c r="R49" s="63">
        <v>0</v>
      </c>
      <c r="S49" s="63">
        <v>0</v>
      </c>
      <c r="T49" s="63">
        <v>0</v>
      </c>
      <c r="U49" s="63">
        <v>0</v>
      </c>
      <c r="V49" s="63">
        <v>0</v>
      </c>
      <c r="W49" s="63">
        <v>0</v>
      </c>
      <c r="X49" s="63">
        <v>0</v>
      </c>
      <c r="Y49" s="63">
        <v>0</v>
      </c>
      <c r="Z49" s="63">
        <v>0</v>
      </c>
      <c r="AA49" s="63">
        <v>0</v>
      </c>
      <c r="AB49" s="63">
        <v>0</v>
      </c>
      <c r="AC49" s="63">
        <v>0</v>
      </c>
      <c r="AD49" s="63">
        <v>0</v>
      </c>
      <c r="AE49" s="63">
        <v>0</v>
      </c>
      <c r="AF49" s="63">
        <v>0</v>
      </c>
      <c r="AG49" s="63">
        <v>0</v>
      </c>
      <c r="AH49" s="63">
        <v>0</v>
      </c>
      <c r="AI49" s="63">
        <v>0</v>
      </c>
      <c r="AJ49" s="63">
        <v>0</v>
      </c>
      <c r="AK49" s="63">
        <v>0</v>
      </c>
      <c r="AL49" s="63">
        <v>0</v>
      </c>
      <c r="AM49" s="63">
        <v>0</v>
      </c>
      <c r="AN49" s="63">
        <v>0</v>
      </c>
      <c r="AO49" s="63">
        <v>0</v>
      </c>
      <c r="AP49" s="63">
        <v>0</v>
      </c>
      <c r="AQ49" s="63">
        <v>0</v>
      </c>
      <c r="AR49" s="63">
        <v>1</v>
      </c>
      <c r="AS49" s="63">
        <v>0</v>
      </c>
      <c r="AT49" s="63">
        <v>0</v>
      </c>
      <c r="AU49" s="63">
        <v>0</v>
      </c>
      <c r="AV49" s="63">
        <v>0</v>
      </c>
      <c r="AW49" s="63">
        <v>1</v>
      </c>
      <c r="AX49" s="63">
        <v>0</v>
      </c>
      <c r="AY49" s="63">
        <v>1</v>
      </c>
      <c r="AZ49" s="63">
        <v>0</v>
      </c>
      <c r="BA49" s="63">
        <v>0</v>
      </c>
      <c r="BB49" s="63">
        <v>0</v>
      </c>
      <c r="BC49" s="63">
        <v>0</v>
      </c>
      <c r="BD49" s="63">
        <v>0</v>
      </c>
      <c r="BE49" s="63">
        <v>0</v>
      </c>
      <c r="BF49" s="63">
        <v>0</v>
      </c>
      <c r="BG49" s="63">
        <v>0</v>
      </c>
      <c r="BH49" s="63">
        <v>0</v>
      </c>
      <c r="BI49" s="63">
        <v>0</v>
      </c>
      <c r="BJ49" s="63">
        <v>0</v>
      </c>
      <c r="BK49" s="63">
        <v>0</v>
      </c>
      <c r="BL49" s="63">
        <v>0</v>
      </c>
      <c r="BM49" s="63">
        <v>0</v>
      </c>
      <c r="BN49" s="63">
        <v>1</v>
      </c>
      <c r="BO49" s="63">
        <v>0</v>
      </c>
      <c r="BP49" s="63">
        <v>1</v>
      </c>
      <c r="BQ49" s="63">
        <v>0</v>
      </c>
      <c r="BR49" s="63">
        <v>0</v>
      </c>
      <c r="BS49" s="63">
        <v>0</v>
      </c>
      <c r="BT49" s="63">
        <v>0</v>
      </c>
      <c r="BU49" s="63">
        <v>0</v>
      </c>
      <c r="BV49" s="63">
        <v>0</v>
      </c>
      <c r="BW49" s="63">
        <v>0</v>
      </c>
      <c r="BX49" s="63">
        <v>0</v>
      </c>
      <c r="BY49" s="63">
        <v>0</v>
      </c>
      <c r="BZ49" s="63">
        <v>0</v>
      </c>
      <c r="CA49" s="63">
        <v>0</v>
      </c>
      <c r="CB49" s="63">
        <v>0</v>
      </c>
      <c r="CC49" s="63">
        <v>0</v>
      </c>
      <c r="CD49" s="63">
        <v>0</v>
      </c>
      <c r="CE49" s="63">
        <v>0</v>
      </c>
      <c r="CF49" s="63">
        <v>0</v>
      </c>
      <c r="CG49" s="63">
        <v>0</v>
      </c>
      <c r="CH49" s="63">
        <v>0</v>
      </c>
      <c r="CI49" s="63">
        <v>0</v>
      </c>
      <c r="CJ49" s="63">
        <v>0</v>
      </c>
      <c r="CK49" s="63">
        <v>0</v>
      </c>
      <c r="CL49" s="63">
        <v>0</v>
      </c>
      <c r="CM49" s="63">
        <v>0</v>
      </c>
      <c r="CN49" s="63">
        <v>0</v>
      </c>
      <c r="CO49" s="63">
        <v>0</v>
      </c>
      <c r="CP49" s="63">
        <v>0</v>
      </c>
      <c r="CQ49" s="63">
        <v>0</v>
      </c>
      <c r="CR49" s="63">
        <v>0</v>
      </c>
      <c r="CS49" s="63">
        <v>0</v>
      </c>
      <c r="CT49" s="61">
        <f t="shared" si="0"/>
        <v>6</v>
      </c>
      <c r="CU49" s="61"/>
    </row>
    <row r="50" spans="1:99" ht="12.75">
      <c r="A50" s="61" t="s">
        <v>362</v>
      </c>
      <c r="B50" s="63">
        <v>0</v>
      </c>
      <c r="C50" s="63">
        <v>1</v>
      </c>
      <c r="D50" s="63">
        <v>1</v>
      </c>
      <c r="E50" s="63">
        <v>0</v>
      </c>
      <c r="F50" s="63">
        <v>0</v>
      </c>
      <c r="G50" s="63">
        <v>0</v>
      </c>
      <c r="H50" s="63">
        <v>0</v>
      </c>
      <c r="I50" s="63">
        <v>0</v>
      </c>
      <c r="J50" s="63">
        <v>0</v>
      </c>
      <c r="K50" s="63">
        <v>0</v>
      </c>
      <c r="L50" s="63">
        <v>1</v>
      </c>
      <c r="M50" s="63">
        <v>0</v>
      </c>
      <c r="N50" s="63">
        <v>0</v>
      </c>
      <c r="O50" s="63">
        <v>0</v>
      </c>
      <c r="P50" s="63">
        <v>0</v>
      </c>
      <c r="Q50" s="63">
        <v>0</v>
      </c>
      <c r="R50" s="63">
        <v>0</v>
      </c>
      <c r="S50" s="63">
        <v>1</v>
      </c>
      <c r="T50" s="63">
        <v>0</v>
      </c>
      <c r="U50" s="63">
        <v>0</v>
      </c>
      <c r="V50" s="63">
        <v>0</v>
      </c>
      <c r="W50" s="63">
        <v>0</v>
      </c>
      <c r="X50" s="63">
        <v>0</v>
      </c>
      <c r="Y50" s="63">
        <v>0</v>
      </c>
      <c r="Z50" s="63">
        <v>0</v>
      </c>
      <c r="AA50" s="63">
        <v>0</v>
      </c>
      <c r="AB50" s="63">
        <v>0</v>
      </c>
      <c r="AC50" s="63">
        <v>0</v>
      </c>
      <c r="AD50" s="63">
        <v>0</v>
      </c>
      <c r="AE50" s="63">
        <v>0</v>
      </c>
      <c r="AF50" s="63">
        <v>0</v>
      </c>
      <c r="AG50" s="63">
        <v>0</v>
      </c>
      <c r="AH50" s="63">
        <v>0</v>
      </c>
      <c r="AI50" s="63">
        <v>0</v>
      </c>
      <c r="AJ50" s="63">
        <v>0</v>
      </c>
      <c r="AK50" s="63">
        <v>0</v>
      </c>
      <c r="AL50" s="63">
        <v>0</v>
      </c>
      <c r="AM50" s="63">
        <v>0</v>
      </c>
      <c r="AN50" s="63">
        <v>0</v>
      </c>
      <c r="AO50" s="63">
        <v>0</v>
      </c>
      <c r="AP50" s="63">
        <v>0</v>
      </c>
      <c r="AQ50" s="63">
        <v>0</v>
      </c>
      <c r="AR50" s="63">
        <v>0</v>
      </c>
      <c r="AS50" s="63">
        <v>0</v>
      </c>
      <c r="AT50" s="63">
        <v>0</v>
      </c>
      <c r="AU50" s="63">
        <v>0</v>
      </c>
      <c r="AV50" s="63">
        <v>0</v>
      </c>
      <c r="AW50" s="63">
        <v>0</v>
      </c>
      <c r="AX50" s="63">
        <v>1</v>
      </c>
      <c r="AY50" s="63">
        <v>0</v>
      </c>
      <c r="AZ50" s="63">
        <v>0</v>
      </c>
      <c r="BA50" s="63">
        <v>0</v>
      </c>
      <c r="BB50" s="63">
        <v>1</v>
      </c>
      <c r="BC50" s="63">
        <v>0</v>
      </c>
      <c r="BD50" s="63">
        <v>0</v>
      </c>
      <c r="BE50" s="63">
        <v>0</v>
      </c>
      <c r="BF50" s="63">
        <v>0</v>
      </c>
      <c r="BG50" s="63">
        <v>1</v>
      </c>
      <c r="BH50" s="63">
        <v>0</v>
      </c>
      <c r="BI50" s="63">
        <v>0</v>
      </c>
      <c r="BJ50" s="63">
        <v>0</v>
      </c>
      <c r="BK50" s="63">
        <v>0</v>
      </c>
      <c r="BL50" s="63">
        <v>1</v>
      </c>
      <c r="BM50" s="63">
        <v>0</v>
      </c>
      <c r="BN50" s="63">
        <v>0</v>
      </c>
      <c r="BO50" s="63">
        <v>0</v>
      </c>
      <c r="BP50" s="63">
        <v>0</v>
      </c>
      <c r="BQ50" s="63">
        <v>0</v>
      </c>
      <c r="BR50" s="63">
        <v>0</v>
      </c>
      <c r="BS50" s="63">
        <v>0</v>
      </c>
      <c r="BT50" s="63">
        <v>0</v>
      </c>
      <c r="BU50" s="63">
        <v>0</v>
      </c>
      <c r="BV50" s="63">
        <v>0</v>
      </c>
      <c r="BW50" s="63">
        <v>0</v>
      </c>
      <c r="BX50" s="63">
        <v>0</v>
      </c>
      <c r="BY50" s="63">
        <v>0</v>
      </c>
      <c r="BZ50" s="63">
        <v>0</v>
      </c>
      <c r="CA50" s="63">
        <v>0</v>
      </c>
      <c r="CB50" s="63">
        <v>0</v>
      </c>
      <c r="CC50" s="63">
        <v>0</v>
      </c>
      <c r="CD50" s="63">
        <v>0</v>
      </c>
      <c r="CE50" s="63">
        <v>0</v>
      </c>
      <c r="CF50" s="63">
        <v>0</v>
      </c>
      <c r="CG50" s="63">
        <v>0</v>
      </c>
      <c r="CH50" s="63">
        <v>0</v>
      </c>
      <c r="CI50" s="63">
        <v>0</v>
      </c>
      <c r="CJ50" s="63">
        <v>1</v>
      </c>
      <c r="CK50" s="63">
        <v>0</v>
      </c>
      <c r="CL50" s="63">
        <v>0</v>
      </c>
      <c r="CM50" s="63">
        <v>0</v>
      </c>
      <c r="CN50" s="63">
        <v>0</v>
      </c>
      <c r="CO50" s="63">
        <v>0</v>
      </c>
      <c r="CP50" s="63">
        <v>0</v>
      </c>
      <c r="CQ50" s="63">
        <v>0</v>
      </c>
      <c r="CR50" s="63">
        <v>0</v>
      </c>
      <c r="CS50" s="63">
        <v>0</v>
      </c>
      <c r="CT50" s="61">
        <f t="shared" si="0"/>
        <v>9</v>
      </c>
      <c r="CU50" s="61"/>
    </row>
    <row r="51" spans="1:99" ht="12.75">
      <c r="A51" s="61" t="s">
        <v>373</v>
      </c>
      <c r="B51" s="63">
        <v>0</v>
      </c>
      <c r="C51" s="63">
        <v>0</v>
      </c>
      <c r="D51" s="63">
        <v>0</v>
      </c>
      <c r="E51" s="63">
        <v>0</v>
      </c>
      <c r="F51" s="63">
        <v>0</v>
      </c>
      <c r="G51" s="63">
        <v>0</v>
      </c>
      <c r="H51" s="63">
        <v>0</v>
      </c>
      <c r="I51" s="63">
        <v>1</v>
      </c>
      <c r="J51" s="63">
        <v>0</v>
      </c>
      <c r="K51" s="63">
        <v>0</v>
      </c>
      <c r="L51" s="63">
        <v>0</v>
      </c>
      <c r="M51" s="63">
        <v>0</v>
      </c>
      <c r="N51" s="63">
        <v>0</v>
      </c>
      <c r="O51" s="63">
        <v>0</v>
      </c>
      <c r="P51" s="63">
        <v>0</v>
      </c>
      <c r="Q51" s="63">
        <v>0</v>
      </c>
      <c r="R51" s="63">
        <v>0</v>
      </c>
      <c r="S51" s="63">
        <v>0</v>
      </c>
      <c r="T51" s="63">
        <v>0</v>
      </c>
      <c r="U51" s="63">
        <v>0</v>
      </c>
      <c r="V51" s="63">
        <v>0</v>
      </c>
      <c r="W51" s="63">
        <v>0</v>
      </c>
      <c r="X51" s="63">
        <v>0</v>
      </c>
      <c r="Y51" s="63">
        <v>0</v>
      </c>
      <c r="Z51" s="63">
        <v>0</v>
      </c>
      <c r="AA51" s="63">
        <v>0</v>
      </c>
      <c r="AB51" s="63">
        <v>0</v>
      </c>
      <c r="AC51" s="63">
        <v>0</v>
      </c>
      <c r="AD51" s="63">
        <v>0</v>
      </c>
      <c r="AE51" s="63">
        <v>0</v>
      </c>
      <c r="AF51" s="63">
        <v>0</v>
      </c>
      <c r="AG51" s="63">
        <v>0</v>
      </c>
      <c r="AH51" s="63">
        <v>0</v>
      </c>
      <c r="AI51" s="63">
        <v>0</v>
      </c>
      <c r="AJ51" s="63">
        <v>0</v>
      </c>
      <c r="AK51" s="63">
        <v>0</v>
      </c>
      <c r="AL51" s="63">
        <v>0</v>
      </c>
      <c r="AM51" s="63">
        <v>0</v>
      </c>
      <c r="AN51" s="63">
        <v>0</v>
      </c>
      <c r="AO51" s="63">
        <v>0</v>
      </c>
      <c r="AP51" s="63">
        <v>0</v>
      </c>
      <c r="AQ51" s="63">
        <v>0</v>
      </c>
      <c r="AR51" s="63">
        <v>1</v>
      </c>
      <c r="AS51" s="63">
        <v>0</v>
      </c>
      <c r="AT51" s="63">
        <v>0</v>
      </c>
      <c r="AU51" s="63">
        <v>0</v>
      </c>
      <c r="AV51" s="63">
        <v>0</v>
      </c>
      <c r="AW51" s="63">
        <v>1</v>
      </c>
      <c r="AX51" s="63">
        <v>0</v>
      </c>
      <c r="AY51" s="63">
        <v>1</v>
      </c>
      <c r="AZ51" s="63">
        <v>0</v>
      </c>
      <c r="BA51" s="63">
        <v>0</v>
      </c>
      <c r="BB51" s="63">
        <v>1</v>
      </c>
      <c r="BC51" s="63">
        <v>0</v>
      </c>
      <c r="BD51" s="63">
        <v>0</v>
      </c>
      <c r="BE51" s="63">
        <v>0</v>
      </c>
      <c r="BF51" s="63">
        <v>0</v>
      </c>
      <c r="BG51" s="63">
        <v>1</v>
      </c>
      <c r="BH51" s="63">
        <v>0</v>
      </c>
      <c r="BI51" s="63">
        <v>0</v>
      </c>
      <c r="BJ51" s="63">
        <v>0</v>
      </c>
      <c r="BK51" s="63">
        <v>0</v>
      </c>
      <c r="BL51" s="63">
        <v>0</v>
      </c>
      <c r="BM51" s="63">
        <v>0</v>
      </c>
      <c r="BN51" s="63">
        <v>0</v>
      </c>
      <c r="BO51" s="63">
        <v>0</v>
      </c>
      <c r="BP51" s="63">
        <v>0</v>
      </c>
      <c r="BQ51" s="63">
        <v>0</v>
      </c>
      <c r="BR51" s="63">
        <v>0</v>
      </c>
      <c r="BS51" s="63">
        <v>0</v>
      </c>
      <c r="BT51" s="63">
        <v>0</v>
      </c>
      <c r="BU51" s="63">
        <v>0</v>
      </c>
      <c r="BV51" s="63">
        <v>0</v>
      </c>
      <c r="BW51" s="63">
        <v>0</v>
      </c>
      <c r="BX51" s="63">
        <v>0</v>
      </c>
      <c r="BY51" s="63">
        <v>0</v>
      </c>
      <c r="BZ51" s="63">
        <v>0</v>
      </c>
      <c r="CA51" s="63">
        <v>0</v>
      </c>
      <c r="CB51" s="63">
        <v>0</v>
      </c>
      <c r="CC51" s="63">
        <v>0</v>
      </c>
      <c r="CD51" s="63">
        <v>0</v>
      </c>
      <c r="CE51" s="63">
        <v>0</v>
      </c>
      <c r="CF51" s="63">
        <v>0</v>
      </c>
      <c r="CG51" s="63">
        <v>0</v>
      </c>
      <c r="CH51" s="63">
        <v>0</v>
      </c>
      <c r="CI51" s="63">
        <v>0</v>
      </c>
      <c r="CJ51" s="63">
        <v>1</v>
      </c>
      <c r="CK51" s="63">
        <v>0</v>
      </c>
      <c r="CL51" s="63">
        <v>0</v>
      </c>
      <c r="CM51" s="63">
        <v>0</v>
      </c>
      <c r="CN51" s="63">
        <v>0</v>
      </c>
      <c r="CO51" s="63">
        <v>0</v>
      </c>
      <c r="CP51" s="63">
        <v>0</v>
      </c>
      <c r="CQ51" s="63">
        <v>0</v>
      </c>
      <c r="CR51" s="63">
        <v>1</v>
      </c>
      <c r="CS51" s="63">
        <v>0</v>
      </c>
      <c r="CT51" s="61">
        <f t="shared" si="0"/>
        <v>8</v>
      </c>
      <c r="CU51" s="61"/>
    </row>
    <row r="52" spans="1:99" ht="12.75">
      <c r="A52" s="61" t="s">
        <v>320</v>
      </c>
      <c r="B52" s="63">
        <v>0</v>
      </c>
      <c r="C52" s="63">
        <v>0</v>
      </c>
      <c r="D52" s="63">
        <v>0</v>
      </c>
      <c r="E52" s="63">
        <v>0</v>
      </c>
      <c r="F52" s="63">
        <v>0</v>
      </c>
      <c r="G52" s="63">
        <v>0</v>
      </c>
      <c r="H52" s="63">
        <v>0</v>
      </c>
      <c r="I52" s="63">
        <v>0</v>
      </c>
      <c r="J52" s="63">
        <v>0</v>
      </c>
      <c r="K52" s="63">
        <v>0</v>
      </c>
      <c r="L52" s="63">
        <v>0</v>
      </c>
      <c r="M52" s="63">
        <v>0</v>
      </c>
      <c r="N52" s="63">
        <v>0</v>
      </c>
      <c r="O52" s="63">
        <v>0</v>
      </c>
      <c r="P52" s="63">
        <v>0</v>
      </c>
      <c r="Q52" s="63">
        <v>0</v>
      </c>
      <c r="R52" s="63">
        <v>0</v>
      </c>
      <c r="S52" s="63">
        <v>0</v>
      </c>
      <c r="T52" s="63">
        <v>0</v>
      </c>
      <c r="U52" s="63">
        <v>0</v>
      </c>
      <c r="V52" s="63">
        <v>0</v>
      </c>
      <c r="W52" s="63">
        <v>0</v>
      </c>
      <c r="X52" s="63">
        <v>0</v>
      </c>
      <c r="Y52" s="63">
        <v>0</v>
      </c>
      <c r="Z52" s="63">
        <v>0</v>
      </c>
      <c r="AA52" s="63">
        <v>0</v>
      </c>
      <c r="AB52" s="63">
        <v>0</v>
      </c>
      <c r="AC52" s="63">
        <v>0</v>
      </c>
      <c r="AD52" s="63">
        <v>0</v>
      </c>
      <c r="AE52" s="63">
        <v>0</v>
      </c>
      <c r="AF52" s="63">
        <v>0</v>
      </c>
      <c r="AG52" s="63">
        <v>0</v>
      </c>
      <c r="AH52" s="63">
        <v>0</v>
      </c>
      <c r="AI52" s="63">
        <v>0</v>
      </c>
      <c r="AJ52" s="63">
        <v>0</v>
      </c>
      <c r="AK52" s="63">
        <v>0</v>
      </c>
      <c r="AL52" s="63">
        <v>0</v>
      </c>
      <c r="AM52" s="63">
        <v>0</v>
      </c>
      <c r="AN52" s="63">
        <v>0</v>
      </c>
      <c r="AO52" s="63">
        <v>1</v>
      </c>
      <c r="AP52" s="63">
        <v>0</v>
      </c>
      <c r="AQ52" s="63">
        <v>0</v>
      </c>
      <c r="AR52" s="63">
        <v>0</v>
      </c>
      <c r="AS52" s="63">
        <v>0</v>
      </c>
      <c r="AT52" s="63">
        <v>0</v>
      </c>
      <c r="AU52" s="63">
        <v>0</v>
      </c>
      <c r="AV52" s="63">
        <v>0</v>
      </c>
      <c r="AW52" s="63">
        <v>0</v>
      </c>
      <c r="AX52" s="63">
        <v>0</v>
      </c>
      <c r="AY52" s="63">
        <v>0</v>
      </c>
      <c r="AZ52" s="63">
        <v>1</v>
      </c>
      <c r="BA52" s="63">
        <v>0</v>
      </c>
      <c r="BB52" s="63">
        <v>0</v>
      </c>
      <c r="BC52" s="63">
        <v>0</v>
      </c>
      <c r="BD52" s="63">
        <v>0</v>
      </c>
      <c r="BE52" s="63">
        <v>1</v>
      </c>
      <c r="BF52" s="63">
        <v>0</v>
      </c>
      <c r="BG52" s="63">
        <v>0</v>
      </c>
      <c r="BH52" s="63">
        <v>1</v>
      </c>
      <c r="BI52" s="63">
        <v>0</v>
      </c>
      <c r="BJ52" s="63">
        <v>0</v>
      </c>
      <c r="BK52" s="63">
        <v>0</v>
      </c>
      <c r="BL52" s="63">
        <v>0</v>
      </c>
      <c r="BM52" s="63">
        <v>0</v>
      </c>
      <c r="BN52" s="63">
        <v>0</v>
      </c>
      <c r="BO52" s="63">
        <v>0</v>
      </c>
      <c r="BP52" s="63">
        <v>0</v>
      </c>
      <c r="BQ52" s="63">
        <v>0</v>
      </c>
      <c r="BR52" s="63">
        <v>0</v>
      </c>
      <c r="BS52" s="63">
        <v>0</v>
      </c>
      <c r="BT52" s="63">
        <v>0</v>
      </c>
      <c r="BU52" s="63">
        <v>0</v>
      </c>
      <c r="BV52" s="63">
        <v>0</v>
      </c>
      <c r="BW52" s="63">
        <v>0</v>
      </c>
      <c r="BX52" s="63">
        <v>1</v>
      </c>
      <c r="BY52" s="63">
        <v>0</v>
      </c>
      <c r="BZ52" s="63">
        <v>0</v>
      </c>
      <c r="CA52" s="63">
        <v>0</v>
      </c>
      <c r="CB52" s="63">
        <v>0</v>
      </c>
      <c r="CC52" s="63">
        <v>0</v>
      </c>
      <c r="CD52" s="63">
        <v>0</v>
      </c>
      <c r="CE52" s="63">
        <v>0</v>
      </c>
      <c r="CF52" s="63">
        <v>0</v>
      </c>
      <c r="CG52" s="63">
        <v>0</v>
      </c>
      <c r="CH52" s="63">
        <v>0</v>
      </c>
      <c r="CI52" s="63">
        <v>0</v>
      </c>
      <c r="CJ52" s="63">
        <v>0</v>
      </c>
      <c r="CK52" s="63">
        <v>1</v>
      </c>
      <c r="CL52" s="63">
        <v>0</v>
      </c>
      <c r="CM52" s="63">
        <v>0</v>
      </c>
      <c r="CN52" s="63">
        <v>0</v>
      </c>
      <c r="CO52" s="63">
        <v>0</v>
      </c>
      <c r="CP52" s="63">
        <v>1</v>
      </c>
      <c r="CQ52" s="63">
        <v>0</v>
      </c>
      <c r="CR52" s="63">
        <v>0</v>
      </c>
      <c r="CS52" s="63">
        <v>0</v>
      </c>
      <c r="CT52" s="61">
        <f t="shared" si="0"/>
        <v>7</v>
      </c>
      <c r="CU52" s="61"/>
    </row>
    <row r="53" spans="1:99" ht="12.75">
      <c r="A53" s="61" t="s">
        <v>349</v>
      </c>
      <c r="B53" s="63">
        <v>0</v>
      </c>
      <c r="C53" s="63">
        <v>0</v>
      </c>
      <c r="D53" s="63">
        <v>0</v>
      </c>
      <c r="E53" s="63">
        <v>0</v>
      </c>
      <c r="F53" s="63">
        <v>0</v>
      </c>
      <c r="G53" s="63">
        <v>0</v>
      </c>
      <c r="H53" s="63">
        <v>0</v>
      </c>
      <c r="I53" s="63">
        <v>0</v>
      </c>
      <c r="J53" s="63">
        <v>0</v>
      </c>
      <c r="K53" s="63">
        <v>0</v>
      </c>
      <c r="L53" s="63">
        <v>0</v>
      </c>
      <c r="M53" s="63">
        <v>0</v>
      </c>
      <c r="N53" s="63">
        <v>0</v>
      </c>
      <c r="O53" s="63">
        <v>0</v>
      </c>
      <c r="P53" s="63">
        <v>0</v>
      </c>
      <c r="Q53" s="63">
        <v>0</v>
      </c>
      <c r="R53" s="63">
        <v>0</v>
      </c>
      <c r="S53" s="63">
        <v>0</v>
      </c>
      <c r="T53" s="63">
        <v>0</v>
      </c>
      <c r="U53" s="63">
        <v>0</v>
      </c>
      <c r="V53" s="63">
        <v>0</v>
      </c>
      <c r="W53" s="63">
        <v>0</v>
      </c>
      <c r="X53" s="63">
        <v>0</v>
      </c>
      <c r="Y53" s="63">
        <v>0</v>
      </c>
      <c r="Z53" s="63">
        <v>0</v>
      </c>
      <c r="AA53" s="63">
        <v>0</v>
      </c>
      <c r="AB53" s="63">
        <v>0</v>
      </c>
      <c r="AC53" s="63">
        <v>0</v>
      </c>
      <c r="AD53" s="63">
        <v>0</v>
      </c>
      <c r="AE53" s="63">
        <v>0</v>
      </c>
      <c r="AF53" s="63">
        <v>0</v>
      </c>
      <c r="AG53" s="63">
        <v>1</v>
      </c>
      <c r="AH53" s="63">
        <v>0</v>
      </c>
      <c r="AI53" s="63">
        <v>0</v>
      </c>
      <c r="AJ53" s="63">
        <v>0</v>
      </c>
      <c r="AK53" s="63">
        <v>0</v>
      </c>
      <c r="AL53" s="63">
        <v>0</v>
      </c>
      <c r="AM53" s="63">
        <v>0</v>
      </c>
      <c r="AN53" s="63">
        <v>0</v>
      </c>
      <c r="AO53" s="63">
        <v>0</v>
      </c>
      <c r="AP53" s="63">
        <v>0</v>
      </c>
      <c r="AQ53" s="63">
        <v>0</v>
      </c>
      <c r="AR53" s="63">
        <v>0</v>
      </c>
      <c r="AS53" s="63">
        <v>0</v>
      </c>
      <c r="AT53" s="63">
        <v>0</v>
      </c>
      <c r="AU53" s="63">
        <v>0</v>
      </c>
      <c r="AV53" s="63">
        <v>0</v>
      </c>
      <c r="AW53" s="63">
        <v>0</v>
      </c>
      <c r="AX53" s="63">
        <v>0</v>
      </c>
      <c r="AY53" s="63">
        <v>0</v>
      </c>
      <c r="AZ53" s="63">
        <v>0</v>
      </c>
      <c r="BA53" s="63">
        <v>1</v>
      </c>
      <c r="BB53" s="63">
        <v>0</v>
      </c>
      <c r="BC53" s="63">
        <v>0</v>
      </c>
      <c r="BD53" s="63">
        <v>0</v>
      </c>
      <c r="BE53" s="63">
        <v>0</v>
      </c>
      <c r="BF53" s="63">
        <v>0</v>
      </c>
      <c r="BG53" s="63">
        <v>0</v>
      </c>
      <c r="BH53" s="63">
        <v>0</v>
      </c>
      <c r="BI53" s="63">
        <v>0</v>
      </c>
      <c r="BJ53" s="63">
        <v>0</v>
      </c>
      <c r="BK53" s="63">
        <v>1</v>
      </c>
      <c r="BL53" s="63">
        <v>0</v>
      </c>
      <c r="BM53" s="63">
        <v>0</v>
      </c>
      <c r="BN53" s="63">
        <v>0</v>
      </c>
      <c r="BO53" s="63">
        <v>0</v>
      </c>
      <c r="BP53" s="63">
        <v>0</v>
      </c>
      <c r="BQ53" s="63">
        <v>0</v>
      </c>
      <c r="BR53" s="63">
        <v>0</v>
      </c>
      <c r="BS53" s="63">
        <v>0</v>
      </c>
      <c r="BT53" s="63">
        <v>0</v>
      </c>
      <c r="BU53" s="63">
        <v>0</v>
      </c>
      <c r="BV53" s="63">
        <v>0</v>
      </c>
      <c r="BW53" s="63">
        <v>0</v>
      </c>
      <c r="BX53" s="63">
        <v>0</v>
      </c>
      <c r="BY53" s="63">
        <v>0</v>
      </c>
      <c r="BZ53" s="63">
        <v>0</v>
      </c>
      <c r="CA53" s="63">
        <v>1</v>
      </c>
      <c r="CB53" s="63">
        <v>0</v>
      </c>
      <c r="CC53" s="63">
        <v>0</v>
      </c>
      <c r="CD53" s="63">
        <v>0</v>
      </c>
      <c r="CE53" s="63">
        <v>0</v>
      </c>
      <c r="CF53" s="63">
        <v>0</v>
      </c>
      <c r="CG53" s="63">
        <v>1</v>
      </c>
      <c r="CH53" s="63">
        <v>0</v>
      </c>
      <c r="CI53" s="63">
        <v>0</v>
      </c>
      <c r="CJ53" s="63">
        <v>0</v>
      </c>
      <c r="CK53" s="63">
        <v>0</v>
      </c>
      <c r="CL53" s="63">
        <v>0</v>
      </c>
      <c r="CM53" s="63">
        <v>0</v>
      </c>
      <c r="CN53" s="63">
        <v>0</v>
      </c>
      <c r="CO53" s="63">
        <v>0</v>
      </c>
      <c r="CP53" s="63">
        <v>0</v>
      </c>
      <c r="CQ53" s="63">
        <v>0</v>
      </c>
      <c r="CR53" s="63">
        <v>0</v>
      </c>
      <c r="CS53" s="63">
        <v>0</v>
      </c>
      <c r="CT53" s="61">
        <f t="shared" si="0"/>
        <v>5</v>
      </c>
      <c r="CU53" s="61"/>
    </row>
    <row r="54" spans="1:99" ht="12.75">
      <c r="A54" s="61" t="s">
        <v>336</v>
      </c>
      <c r="B54" s="63">
        <v>0</v>
      </c>
      <c r="C54" s="63">
        <v>0</v>
      </c>
      <c r="D54" s="63">
        <v>0</v>
      </c>
      <c r="E54" s="63">
        <v>0</v>
      </c>
      <c r="F54" s="63">
        <v>0</v>
      </c>
      <c r="G54" s="63">
        <v>0</v>
      </c>
      <c r="H54" s="63">
        <v>0</v>
      </c>
      <c r="I54" s="63">
        <v>1</v>
      </c>
      <c r="J54" s="63">
        <v>0</v>
      </c>
      <c r="K54" s="63">
        <v>0</v>
      </c>
      <c r="L54" s="63">
        <v>0</v>
      </c>
      <c r="M54" s="63">
        <v>0</v>
      </c>
      <c r="N54" s="63">
        <v>0</v>
      </c>
      <c r="O54" s="63">
        <v>0</v>
      </c>
      <c r="P54" s="63">
        <v>0</v>
      </c>
      <c r="Q54" s="63">
        <v>0</v>
      </c>
      <c r="R54" s="63">
        <v>0</v>
      </c>
      <c r="S54" s="63">
        <v>0</v>
      </c>
      <c r="T54" s="63">
        <v>0</v>
      </c>
      <c r="U54" s="63">
        <v>0</v>
      </c>
      <c r="V54" s="63">
        <v>0</v>
      </c>
      <c r="W54" s="63">
        <v>0</v>
      </c>
      <c r="X54" s="63">
        <v>0</v>
      </c>
      <c r="Y54" s="63">
        <v>0</v>
      </c>
      <c r="Z54" s="63">
        <v>0</v>
      </c>
      <c r="AA54" s="63">
        <v>0</v>
      </c>
      <c r="AB54" s="63">
        <v>0</v>
      </c>
      <c r="AC54" s="63">
        <v>0</v>
      </c>
      <c r="AD54" s="63">
        <v>0</v>
      </c>
      <c r="AE54" s="63">
        <v>0</v>
      </c>
      <c r="AF54" s="63">
        <v>0</v>
      </c>
      <c r="AG54" s="63">
        <v>0</v>
      </c>
      <c r="AH54" s="63">
        <v>0</v>
      </c>
      <c r="AI54" s="63">
        <v>0</v>
      </c>
      <c r="AJ54" s="63">
        <v>0</v>
      </c>
      <c r="AK54" s="63">
        <v>0</v>
      </c>
      <c r="AL54" s="63">
        <v>0</v>
      </c>
      <c r="AM54" s="63">
        <v>0</v>
      </c>
      <c r="AN54" s="63">
        <v>0</v>
      </c>
      <c r="AO54" s="63">
        <v>0</v>
      </c>
      <c r="AP54" s="63">
        <v>0</v>
      </c>
      <c r="AQ54" s="63">
        <v>0</v>
      </c>
      <c r="AR54" s="63">
        <v>0</v>
      </c>
      <c r="AS54" s="63">
        <v>0</v>
      </c>
      <c r="AT54" s="63">
        <v>0</v>
      </c>
      <c r="AU54" s="63">
        <v>0</v>
      </c>
      <c r="AV54" s="63">
        <v>0</v>
      </c>
      <c r="AW54" s="63">
        <v>0</v>
      </c>
      <c r="AX54" s="63">
        <v>1</v>
      </c>
      <c r="AY54" s="63">
        <v>1</v>
      </c>
      <c r="AZ54" s="63">
        <v>0</v>
      </c>
      <c r="BA54" s="63">
        <v>0</v>
      </c>
      <c r="BB54" s="63">
        <v>1</v>
      </c>
      <c r="BC54" s="63">
        <v>0</v>
      </c>
      <c r="BD54" s="63">
        <v>0</v>
      </c>
      <c r="BE54" s="63">
        <v>0</v>
      </c>
      <c r="BF54" s="63">
        <v>0</v>
      </c>
      <c r="BG54" s="63">
        <v>1</v>
      </c>
      <c r="BH54" s="63">
        <v>0</v>
      </c>
      <c r="BI54" s="63">
        <v>0</v>
      </c>
      <c r="BJ54" s="63">
        <v>0</v>
      </c>
      <c r="BK54" s="63">
        <v>0</v>
      </c>
      <c r="BL54" s="63">
        <v>1</v>
      </c>
      <c r="BM54" s="63">
        <v>0</v>
      </c>
      <c r="BN54" s="63">
        <v>0</v>
      </c>
      <c r="BO54" s="63">
        <v>0</v>
      </c>
      <c r="BP54" s="63">
        <v>0</v>
      </c>
      <c r="BQ54" s="63">
        <v>0</v>
      </c>
      <c r="BR54" s="63">
        <v>0</v>
      </c>
      <c r="BS54" s="63">
        <v>0</v>
      </c>
      <c r="BT54" s="63">
        <v>0</v>
      </c>
      <c r="BU54" s="63">
        <v>0</v>
      </c>
      <c r="BV54" s="63">
        <v>0</v>
      </c>
      <c r="BW54" s="63">
        <v>0</v>
      </c>
      <c r="BX54" s="63">
        <v>0</v>
      </c>
      <c r="BY54" s="63">
        <v>0</v>
      </c>
      <c r="BZ54" s="63">
        <v>0</v>
      </c>
      <c r="CA54" s="63">
        <v>0</v>
      </c>
      <c r="CB54" s="63">
        <v>0</v>
      </c>
      <c r="CC54" s="63">
        <v>0</v>
      </c>
      <c r="CD54" s="63">
        <v>0</v>
      </c>
      <c r="CE54" s="63">
        <v>0</v>
      </c>
      <c r="CF54" s="63">
        <v>0</v>
      </c>
      <c r="CG54" s="63">
        <v>0</v>
      </c>
      <c r="CH54" s="63">
        <v>0</v>
      </c>
      <c r="CI54" s="63">
        <v>0</v>
      </c>
      <c r="CJ54" s="63">
        <v>1</v>
      </c>
      <c r="CK54" s="63">
        <v>0</v>
      </c>
      <c r="CL54" s="63">
        <v>0</v>
      </c>
      <c r="CM54" s="63">
        <v>0</v>
      </c>
      <c r="CN54" s="63">
        <v>0</v>
      </c>
      <c r="CO54" s="63">
        <v>0</v>
      </c>
      <c r="CP54" s="63">
        <v>0</v>
      </c>
      <c r="CQ54" s="63">
        <v>0</v>
      </c>
      <c r="CR54" s="63">
        <v>0</v>
      </c>
      <c r="CS54" s="63">
        <v>0</v>
      </c>
      <c r="CT54" s="61">
        <f t="shared" si="0"/>
        <v>7</v>
      </c>
      <c r="CU54" s="61"/>
    </row>
    <row r="55" spans="1:99" ht="12.75">
      <c r="A55" s="61" t="s">
        <v>371</v>
      </c>
      <c r="B55" s="63">
        <v>0</v>
      </c>
      <c r="C55" s="63">
        <v>0</v>
      </c>
      <c r="D55" s="63">
        <v>0</v>
      </c>
      <c r="E55" s="63">
        <v>0</v>
      </c>
      <c r="F55" s="63">
        <v>0</v>
      </c>
      <c r="G55" s="63">
        <v>0</v>
      </c>
      <c r="H55" s="63">
        <v>0</v>
      </c>
      <c r="I55" s="63">
        <v>0</v>
      </c>
      <c r="J55" s="63">
        <v>0</v>
      </c>
      <c r="K55" s="63">
        <v>0</v>
      </c>
      <c r="L55" s="63">
        <v>0</v>
      </c>
      <c r="M55" s="63">
        <v>0</v>
      </c>
      <c r="N55" s="63">
        <v>0</v>
      </c>
      <c r="O55" s="63">
        <v>0</v>
      </c>
      <c r="P55" s="63">
        <v>0</v>
      </c>
      <c r="Q55" s="63">
        <v>0</v>
      </c>
      <c r="R55" s="63">
        <v>0</v>
      </c>
      <c r="S55" s="63">
        <v>0</v>
      </c>
      <c r="T55" s="63">
        <v>0</v>
      </c>
      <c r="U55" s="63">
        <v>0</v>
      </c>
      <c r="V55" s="63">
        <v>0</v>
      </c>
      <c r="W55" s="63">
        <v>1</v>
      </c>
      <c r="X55" s="63">
        <v>0</v>
      </c>
      <c r="Y55" s="63">
        <v>0</v>
      </c>
      <c r="Z55" s="63">
        <v>0</v>
      </c>
      <c r="AA55" s="63">
        <v>0</v>
      </c>
      <c r="AB55" s="63">
        <v>0</v>
      </c>
      <c r="AC55" s="63">
        <v>0</v>
      </c>
      <c r="AD55" s="63">
        <v>0</v>
      </c>
      <c r="AE55" s="63">
        <v>0</v>
      </c>
      <c r="AF55" s="63">
        <v>0</v>
      </c>
      <c r="AG55" s="63">
        <v>0</v>
      </c>
      <c r="AH55" s="63">
        <v>0</v>
      </c>
      <c r="AI55" s="63">
        <v>0</v>
      </c>
      <c r="AJ55" s="63">
        <v>0</v>
      </c>
      <c r="AK55" s="63">
        <v>0</v>
      </c>
      <c r="AL55" s="63">
        <v>0</v>
      </c>
      <c r="AM55" s="63">
        <v>0</v>
      </c>
      <c r="AN55" s="63">
        <v>0</v>
      </c>
      <c r="AO55" s="63">
        <v>0</v>
      </c>
      <c r="AP55" s="63">
        <v>0</v>
      </c>
      <c r="AQ55" s="63">
        <v>0</v>
      </c>
      <c r="AR55" s="63">
        <v>0</v>
      </c>
      <c r="AS55" s="63">
        <v>0</v>
      </c>
      <c r="AT55" s="63">
        <v>0</v>
      </c>
      <c r="AU55" s="63">
        <v>0</v>
      </c>
      <c r="AV55" s="63">
        <v>0</v>
      </c>
      <c r="AW55" s="63">
        <v>0</v>
      </c>
      <c r="AX55" s="63">
        <v>0</v>
      </c>
      <c r="AY55" s="63">
        <v>0</v>
      </c>
      <c r="AZ55" s="63">
        <v>0</v>
      </c>
      <c r="BA55" s="63">
        <v>0</v>
      </c>
      <c r="BB55" s="63">
        <v>0</v>
      </c>
      <c r="BC55" s="63">
        <v>1</v>
      </c>
      <c r="BD55" s="63">
        <v>0</v>
      </c>
      <c r="BE55" s="63">
        <v>0</v>
      </c>
      <c r="BF55" s="63">
        <v>0</v>
      </c>
      <c r="BG55" s="63">
        <v>0</v>
      </c>
      <c r="BH55" s="63">
        <v>0</v>
      </c>
      <c r="BI55" s="63">
        <v>0</v>
      </c>
      <c r="BJ55" s="63">
        <v>0</v>
      </c>
      <c r="BK55" s="63">
        <v>0</v>
      </c>
      <c r="BL55" s="63">
        <v>1</v>
      </c>
      <c r="BM55" s="63">
        <v>0</v>
      </c>
      <c r="BN55" s="63">
        <v>0</v>
      </c>
      <c r="BO55" s="63">
        <v>0</v>
      </c>
      <c r="BP55" s="63">
        <v>0</v>
      </c>
      <c r="BQ55" s="63">
        <v>0</v>
      </c>
      <c r="BR55" s="63">
        <v>0</v>
      </c>
      <c r="BS55" s="63">
        <v>0</v>
      </c>
      <c r="BT55" s="63">
        <v>0</v>
      </c>
      <c r="BU55" s="63">
        <v>0</v>
      </c>
      <c r="BV55" s="63">
        <v>0</v>
      </c>
      <c r="BW55" s="63">
        <v>0</v>
      </c>
      <c r="BX55" s="63">
        <v>1</v>
      </c>
      <c r="BY55" s="63">
        <v>0</v>
      </c>
      <c r="BZ55" s="63">
        <v>0</v>
      </c>
      <c r="CA55" s="63">
        <v>0</v>
      </c>
      <c r="CB55" s="63">
        <v>0</v>
      </c>
      <c r="CC55" s="63">
        <v>0</v>
      </c>
      <c r="CD55" s="63">
        <v>0</v>
      </c>
      <c r="CE55" s="63">
        <v>0</v>
      </c>
      <c r="CF55" s="63">
        <v>0</v>
      </c>
      <c r="CG55" s="63">
        <v>0</v>
      </c>
      <c r="CH55" s="63">
        <v>0</v>
      </c>
      <c r="CI55" s="63">
        <v>0</v>
      </c>
      <c r="CJ55" s="63">
        <v>0</v>
      </c>
      <c r="CK55" s="63">
        <v>0</v>
      </c>
      <c r="CL55" s="63">
        <v>1</v>
      </c>
      <c r="CM55" s="63">
        <v>0</v>
      </c>
      <c r="CN55" s="63">
        <v>1</v>
      </c>
      <c r="CO55" s="63">
        <v>0</v>
      </c>
      <c r="CP55" s="63">
        <v>0</v>
      </c>
      <c r="CQ55" s="63">
        <v>0</v>
      </c>
      <c r="CR55" s="63">
        <v>0</v>
      </c>
      <c r="CS55" s="63">
        <v>0</v>
      </c>
      <c r="CT55" s="61">
        <f t="shared" si="0"/>
        <v>6</v>
      </c>
      <c r="CU55" s="61"/>
    </row>
    <row r="56" spans="1:99" ht="12.75">
      <c r="A56" s="61" t="s">
        <v>401</v>
      </c>
      <c r="B56" s="63">
        <v>0</v>
      </c>
      <c r="C56" s="63">
        <v>0</v>
      </c>
      <c r="D56" s="63">
        <v>0</v>
      </c>
      <c r="E56" s="63">
        <v>0</v>
      </c>
      <c r="F56" s="63">
        <v>0</v>
      </c>
      <c r="G56" s="63">
        <v>0</v>
      </c>
      <c r="H56" s="63">
        <v>0</v>
      </c>
      <c r="I56" s="63">
        <v>0</v>
      </c>
      <c r="J56" s="63">
        <v>1</v>
      </c>
      <c r="K56" s="63">
        <v>1</v>
      </c>
      <c r="L56" s="63">
        <v>0</v>
      </c>
      <c r="M56" s="63">
        <v>0</v>
      </c>
      <c r="N56" s="63">
        <v>0</v>
      </c>
      <c r="O56" s="63">
        <v>0</v>
      </c>
      <c r="P56" s="63">
        <v>0</v>
      </c>
      <c r="Q56" s="63">
        <v>0</v>
      </c>
      <c r="R56" s="63">
        <v>0</v>
      </c>
      <c r="S56" s="63">
        <v>0</v>
      </c>
      <c r="T56" s="63">
        <v>0</v>
      </c>
      <c r="U56" s="63">
        <v>0</v>
      </c>
      <c r="V56" s="63">
        <v>0</v>
      </c>
      <c r="W56" s="63">
        <v>0</v>
      </c>
      <c r="X56" s="63">
        <v>0</v>
      </c>
      <c r="Y56" s="63">
        <v>0</v>
      </c>
      <c r="Z56" s="63">
        <v>0</v>
      </c>
      <c r="AA56" s="63">
        <v>0</v>
      </c>
      <c r="AB56" s="63">
        <v>0</v>
      </c>
      <c r="AC56" s="63">
        <v>0</v>
      </c>
      <c r="AD56" s="63">
        <v>0</v>
      </c>
      <c r="AE56" s="63">
        <v>0</v>
      </c>
      <c r="AF56" s="63">
        <v>0</v>
      </c>
      <c r="AG56" s="63">
        <v>0</v>
      </c>
      <c r="AH56" s="63">
        <v>0</v>
      </c>
      <c r="AI56" s="63">
        <v>0</v>
      </c>
      <c r="AJ56" s="63">
        <v>0</v>
      </c>
      <c r="AK56" s="63">
        <v>0</v>
      </c>
      <c r="AL56" s="63">
        <v>0</v>
      </c>
      <c r="AM56" s="63">
        <v>0</v>
      </c>
      <c r="AN56" s="63">
        <v>0</v>
      </c>
      <c r="AO56" s="63">
        <v>0</v>
      </c>
      <c r="AP56" s="63">
        <v>0</v>
      </c>
      <c r="AQ56" s="63">
        <v>0</v>
      </c>
      <c r="AR56" s="63">
        <v>0</v>
      </c>
      <c r="AS56" s="63">
        <v>0</v>
      </c>
      <c r="AT56" s="63">
        <v>0</v>
      </c>
      <c r="AU56" s="63">
        <v>1</v>
      </c>
      <c r="AV56" s="63">
        <v>0</v>
      </c>
      <c r="AW56" s="63">
        <v>0</v>
      </c>
      <c r="AX56" s="63">
        <v>0</v>
      </c>
      <c r="AY56" s="63">
        <v>0</v>
      </c>
      <c r="AZ56" s="63">
        <v>0</v>
      </c>
      <c r="BA56" s="63">
        <v>0</v>
      </c>
      <c r="BB56" s="63">
        <v>0</v>
      </c>
      <c r="BC56" s="63">
        <v>0</v>
      </c>
      <c r="BD56" s="63">
        <v>1</v>
      </c>
      <c r="BE56" s="63">
        <v>0</v>
      </c>
      <c r="BF56" s="63">
        <v>0</v>
      </c>
      <c r="BG56" s="63">
        <v>0</v>
      </c>
      <c r="BH56" s="63">
        <v>0</v>
      </c>
      <c r="BI56" s="63">
        <v>0</v>
      </c>
      <c r="BJ56" s="63">
        <v>0</v>
      </c>
      <c r="BK56" s="63">
        <v>0</v>
      </c>
      <c r="BL56" s="63">
        <v>0</v>
      </c>
      <c r="BM56" s="63">
        <v>0</v>
      </c>
      <c r="BN56" s="63">
        <v>0</v>
      </c>
      <c r="BO56" s="63">
        <v>0</v>
      </c>
      <c r="BP56" s="63">
        <v>0</v>
      </c>
      <c r="BQ56" s="63">
        <v>0</v>
      </c>
      <c r="BR56" s="63">
        <v>0</v>
      </c>
      <c r="BS56" s="63">
        <v>0</v>
      </c>
      <c r="BT56" s="63">
        <v>1</v>
      </c>
      <c r="BU56" s="63">
        <v>0</v>
      </c>
      <c r="BV56" s="63">
        <v>0</v>
      </c>
      <c r="BW56" s="63">
        <v>0</v>
      </c>
      <c r="BX56" s="63">
        <v>0</v>
      </c>
      <c r="BY56" s="63">
        <v>0</v>
      </c>
      <c r="BZ56" s="63">
        <v>0</v>
      </c>
      <c r="CA56" s="63">
        <v>0</v>
      </c>
      <c r="CB56" s="63">
        <v>0</v>
      </c>
      <c r="CC56" s="63">
        <v>0</v>
      </c>
      <c r="CD56" s="63">
        <v>1</v>
      </c>
      <c r="CE56" s="63">
        <v>0</v>
      </c>
      <c r="CF56" s="63">
        <v>0</v>
      </c>
      <c r="CG56" s="63">
        <v>0</v>
      </c>
      <c r="CH56" s="63">
        <v>0</v>
      </c>
      <c r="CI56" s="63">
        <v>0</v>
      </c>
      <c r="CJ56" s="63">
        <v>0</v>
      </c>
      <c r="CK56" s="63">
        <v>0</v>
      </c>
      <c r="CL56" s="63">
        <v>0</v>
      </c>
      <c r="CM56" s="63">
        <v>1</v>
      </c>
      <c r="CN56" s="63">
        <v>0</v>
      </c>
      <c r="CO56" s="63">
        <v>0</v>
      </c>
      <c r="CP56" s="63">
        <v>0</v>
      </c>
      <c r="CQ56" s="63">
        <v>0</v>
      </c>
      <c r="CR56" s="63">
        <v>0</v>
      </c>
      <c r="CS56" s="63">
        <v>0</v>
      </c>
      <c r="CT56" s="61">
        <f t="shared" si="0"/>
        <v>7</v>
      </c>
      <c r="CU56" s="61"/>
    </row>
    <row r="57" spans="1:99" ht="12.75">
      <c r="A57" s="61" t="s">
        <v>343</v>
      </c>
      <c r="B57" s="63">
        <v>0</v>
      </c>
      <c r="C57" s="63">
        <v>0</v>
      </c>
      <c r="D57" s="63">
        <v>0</v>
      </c>
      <c r="E57" s="63">
        <v>0</v>
      </c>
      <c r="F57" s="63">
        <v>0</v>
      </c>
      <c r="G57" s="63">
        <v>0</v>
      </c>
      <c r="H57" s="63">
        <v>0</v>
      </c>
      <c r="I57" s="63">
        <v>0</v>
      </c>
      <c r="J57" s="63">
        <v>0</v>
      </c>
      <c r="K57" s="63">
        <v>0</v>
      </c>
      <c r="L57" s="63">
        <v>0</v>
      </c>
      <c r="M57" s="63">
        <v>0</v>
      </c>
      <c r="N57" s="63">
        <v>0</v>
      </c>
      <c r="O57" s="63">
        <v>0</v>
      </c>
      <c r="P57" s="63">
        <v>0</v>
      </c>
      <c r="Q57" s="63">
        <v>0</v>
      </c>
      <c r="R57" s="63">
        <v>0</v>
      </c>
      <c r="S57" s="63">
        <v>0</v>
      </c>
      <c r="T57" s="63">
        <v>0</v>
      </c>
      <c r="U57" s="63">
        <v>1</v>
      </c>
      <c r="V57" s="63">
        <v>0</v>
      </c>
      <c r="W57" s="63">
        <v>0</v>
      </c>
      <c r="X57" s="63">
        <v>0</v>
      </c>
      <c r="Y57" s="63">
        <v>0</v>
      </c>
      <c r="Z57" s="63">
        <v>0</v>
      </c>
      <c r="AA57" s="63">
        <v>0</v>
      </c>
      <c r="AB57" s="63">
        <v>0</v>
      </c>
      <c r="AC57" s="63">
        <v>0</v>
      </c>
      <c r="AD57" s="63">
        <v>0</v>
      </c>
      <c r="AE57" s="63">
        <v>0</v>
      </c>
      <c r="AF57" s="63">
        <v>0</v>
      </c>
      <c r="AG57" s="63">
        <v>0</v>
      </c>
      <c r="AH57" s="63">
        <v>0</v>
      </c>
      <c r="AI57" s="63">
        <v>0</v>
      </c>
      <c r="AJ57" s="63">
        <v>0</v>
      </c>
      <c r="AK57" s="63">
        <v>0</v>
      </c>
      <c r="AL57" s="63">
        <v>0</v>
      </c>
      <c r="AM57" s="63">
        <v>0</v>
      </c>
      <c r="AN57" s="63">
        <v>0</v>
      </c>
      <c r="AO57" s="63">
        <v>1</v>
      </c>
      <c r="AP57" s="63">
        <v>0</v>
      </c>
      <c r="AQ57" s="63">
        <v>0</v>
      </c>
      <c r="AR57" s="63">
        <v>0</v>
      </c>
      <c r="AS57" s="63">
        <v>0</v>
      </c>
      <c r="AT57" s="63">
        <v>0</v>
      </c>
      <c r="AU57" s="63">
        <v>0</v>
      </c>
      <c r="AV57" s="63">
        <v>0</v>
      </c>
      <c r="AW57" s="63">
        <v>0</v>
      </c>
      <c r="AX57" s="63">
        <v>0</v>
      </c>
      <c r="AY57" s="63">
        <v>0</v>
      </c>
      <c r="AZ57" s="63">
        <v>1</v>
      </c>
      <c r="BA57" s="63">
        <v>0</v>
      </c>
      <c r="BB57" s="63">
        <v>0</v>
      </c>
      <c r="BC57" s="63">
        <v>0</v>
      </c>
      <c r="BD57" s="63">
        <v>0</v>
      </c>
      <c r="BE57" s="63">
        <v>1</v>
      </c>
      <c r="BF57" s="63">
        <v>0</v>
      </c>
      <c r="BG57" s="63">
        <v>0</v>
      </c>
      <c r="BH57" s="63">
        <v>0</v>
      </c>
      <c r="BI57" s="63">
        <v>0</v>
      </c>
      <c r="BJ57" s="63">
        <v>0</v>
      </c>
      <c r="BK57" s="63">
        <v>0</v>
      </c>
      <c r="BL57" s="63">
        <v>0</v>
      </c>
      <c r="BM57" s="63">
        <v>0</v>
      </c>
      <c r="BN57" s="63">
        <v>0</v>
      </c>
      <c r="BO57" s="63">
        <v>0</v>
      </c>
      <c r="BP57" s="63">
        <v>0</v>
      </c>
      <c r="BQ57" s="63">
        <v>0</v>
      </c>
      <c r="BR57" s="63">
        <v>0</v>
      </c>
      <c r="BS57" s="63">
        <v>1</v>
      </c>
      <c r="BT57" s="63">
        <v>0</v>
      </c>
      <c r="BU57" s="63">
        <v>0</v>
      </c>
      <c r="BV57" s="63">
        <v>0</v>
      </c>
      <c r="BW57" s="63">
        <v>0</v>
      </c>
      <c r="BX57" s="63">
        <v>1</v>
      </c>
      <c r="BY57" s="63">
        <v>1</v>
      </c>
      <c r="BZ57" s="63">
        <v>0</v>
      </c>
      <c r="CA57" s="63">
        <v>0</v>
      </c>
      <c r="CB57" s="63">
        <v>0</v>
      </c>
      <c r="CC57" s="63">
        <v>0</v>
      </c>
      <c r="CD57" s="63">
        <v>0</v>
      </c>
      <c r="CE57" s="63">
        <v>0</v>
      </c>
      <c r="CF57" s="63">
        <v>0</v>
      </c>
      <c r="CG57" s="63">
        <v>0</v>
      </c>
      <c r="CH57" s="63">
        <v>0</v>
      </c>
      <c r="CI57" s="63">
        <v>0</v>
      </c>
      <c r="CJ57" s="63">
        <v>0</v>
      </c>
      <c r="CK57" s="63">
        <v>1</v>
      </c>
      <c r="CL57" s="63">
        <v>0</v>
      </c>
      <c r="CM57" s="63">
        <v>0</v>
      </c>
      <c r="CN57" s="63">
        <v>1</v>
      </c>
      <c r="CO57" s="63">
        <v>0</v>
      </c>
      <c r="CP57" s="63">
        <v>0</v>
      </c>
      <c r="CQ57" s="63">
        <v>0</v>
      </c>
      <c r="CR57" s="63">
        <v>0</v>
      </c>
      <c r="CS57" s="63">
        <v>0</v>
      </c>
      <c r="CT57" s="61">
        <f t="shared" si="0"/>
        <v>9</v>
      </c>
      <c r="CU57" s="61"/>
    </row>
    <row r="58" spans="1:99" ht="12.75">
      <c r="A58" s="61" t="s">
        <v>332</v>
      </c>
      <c r="B58" s="63">
        <v>0</v>
      </c>
      <c r="C58" s="63">
        <v>0</v>
      </c>
      <c r="D58" s="63">
        <v>0</v>
      </c>
      <c r="E58" s="63">
        <v>0</v>
      </c>
      <c r="F58" s="63">
        <v>0</v>
      </c>
      <c r="G58" s="63">
        <v>0</v>
      </c>
      <c r="H58" s="63">
        <v>0</v>
      </c>
      <c r="I58" s="63">
        <v>0</v>
      </c>
      <c r="J58" s="63">
        <v>0</v>
      </c>
      <c r="K58" s="63">
        <v>0</v>
      </c>
      <c r="L58" s="63">
        <v>0</v>
      </c>
      <c r="M58" s="63">
        <v>0</v>
      </c>
      <c r="N58" s="63">
        <v>0</v>
      </c>
      <c r="O58" s="63">
        <v>0</v>
      </c>
      <c r="P58" s="63">
        <v>0</v>
      </c>
      <c r="Q58" s="63">
        <v>1</v>
      </c>
      <c r="R58" s="63">
        <v>0</v>
      </c>
      <c r="S58" s="63">
        <v>0</v>
      </c>
      <c r="T58" s="63">
        <v>0</v>
      </c>
      <c r="U58" s="63">
        <v>0</v>
      </c>
      <c r="V58" s="63">
        <v>0</v>
      </c>
      <c r="W58" s="63">
        <v>0</v>
      </c>
      <c r="X58" s="63">
        <v>0</v>
      </c>
      <c r="Y58" s="63">
        <v>0</v>
      </c>
      <c r="Z58" s="63">
        <v>0</v>
      </c>
      <c r="AA58" s="63">
        <v>0</v>
      </c>
      <c r="AB58" s="63">
        <v>0</v>
      </c>
      <c r="AC58" s="63">
        <v>0</v>
      </c>
      <c r="AD58" s="63">
        <v>0</v>
      </c>
      <c r="AE58" s="63">
        <v>0</v>
      </c>
      <c r="AF58" s="63">
        <v>0</v>
      </c>
      <c r="AG58" s="63">
        <v>0</v>
      </c>
      <c r="AH58" s="63">
        <v>0</v>
      </c>
      <c r="AI58" s="63">
        <v>0</v>
      </c>
      <c r="AJ58" s="63">
        <v>0</v>
      </c>
      <c r="AK58" s="63">
        <v>0</v>
      </c>
      <c r="AL58" s="63">
        <v>0</v>
      </c>
      <c r="AM58" s="63">
        <v>0</v>
      </c>
      <c r="AN58" s="63">
        <v>0</v>
      </c>
      <c r="AO58" s="63">
        <v>0</v>
      </c>
      <c r="AP58" s="63">
        <v>0</v>
      </c>
      <c r="AQ58" s="63">
        <v>0</v>
      </c>
      <c r="AR58" s="63">
        <v>0</v>
      </c>
      <c r="AS58" s="63">
        <v>0</v>
      </c>
      <c r="AT58" s="63">
        <v>1</v>
      </c>
      <c r="AU58" s="63">
        <v>0</v>
      </c>
      <c r="AV58" s="63">
        <v>0</v>
      </c>
      <c r="AW58" s="63">
        <v>0</v>
      </c>
      <c r="AX58" s="63">
        <v>0</v>
      </c>
      <c r="AY58" s="63">
        <v>0</v>
      </c>
      <c r="AZ58" s="63">
        <v>0</v>
      </c>
      <c r="BA58" s="63">
        <v>0</v>
      </c>
      <c r="BB58" s="63">
        <v>0</v>
      </c>
      <c r="BC58" s="63">
        <v>0</v>
      </c>
      <c r="BD58" s="63">
        <v>0</v>
      </c>
      <c r="BE58" s="63">
        <v>0</v>
      </c>
      <c r="BF58" s="63">
        <v>1</v>
      </c>
      <c r="BG58" s="63">
        <v>0</v>
      </c>
      <c r="BH58" s="63">
        <v>0</v>
      </c>
      <c r="BI58" s="63">
        <v>0</v>
      </c>
      <c r="BJ58" s="63">
        <v>0</v>
      </c>
      <c r="BK58" s="63">
        <v>0</v>
      </c>
      <c r="BL58" s="63">
        <v>0</v>
      </c>
      <c r="BM58" s="63">
        <v>0</v>
      </c>
      <c r="BN58" s="63">
        <v>0</v>
      </c>
      <c r="BO58" s="63">
        <v>0</v>
      </c>
      <c r="BP58" s="63">
        <v>0</v>
      </c>
      <c r="BQ58" s="63">
        <v>0</v>
      </c>
      <c r="BR58" s="63">
        <v>1</v>
      </c>
      <c r="BS58" s="63">
        <v>0</v>
      </c>
      <c r="BT58" s="63">
        <v>0</v>
      </c>
      <c r="BU58" s="63">
        <v>0</v>
      </c>
      <c r="BV58" s="63">
        <v>0</v>
      </c>
      <c r="BW58" s="63">
        <v>0</v>
      </c>
      <c r="BX58" s="63">
        <v>0</v>
      </c>
      <c r="BY58" s="63">
        <v>0</v>
      </c>
      <c r="BZ58" s="63">
        <v>0</v>
      </c>
      <c r="CA58" s="63">
        <v>0</v>
      </c>
      <c r="CB58" s="63">
        <v>0</v>
      </c>
      <c r="CC58" s="63">
        <v>0</v>
      </c>
      <c r="CD58" s="63">
        <v>0</v>
      </c>
      <c r="CE58" s="63">
        <v>0</v>
      </c>
      <c r="CF58" s="63">
        <v>0</v>
      </c>
      <c r="CG58" s="63">
        <v>0</v>
      </c>
      <c r="CH58" s="63">
        <v>0</v>
      </c>
      <c r="CI58" s="63">
        <v>0</v>
      </c>
      <c r="CJ58" s="63">
        <v>0</v>
      </c>
      <c r="CK58" s="63">
        <v>0</v>
      </c>
      <c r="CL58" s="63">
        <v>0</v>
      </c>
      <c r="CM58" s="63">
        <v>0</v>
      </c>
      <c r="CN58" s="63">
        <v>0</v>
      </c>
      <c r="CO58" s="63">
        <v>0</v>
      </c>
      <c r="CP58" s="63">
        <v>0</v>
      </c>
      <c r="CQ58" s="63">
        <v>0</v>
      </c>
      <c r="CR58" s="63">
        <v>0</v>
      </c>
      <c r="CS58" s="63">
        <v>0</v>
      </c>
      <c r="CT58" s="61">
        <f t="shared" si="0"/>
        <v>4</v>
      </c>
      <c r="CU58" s="61"/>
    </row>
    <row r="59" spans="1:99" ht="12.75">
      <c r="A59" s="61" t="s">
        <v>377</v>
      </c>
      <c r="B59" s="63">
        <v>0</v>
      </c>
      <c r="C59" s="63">
        <v>1</v>
      </c>
      <c r="D59" s="63">
        <v>1</v>
      </c>
      <c r="E59" s="63">
        <v>0</v>
      </c>
      <c r="F59" s="63">
        <v>0</v>
      </c>
      <c r="G59" s="63">
        <v>0</v>
      </c>
      <c r="H59" s="63">
        <v>0</v>
      </c>
      <c r="I59" s="63">
        <v>1</v>
      </c>
      <c r="J59" s="63">
        <v>0</v>
      </c>
      <c r="K59" s="63">
        <v>0</v>
      </c>
      <c r="L59" s="63">
        <v>0</v>
      </c>
      <c r="M59" s="63">
        <v>0</v>
      </c>
      <c r="N59" s="63">
        <v>0</v>
      </c>
      <c r="O59" s="63">
        <v>0</v>
      </c>
      <c r="P59" s="63">
        <v>0</v>
      </c>
      <c r="Q59" s="63">
        <v>0</v>
      </c>
      <c r="R59" s="63">
        <v>0</v>
      </c>
      <c r="S59" s="63">
        <v>0</v>
      </c>
      <c r="T59" s="63">
        <v>0</v>
      </c>
      <c r="U59" s="63">
        <v>0</v>
      </c>
      <c r="V59" s="63">
        <v>0</v>
      </c>
      <c r="W59" s="63">
        <v>0</v>
      </c>
      <c r="X59" s="63">
        <v>0</v>
      </c>
      <c r="Y59" s="63">
        <v>0</v>
      </c>
      <c r="Z59" s="63">
        <v>0</v>
      </c>
      <c r="AA59" s="63">
        <v>0</v>
      </c>
      <c r="AB59" s="63">
        <v>0</v>
      </c>
      <c r="AC59" s="63">
        <v>0</v>
      </c>
      <c r="AD59" s="63">
        <v>0</v>
      </c>
      <c r="AE59" s="63">
        <v>0</v>
      </c>
      <c r="AF59" s="63">
        <v>0</v>
      </c>
      <c r="AG59" s="63">
        <v>0</v>
      </c>
      <c r="AH59" s="63">
        <v>0</v>
      </c>
      <c r="AI59" s="63">
        <v>0</v>
      </c>
      <c r="AJ59" s="63">
        <v>0</v>
      </c>
      <c r="AK59" s="63">
        <v>0</v>
      </c>
      <c r="AL59" s="63">
        <v>0</v>
      </c>
      <c r="AM59" s="63">
        <v>0</v>
      </c>
      <c r="AN59" s="63">
        <v>0</v>
      </c>
      <c r="AO59" s="63">
        <v>0</v>
      </c>
      <c r="AP59" s="63">
        <v>0</v>
      </c>
      <c r="AQ59" s="63">
        <v>0</v>
      </c>
      <c r="AR59" s="63">
        <v>0</v>
      </c>
      <c r="AS59" s="63">
        <v>0</v>
      </c>
      <c r="AT59" s="63">
        <v>0</v>
      </c>
      <c r="AU59" s="63">
        <v>0</v>
      </c>
      <c r="AV59" s="63">
        <v>0</v>
      </c>
      <c r="AW59" s="63">
        <v>0</v>
      </c>
      <c r="AX59" s="63">
        <v>1</v>
      </c>
      <c r="AY59" s="63">
        <v>1</v>
      </c>
      <c r="AZ59" s="63">
        <v>0</v>
      </c>
      <c r="BA59" s="63">
        <v>0</v>
      </c>
      <c r="BB59" s="63">
        <v>1</v>
      </c>
      <c r="BC59" s="63">
        <v>0</v>
      </c>
      <c r="BD59" s="63">
        <v>0</v>
      </c>
      <c r="BE59" s="63">
        <v>0</v>
      </c>
      <c r="BF59" s="63">
        <v>0</v>
      </c>
      <c r="BG59" s="63">
        <v>1</v>
      </c>
      <c r="BH59" s="63">
        <v>0</v>
      </c>
      <c r="BI59" s="63">
        <v>0</v>
      </c>
      <c r="BJ59" s="63">
        <v>0</v>
      </c>
      <c r="BK59" s="63">
        <v>0</v>
      </c>
      <c r="BL59" s="63">
        <v>0</v>
      </c>
      <c r="BM59" s="63">
        <v>0</v>
      </c>
      <c r="BN59" s="63">
        <v>0</v>
      </c>
      <c r="BO59" s="63">
        <v>0</v>
      </c>
      <c r="BP59" s="63">
        <v>1</v>
      </c>
      <c r="BQ59" s="63">
        <v>0</v>
      </c>
      <c r="BR59" s="63">
        <v>0</v>
      </c>
      <c r="BS59" s="63">
        <v>0</v>
      </c>
      <c r="BT59" s="63">
        <v>0</v>
      </c>
      <c r="BU59" s="63">
        <v>0</v>
      </c>
      <c r="BV59" s="63">
        <v>0</v>
      </c>
      <c r="BW59" s="63">
        <v>0</v>
      </c>
      <c r="BX59" s="63">
        <v>0</v>
      </c>
      <c r="BY59" s="63">
        <v>0</v>
      </c>
      <c r="BZ59" s="63">
        <v>0</v>
      </c>
      <c r="CA59" s="63">
        <v>0</v>
      </c>
      <c r="CB59" s="63">
        <v>0</v>
      </c>
      <c r="CC59" s="63">
        <v>0</v>
      </c>
      <c r="CD59" s="63">
        <v>0</v>
      </c>
      <c r="CE59" s="63">
        <v>0</v>
      </c>
      <c r="CF59" s="63">
        <v>0</v>
      </c>
      <c r="CG59" s="63">
        <v>0</v>
      </c>
      <c r="CH59" s="63">
        <v>0</v>
      </c>
      <c r="CI59" s="63">
        <v>0</v>
      </c>
      <c r="CJ59" s="63">
        <v>0</v>
      </c>
      <c r="CK59" s="63">
        <v>0</v>
      </c>
      <c r="CL59" s="63">
        <v>0</v>
      </c>
      <c r="CM59" s="63">
        <v>0</v>
      </c>
      <c r="CN59" s="63">
        <v>0</v>
      </c>
      <c r="CO59" s="63">
        <v>0</v>
      </c>
      <c r="CP59" s="63">
        <v>0</v>
      </c>
      <c r="CQ59" s="63">
        <v>0</v>
      </c>
      <c r="CR59" s="63">
        <v>0</v>
      </c>
      <c r="CS59" s="63">
        <v>0</v>
      </c>
      <c r="CT59" s="61">
        <f t="shared" si="0"/>
        <v>8</v>
      </c>
      <c r="CU59" s="61"/>
    </row>
    <row r="60" spans="1:99" ht="12.75">
      <c r="A60" s="61" t="s">
        <v>327</v>
      </c>
      <c r="B60" s="63">
        <v>0</v>
      </c>
      <c r="C60" s="63">
        <v>0</v>
      </c>
      <c r="D60" s="63">
        <v>0</v>
      </c>
      <c r="E60" s="63">
        <v>0</v>
      </c>
      <c r="F60" s="63">
        <v>0</v>
      </c>
      <c r="G60" s="63">
        <v>0</v>
      </c>
      <c r="H60" s="63">
        <v>0</v>
      </c>
      <c r="I60" s="63">
        <v>0</v>
      </c>
      <c r="J60" s="63">
        <v>0</v>
      </c>
      <c r="K60" s="63">
        <v>0</v>
      </c>
      <c r="L60" s="63">
        <v>0</v>
      </c>
      <c r="M60" s="63">
        <v>0</v>
      </c>
      <c r="N60" s="63">
        <v>0</v>
      </c>
      <c r="O60" s="63">
        <v>0</v>
      </c>
      <c r="P60" s="63">
        <v>0</v>
      </c>
      <c r="Q60" s="63">
        <v>0</v>
      </c>
      <c r="R60" s="63">
        <v>0</v>
      </c>
      <c r="S60" s="63">
        <v>0</v>
      </c>
      <c r="T60" s="63">
        <v>0</v>
      </c>
      <c r="U60" s="63">
        <v>0</v>
      </c>
      <c r="V60" s="63">
        <v>0</v>
      </c>
      <c r="W60" s="63">
        <v>0</v>
      </c>
      <c r="X60" s="63">
        <v>0</v>
      </c>
      <c r="Y60" s="63">
        <v>0</v>
      </c>
      <c r="Z60" s="63">
        <v>0</v>
      </c>
      <c r="AA60" s="63">
        <v>0</v>
      </c>
      <c r="AB60" s="63">
        <v>0</v>
      </c>
      <c r="AC60" s="63">
        <v>0</v>
      </c>
      <c r="AD60" s="63">
        <v>0</v>
      </c>
      <c r="AE60" s="63">
        <v>0</v>
      </c>
      <c r="AF60" s="63">
        <v>0</v>
      </c>
      <c r="AG60" s="63">
        <v>0</v>
      </c>
      <c r="AH60" s="63">
        <v>0</v>
      </c>
      <c r="AI60" s="63">
        <v>0</v>
      </c>
      <c r="AJ60" s="63">
        <v>0</v>
      </c>
      <c r="AK60" s="63">
        <v>0</v>
      </c>
      <c r="AL60" s="63">
        <v>0</v>
      </c>
      <c r="AM60" s="63">
        <v>0</v>
      </c>
      <c r="AN60" s="63">
        <v>0</v>
      </c>
      <c r="AO60" s="63">
        <v>0</v>
      </c>
      <c r="AP60" s="63">
        <v>1</v>
      </c>
      <c r="AQ60" s="63">
        <v>0</v>
      </c>
      <c r="AR60" s="63">
        <v>0</v>
      </c>
      <c r="AS60" s="63">
        <v>0</v>
      </c>
      <c r="AT60" s="63">
        <v>0</v>
      </c>
      <c r="AU60" s="63">
        <v>0</v>
      </c>
      <c r="AV60" s="63">
        <v>0</v>
      </c>
      <c r="AW60" s="63">
        <v>0</v>
      </c>
      <c r="AX60" s="63">
        <v>0</v>
      </c>
      <c r="AY60" s="63">
        <v>0</v>
      </c>
      <c r="AZ60" s="63">
        <v>1</v>
      </c>
      <c r="BA60" s="63">
        <v>0</v>
      </c>
      <c r="BB60" s="63">
        <v>0</v>
      </c>
      <c r="BC60" s="63">
        <v>0</v>
      </c>
      <c r="BD60" s="63">
        <v>0</v>
      </c>
      <c r="BE60" s="63">
        <v>0</v>
      </c>
      <c r="BF60" s="63">
        <v>0</v>
      </c>
      <c r="BG60" s="63">
        <v>0</v>
      </c>
      <c r="BH60" s="63">
        <v>1</v>
      </c>
      <c r="BI60" s="63">
        <v>0</v>
      </c>
      <c r="BJ60" s="63">
        <v>0</v>
      </c>
      <c r="BK60" s="63">
        <v>0</v>
      </c>
      <c r="BL60" s="63">
        <v>0</v>
      </c>
      <c r="BM60" s="63">
        <v>1</v>
      </c>
      <c r="BN60" s="63">
        <v>0</v>
      </c>
      <c r="BO60" s="63">
        <v>0</v>
      </c>
      <c r="BP60" s="63">
        <v>0</v>
      </c>
      <c r="BQ60" s="63">
        <v>0</v>
      </c>
      <c r="BR60" s="63">
        <v>0</v>
      </c>
      <c r="BS60" s="63">
        <v>0</v>
      </c>
      <c r="BT60" s="63">
        <v>0</v>
      </c>
      <c r="BU60" s="63">
        <v>0</v>
      </c>
      <c r="BV60" s="63">
        <v>0</v>
      </c>
      <c r="BW60" s="63">
        <v>1</v>
      </c>
      <c r="BX60" s="63">
        <v>1</v>
      </c>
      <c r="BY60" s="63">
        <v>0</v>
      </c>
      <c r="BZ60" s="63">
        <v>0</v>
      </c>
      <c r="CA60" s="63">
        <v>0</v>
      </c>
      <c r="CB60" s="63">
        <v>0</v>
      </c>
      <c r="CC60" s="63">
        <v>0</v>
      </c>
      <c r="CD60" s="63">
        <v>0</v>
      </c>
      <c r="CE60" s="63">
        <v>0</v>
      </c>
      <c r="CF60" s="63">
        <v>0</v>
      </c>
      <c r="CG60" s="63">
        <v>0</v>
      </c>
      <c r="CH60" s="63">
        <v>0</v>
      </c>
      <c r="CI60" s="63">
        <v>0</v>
      </c>
      <c r="CJ60" s="63">
        <v>0</v>
      </c>
      <c r="CK60" s="63">
        <v>1</v>
      </c>
      <c r="CL60" s="63">
        <v>0</v>
      </c>
      <c r="CM60" s="63">
        <v>0</v>
      </c>
      <c r="CN60" s="63">
        <v>0</v>
      </c>
      <c r="CO60" s="63">
        <v>1</v>
      </c>
      <c r="CP60" s="63">
        <v>1</v>
      </c>
      <c r="CQ60" s="63">
        <v>1</v>
      </c>
      <c r="CR60" s="63">
        <v>0</v>
      </c>
      <c r="CS60" s="63">
        <v>0</v>
      </c>
      <c r="CT60" s="61">
        <f t="shared" si="0"/>
        <v>10</v>
      </c>
      <c r="CU60" s="61"/>
    </row>
    <row r="61" spans="1:99" ht="12.75">
      <c r="A61" s="61" t="s">
        <v>381</v>
      </c>
      <c r="B61" s="63">
        <v>0</v>
      </c>
      <c r="C61" s="63">
        <v>0</v>
      </c>
      <c r="D61" s="63">
        <v>0</v>
      </c>
      <c r="E61" s="63">
        <v>0</v>
      </c>
      <c r="F61" s="63">
        <v>0</v>
      </c>
      <c r="G61" s="63">
        <v>0</v>
      </c>
      <c r="H61" s="63">
        <v>0</v>
      </c>
      <c r="I61" s="63">
        <v>0</v>
      </c>
      <c r="J61" s="63">
        <v>0</v>
      </c>
      <c r="K61" s="63">
        <v>0</v>
      </c>
      <c r="L61" s="63">
        <v>0</v>
      </c>
      <c r="M61" s="63">
        <v>0</v>
      </c>
      <c r="N61" s="63">
        <v>0</v>
      </c>
      <c r="O61" s="63">
        <v>1</v>
      </c>
      <c r="P61" s="63">
        <v>0</v>
      </c>
      <c r="Q61" s="63">
        <v>0</v>
      </c>
      <c r="R61" s="63">
        <v>0</v>
      </c>
      <c r="S61" s="63">
        <v>0</v>
      </c>
      <c r="T61" s="63">
        <v>0</v>
      </c>
      <c r="U61" s="63">
        <v>0</v>
      </c>
      <c r="V61" s="63">
        <v>0</v>
      </c>
      <c r="W61" s="63">
        <v>0</v>
      </c>
      <c r="X61" s="63">
        <v>0</v>
      </c>
      <c r="Y61" s="63">
        <v>0</v>
      </c>
      <c r="Z61" s="63">
        <v>0</v>
      </c>
      <c r="AA61" s="63">
        <v>0</v>
      </c>
      <c r="AB61" s="63">
        <v>0</v>
      </c>
      <c r="AC61" s="63">
        <v>0</v>
      </c>
      <c r="AD61" s="63">
        <v>0</v>
      </c>
      <c r="AE61" s="63">
        <v>0</v>
      </c>
      <c r="AF61" s="63">
        <v>0</v>
      </c>
      <c r="AG61" s="63">
        <v>0</v>
      </c>
      <c r="AH61" s="63">
        <v>0</v>
      </c>
      <c r="AI61" s="63">
        <v>0</v>
      </c>
      <c r="AJ61" s="63">
        <v>0</v>
      </c>
      <c r="AK61" s="63">
        <v>0</v>
      </c>
      <c r="AL61" s="63">
        <v>0</v>
      </c>
      <c r="AM61" s="63">
        <v>0</v>
      </c>
      <c r="AN61" s="63">
        <v>0</v>
      </c>
      <c r="AO61" s="63">
        <v>0</v>
      </c>
      <c r="AP61" s="63">
        <v>0</v>
      </c>
      <c r="AQ61" s="63">
        <v>0</v>
      </c>
      <c r="AR61" s="63">
        <v>0</v>
      </c>
      <c r="AS61" s="63">
        <v>0</v>
      </c>
      <c r="AT61" s="63">
        <v>0</v>
      </c>
      <c r="AU61" s="63">
        <v>0</v>
      </c>
      <c r="AV61" s="63">
        <v>1</v>
      </c>
      <c r="AW61" s="63">
        <v>0</v>
      </c>
      <c r="AX61" s="63">
        <v>0</v>
      </c>
      <c r="AY61" s="63">
        <v>0</v>
      </c>
      <c r="AZ61" s="63">
        <v>0</v>
      </c>
      <c r="BA61" s="63">
        <v>0</v>
      </c>
      <c r="BB61" s="63">
        <v>0</v>
      </c>
      <c r="BC61" s="63">
        <v>0</v>
      </c>
      <c r="BD61" s="63">
        <v>0</v>
      </c>
      <c r="BE61" s="63">
        <v>0</v>
      </c>
      <c r="BF61" s="63">
        <v>0</v>
      </c>
      <c r="BG61" s="63">
        <v>0</v>
      </c>
      <c r="BH61" s="63">
        <v>0</v>
      </c>
      <c r="BI61" s="63">
        <v>1</v>
      </c>
      <c r="BJ61" s="63">
        <v>0</v>
      </c>
      <c r="BK61" s="63">
        <v>0</v>
      </c>
      <c r="BL61" s="63">
        <v>0</v>
      </c>
      <c r="BM61" s="63">
        <v>0</v>
      </c>
      <c r="BN61" s="63">
        <v>0</v>
      </c>
      <c r="BO61" s="63">
        <v>0</v>
      </c>
      <c r="BP61" s="63">
        <v>0</v>
      </c>
      <c r="BQ61" s="63">
        <v>0</v>
      </c>
      <c r="BR61" s="63">
        <v>0</v>
      </c>
      <c r="BS61" s="63">
        <v>0</v>
      </c>
      <c r="BT61" s="63">
        <v>0</v>
      </c>
      <c r="BU61" s="63">
        <v>0</v>
      </c>
      <c r="BV61" s="63">
        <v>0</v>
      </c>
      <c r="BW61" s="63">
        <v>0</v>
      </c>
      <c r="BX61" s="63">
        <v>0</v>
      </c>
      <c r="BY61" s="63">
        <v>0</v>
      </c>
      <c r="BZ61" s="63">
        <v>0</v>
      </c>
      <c r="CA61" s="63">
        <v>0</v>
      </c>
      <c r="CB61" s="63">
        <v>0</v>
      </c>
      <c r="CC61" s="63">
        <v>1</v>
      </c>
      <c r="CD61" s="63">
        <v>1</v>
      </c>
      <c r="CE61" s="63">
        <v>0</v>
      </c>
      <c r="CF61" s="63">
        <v>0</v>
      </c>
      <c r="CG61" s="63">
        <v>0</v>
      </c>
      <c r="CH61" s="63">
        <v>0</v>
      </c>
      <c r="CI61" s="63">
        <v>0</v>
      </c>
      <c r="CJ61" s="63">
        <v>0</v>
      </c>
      <c r="CK61" s="63">
        <v>0</v>
      </c>
      <c r="CL61" s="63">
        <v>0</v>
      </c>
      <c r="CM61" s="63">
        <v>0</v>
      </c>
      <c r="CN61" s="63">
        <v>0</v>
      </c>
      <c r="CO61" s="63">
        <v>0</v>
      </c>
      <c r="CP61" s="63">
        <v>0</v>
      </c>
      <c r="CQ61" s="63">
        <v>0</v>
      </c>
      <c r="CR61" s="63">
        <v>0</v>
      </c>
      <c r="CS61" s="63">
        <v>0</v>
      </c>
      <c r="CT61" s="61">
        <f t="shared" si="0"/>
        <v>5</v>
      </c>
      <c r="CU61" s="61"/>
    </row>
    <row r="62" spans="1:99" ht="12.75">
      <c r="A62" s="61" t="s">
        <v>314</v>
      </c>
      <c r="B62" s="63">
        <v>0</v>
      </c>
      <c r="C62" s="63">
        <v>0</v>
      </c>
      <c r="D62" s="63">
        <v>0</v>
      </c>
      <c r="E62" s="63">
        <v>0</v>
      </c>
      <c r="F62" s="63">
        <v>0</v>
      </c>
      <c r="G62" s="63">
        <v>0</v>
      </c>
      <c r="H62" s="63">
        <v>0</v>
      </c>
      <c r="I62" s="63">
        <v>0</v>
      </c>
      <c r="J62" s="63">
        <v>0</v>
      </c>
      <c r="K62" s="63">
        <v>0</v>
      </c>
      <c r="L62" s="63">
        <v>0</v>
      </c>
      <c r="M62" s="63">
        <v>1</v>
      </c>
      <c r="N62" s="63">
        <v>0</v>
      </c>
      <c r="O62" s="63">
        <v>0</v>
      </c>
      <c r="P62" s="63">
        <v>0</v>
      </c>
      <c r="Q62" s="63">
        <v>0</v>
      </c>
      <c r="R62" s="63">
        <v>0</v>
      </c>
      <c r="S62" s="63">
        <v>0</v>
      </c>
      <c r="T62" s="63">
        <v>0</v>
      </c>
      <c r="U62" s="63">
        <v>0</v>
      </c>
      <c r="V62" s="63">
        <v>0</v>
      </c>
      <c r="W62" s="63">
        <v>0</v>
      </c>
      <c r="X62" s="63">
        <v>0</v>
      </c>
      <c r="Y62" s="63">
        <v>0</v>
      </c>
      <c r="Z62" s="63">
        <v>0</v>
      </c>
      <c r="AA62" s="63">
        <v>0</v>
      </c>
      <c r="AB62" s="63">
        <v>0</v>
      </c>
      <c r="AC62" s="63">
        <v>0</v>
      </c>
      <c r="AD62" s="63">
        <v>0</v>
      </c>
      <c r="AE62" s="63">
        <v>0</v>
      </c>
      <c r="AF62" s="63">
        <v>0</v>
      </c>
      <c r="AG62" s="63">
        <v>0</v>
      </c>
      <c r="AH62" s="63">
        <v>0</v>
      </c>
      <c r="AI62" s="63">
        <v>0</v>
      </c>
      <c r="AJ62" s="63">
        <v>0</v>
      </c>
      <c r="AK62" s="63">
        <v>0</v>
      </c>
      <c r="AL62" s="63">
        <v>0</v>
      </c>
      <c r="AM62" s="63">
        <v>0</v>
      </c>
      <c r="AN62" s="63">
        <v>0</v>
      </c>
      <c r="AO62" s="63">
        <v>0</v>
      </c>
      <c r="AP62" s="63">
        <v>0</v>
      </c>
      <c r="AQ62" s="63">
        <v>0</v>
      </c>
      <c r="AR62" s="63">
        <v>0</v>
      </c>
      <c r="AS62" s="63">
        <v>0</v>
      </c>
      <c r="AT62" s="63">
        <v>0</v>
      </c>
      <c r="AU62" s="63">
        <v>0</v>
      </c>
      <c r="AV62" s="63">
        <v>0</v>
      </c>
      <c r="AW62" s="63">
        <v>0</v>
      </c>
      <c r="AX62" s="63">
        <v>0</v>
      </c>
      <c r="AY62" s="63">
        <v>0</v>
      </c>
      <c r="AZ62" s="63">
        <v>0</v>
      </c>
      <c r="BA62" s="63">
        <v>0</v>
      </c>
      <c r="BB62" s="63">
        <v>0</v>
      </c>
      <c r="BC62" s="63">
        <v>0</v>
      </c>
      <c r="BD62" s="63">
        <v>0</v>
      </c>
      <c r="BE62" s="63">
        <v>0</v>
      </c>
      <c r="BF62" s="63">
        <v>0</v>
      </c>
      <c r="BG62" s="63">
        <v>0</v>
      </c>
      <c r="BH62" s="63">
        <v>0</v>
      </c>
      <c r="BI62" s="63">
        <v>0</v>
      </c>
      <c r="BJ62" s="63">
        <v>1</v>
      </c>
      <c r="BK62" s="63">
        <v>0</v>
      </c>
      <c r="BL62" s="63">
        <v>0</v>
      </c>
      <c r="BM62" s="63">
        <v>0</v>
      </c>
      <c r="BN62" s="63">
        <v>0</v>
      </c>
      <c r="BO62" s="63">
        <v>0</v>
      </c>
      <c r="BP62" s="63">
        <v>0</v>
      </c>
      <c r="BQ62" s="63">
        <v>0</v>
      </c>
      <c r="BR62" s="63">
        <v>0</v>
      </c>
      <c r="BS62" s="63">
        <v>0</v>
      </c>
      <c r="BT62" s="63">
        <v>0</v>
      </c>
      <c r="BU62" s="63">
        <v>0</v>
      </c>
      <c r="BV62" s="63">
        <v>0</v>
      </c>
      <c r="BW62" s="63">
        <v>0</v>
      </c>
      <c r="BX62" s="63">
        <v>0</v>
      </c>
      <c r="BY62" s="63">
        <v>0</v>
      </c>
      <c r="BZ62" s="63">
        <v>1</v>
      </c>
      <c r="CA62" s="63">
        <v>1</v>
      </c>
      <c r="CB62" s="63">
        <v>0</v>
      </c>
      <c r="CC62" s="63">
        <v>0</v>
      </c>
      <c r="CD62" s="63">
        <v>0</v>
      </c>
      <c r="CE62" s="63">
        <v>0</v>
      </c>
      <c r="CF62" s="63">
        <v>0</v>
      </c>
      <c r="CG62" s="63">
        <v>0</v>
      </c>
      <c r="CH62" s="63">
        <v>0</v>
      </c>
      <c r="CI62" s="63">
        <v>0</v>
      </c>
      <c r="CJ62" s="63">
        <v>0</v>
      </c>
      <c r="CK62" s="63">
        <v>0</v>
      </c>
      <c r="CL62" s="63">
        <v>0</v>
      </c>
      <c r="CM62" s="63">
        <v>0</v>
      </c>
      <c r="CN62" s="63">
        <v>0</v>
      </c>
      <c r="CO62" s="63">
        <v>0</v>
      </c>
      <c r="CP62" s="63">
        <v>0</v>
      </c>
      <c r="CQ62" s="63">
        <v>0</v>
      </c>
      <c r="CR62" s="63">
        <v>0</v>
      </c>
      <c r="CS62" s="63">
        <v>0</v>
      </c>
      <c r="CT62" s="61">
        <f t="shared" si="0"/>
        <v>4</v>
      </c>
      <c r="CU62" s="61"/>
    </row>
    <row r="63" spans="1:99" ht="12.75">
      <c r="A63" s="61" t="s">
        <v>374</v>
      </c>
      <c r="B63" s="63">
        <v>0</v>
      </c>
      <c r="C63" s="63">
        <v>0</v>
      </c>
      <c r="D63" s="63">
        <v>0</v>
      </c>
      <c r="E63" s="63">
        <v>0</v>
      </c>
      <c r="F63" s="63">
        <v>0</v>
      </c>
      <c r="G63" s="63">
        <v>0</v>
      </c>
      <c r="H63" s="63">
        <v>0</v>
      </c>
      <c r="I63" s="63">
        <v>0</v>
      </c>
      <c r="J63" s="63">
        <v>0</v>
      </c>
      <c r="K63" s="63">
        <v>0</v>
      </c>
      <c r="L63" s="63">
        <v>0</v>
      </c>
      <c r="M63" s="63">
        <v>0</v>
      </c>
      <c r="N63" s="63">
        <v>0</v>
      </c>
      <c r="O63" s="63">
        <v>0</v>
      </c>
      <c r="P63" s="63">
        <v>0</v>
      </c>
      <c r="Q63" s="63">
        <v>0</v>
      </c>
      <c r="R63" s="63">
        <v>0</v>
      </c>
      <c r="S63" s="63">
        <v>0</v>
      </c>
      <c r="T63" s="63">
        <v>0</v>
      </c>
      <c r="U63" s="63">
        <v>0</v>
      </c>
      <c r="V63" s="63">
        <v>0</v>
      </c>
      <c r="W63" s="63">
        <v>0</v>
      </c>
      <c r="X63" s="63">
        <v>0</v>
      </c>
      <c r="Y63" s="63">
        <v>0</v>
      </c>
      <c r="Z63" s="63">
        <v>0</v>
      </c>
      <c r="AA63" s="63">
        <v>0</v>
      </c>
      <c r="AB63" s="63">
        <v>0</v>
      </c>
      <c r="AC63" s="63">
        <v>0</v>
      </c>
      <c r="AD63" s="63">
        <v>0</v>
      </c>
      <c r="AE63" s="63">
        <v>0</v>
      </c>
      <c r="AF63" s="63">
        <v>1</v>
      </c>
      <c r="AG63" s="63">
        <v>1</v>
      </c>
      <c r="AH63" s="63">
        <v>0</v>
      </c>
      <c r="AI63" s="63">
        <v>1</v>
      </c>
      <c r="AJ63" s="63">
        <v>0</v>
      </c>
      <c r="AK63" s="63">
        <v>0</v>
      </c>
      <c r="AL63" s="63">
        <v>0</v>
      </c>
      <c r="AM63" s="63">
        <v>1</v>
      </c>
      <c r="AN63" s="63">
        <v>0</v>
      </c>
      <c r="AO63" s="63">
        <v>0</v>
      </c>
      <c r="AP63" s="63">
        <v>0</v>
      </c>
      <c r="AQ63" s="63">
        <v>0</v>
      </c>
      <c r="AR63" s="63">
        <v>0</v>
      </c>
      <c r="AS63" s="63">
        <v>0</v>
      </c>
      <c r="AT63" s="63">
        <v>0</v>
      </c>
      <c r="AU63" s="63">
        <v>0</v>
      </c>
      <c r="AV63" s="63">
        <v>0</v>
      </c>
      <c r="AW63" s="63">
        <v>0</v>
      </c>
      <c r="AX63" s="63">
        <v>0</v>
      </c>
      <c r="AY63" s="63">
        <v>0</v>
      </c>
      <c r="AZ63" s="63">
        <v>0</v>
      </c>
      <c r="BA63" s="63">
        <v>1</v>
      </c>
      <c r="BB63" s="63">
        <v>0</v>
      </c>
      <c r="BC63" s="63">
        <v>0</v>
      </c>
      <c r="BD63" s="63">
        <v>0</v>
      </c>
      <c r="BE63" s="63">
        <v>0</v>
      </c>
      <c r="BF63" s="63">
        <v>0</v>
      </c>
      <c r="BG63" s="63">
        <v>0</v>
      </c>
      <c r="BH63" s="63">
        <v>0</v>
      </c>
      <c r="BI63" s="63">
        <v>0</v>
      </c>
      <c r="BJ63" s="63">
        <v>0</v>
      </c>
      <c r="BK63" s="63">
        <v>1</v>
      </c>
      <c r="BL63" s="63">
        <v>0</v>
      </c>
      <c r="BM63" s="63">
        <v>0</v>
      </c>
      <c r="BN63" s="63">
        <v>0</v>
      </c>
      <c r="BO63" s="63">
        <v>0</v>
      </c>
      <c r="BP63" s="63">
        <v>0</v>
      </c>
      <c r="BQ63" s="63">
        <v>0</v>
      </c>
      <c r="BR63" s="63">
        <v>0</v>
      </c>
      <c r="BS63" s="63">
        <v>0</v>
      </c>
      <c r="BT63" s="63">
        <v>0</v>
      </c>
      <c r="BU63" s="63">
        <v>0</v>
      </c>
      <c r="BV63" s="63">
        <v>0</v>
      </c>
      <c r="BW63" s="63">
        <v>0</v>
      </c>
      <c r="BX63" s="63">
        <v>0</v>
      </c>
      <c r="BY63" s="63">
        <v>1</v>
      </c>
      <c r="BZ63" s="63">
        <v>0</v>
      </c>
      <c r="CA63" s="63">
        <v>1</v>
      </c>
      <c r="CB63" s="63">
        <v>0</v>
      </c>
      <c r="CC63" s="63">
        <v>0</v>
      </c>
      <c r="CD63" s="63">
        <v>0</v>
      </c>
      <c r="CE63" s="63">
        <v>0</v>
      </c>
      <c r="CF63" s="63">
        <v>0</v>
      </c>
      <c r="CG63" s="63">
        <v>0</v>
      </c>
      <c r="CH63" s="63">
        <v>0</v>
      </c>
      <c r="CI63" s="63">
        <v>0</v>
      </c>
      <c r="CJ63" s="63">
        <v>0</v>
      </c>
      <c r="CK63" s="63">
        <v>0</v>
      </c>
      <c r="CL63" s="63">
        <v>0</v>
      </c>
      <c r="CM63" s="63">
        <v>0</v>
      </c>
      <c r="CN63" s="63">
        <v>0</v>
      </c>
      <c r="CO63" s="63">
        <v>0</v>
      </c>
      <c r="CP63" s="63">
        <v>0</v>
      </c>
      <c r="CQ63" s="63">
        <v>0</v>
      </c>
      <c r="CR63" s="63">
        <v>0</v>
      </c>
      <c r="CS63" s="63">
        <v>0</v>
      </c>
      <c r="CT63" s="61">
        <f t="shared" si="0"/>
        <v>8</v>
      </c>
      <c r="CU63" s="61"/>
    </row>
    <row r="64" spans="1:99" ht="12.75">
      <c r="A64" s="61" t="s">
        <v>352</v>
      </c>
      <c r="B64" s="63">
        <v>0</v>
      </c>
      <c r="C64" s="63">
        <v>0</v>
      </c>
      <c r="D64" s="63">
        <v>0</v>
      </c>
      <c r="E64" s="63">
        <v>0</v>
      </c>
      <c r="F64" s="63">
        <v>0</v>
      </c>
      <c r="G64" s="63">
        <v>0</v>
      </c>
      <c r="H64" s="63">
        <v>0</v>
      </c>
      <c r="I64" s="63">
        <v>0</v>
      </c>
      <c r="J64" s="63">
        <v>0</v>
      </c>
      <c r="K64" s="63">
        <v>0</v>
      </c>
      <c r="L64" s="63">
        <v>1</v>
      </c>
      <c r="M64" s="63">
        <v>0</v>
      </c>
      <c r="N64" s="63">
        <v>0</v>
      </c>
      <c r="O64" s="63">
        <v>0</v>
      </c>
      <c r="P64" s="63">
        <v>0</v>
      </c>
      <c r="Q64" s="63">
        <v>0</v>
      </c>
      <c r="R64" s="63">
        <v>0</v>
      </c>
      <c r="S64" s="63">
        <v>0</v>
      </c>
      <c r="T64" s="63">
        <v>0</v>
      </c>
      <c r="U64" s="63">
        <v>0</v>
      </c>
      <c r="V64" s="63">
        <v>0</v>
      </c>
      <c r="W64" s="63">
        <v>1</v>
      </c>
      <c r="X64" s="63">
        <v>0</v>
      </c>
      <c r="Y64" s="63">
        <v>0</v>
      </c>
      <c r="Z64" s="63">
        <v>0</v>
      </c>
      <c r="AA64" s="63">
        <v>0</v>
      </c>
      <c r="AB64" s="63">
        <v>0</v>
      </c>
      <c r="AC64" s="63">
        <v>0</v>
      </c>
      <c r="AD64" s="63">
        <v>0</v>
      </c>
      <c r="AE64" s="63">
        <v>0</v>
      </c>
      <c r="AF64" s="63">
        <v>0</v>
      </c>
      <c r="AG64" s="63">
        <v>0</v>
      </c>
      <c r="AH64" s="63">
        <v>0</v>
      </c>
      <c r="AI64" s="63">
        <v>0</v>
      </c>
      <c r="AJ64" s="63">
        <v>0</v>
      </c>
      <c r="AK64" s="63">
        <v>0</v>
      </c>
      <c r="AL64" s="63">
        <v>0</v>
      </c>
      <c r="AM64" s="63">
        <v>0</v>
      </c>
      <c r="AN64" s="63">
        <v>0</v>
      </c>
      <c r="AO64" s="63">
        <v>0</v>
      </c>
      <c r="AP64" s="63">
        <v>0</v>
      </c>
      <c r="AQ64" s="63">
        <v>0</v>
      </c>
      <c r="AR64" s="63">
        <v>0</v>
      </c>
      <c r="AS64" s="63">
        <v>0</v>
      </c>
      <c r="AT64" s="63">
        <v>0</v>
      </c>
      <c r="AU64" s="63">
        <v>0</v>
      </c>
      <c r="AV64" s="63">
        <v>0</v>
      </c>
      <c r="AW64" s="63">
        <v>0</v>
      </c>
      <c r="AX64" s="63">
        <v>1</v>
      </c>
      <c r="AY64" s="63">
        <v>0</v>
      </c>
      <c r="AZ64" s="63">
        <v>0</v>
      </c>
      <c r="BA64" s="63">
        <v>0</v>
      </c>
      <c r="BB64" s="63">
        <v>1</v>
      </c>
      <c r="BC64" s="63">
        <v>1</v>
      </c>
      <c r="BD64" s="63">
        <v>0</v>
      </c>
      <c r="BE64" s="63">
        <v>0</v>
      </c>
      <c r="BF64" s="63">
        <v>0</v>
      </c>
      <c r="BG64" s="63">
        <v>0</v>
      </c>
      <c r="BH64" s="63">
        <v>0</v>
      </c>
      <c r="BI64" s="63">
        <v>0</v>
      </c>
      <c r="BJ64" s="63">
        <v>0</v>
      </c>
      <c r="BK64" s="63">
        <v>0</v>
      </c>
      <c r="BL64" s="63">
        <v>1</v>
      </c>
      <c r="BM64" s="63">
        <v>0</v>
      </c>
      <c r="BN64" s="63">
        <v>0</v>
      </c>
      <c r="BO64" s="63">
        <v>0</v>
      </c>
      <c r="BP64" s="63">
        <v>0</v>
      </c>
      <c r="BQ64" s="63">
        <v>0</v>
      </c>
      <c r="BR64" s="63">
        <v>0</v>
      </c>
      <c r="BS64" s="63">
        <v>0</v>
      </c>
      <c r="BT64" s="63">
        <v>0</v>
      </c>
      <c r="BU64" s="63">
        <v>0</v>
      </c>
      <c r="BV64" s="63">
        <v>0</v>
      </c>
      <c r="BW64" s="63">
        <v>0</v>
      </c>
      <c r="BX64" s="63">
        <v>1</v>
      </c>
      <c r="BY64" s="63">
        <v>0</v>
      </c>
      <c r="BZ64" s="63">
        <v>0</v>
      </c>
      <c r="CA64" s="63">
        <v>0</v>
      </c>
      <c r="CB64" s="63">
        <v>0</v>
      </c>
      <c r="CC64" s="63">
        <v>0</v>
      </c>
      <c r="CD64" s="63">
        <v>0</v>
      </c>
      <c r="CE64" s="63">
        <v>0</v>
      </c>
      <c r="CF64" s="63">
        <v>0</v>
      </c>
      <c r="CG64" s="63">
        <v>0</v>
      </c>
      <c r="CH64" s="63">
        <v>0</v>
      </c>
      <c r="CI64" s="63">
        <v>0</v>
      </c>
      <c r="CJ64" s="63">
        <v>1</v>
      </c>
      <c r="CK64" s="63">
        <v>0</v>
      </c>
      <c r="CL64" s="63">
        <v>0</v>
      </c>
      <c r="CM64" s="63">
        <v>0</v>
      </c>
      <c r="CN64" s="63">
        <v>0</v>
      </c>
      <c r="CO64" s="63">
        <v>0</v>
      </c>
      <c r="CP64" s="63">
        <v>0</v>
      </c>
      <c r="CQ64" s="63">
        <v>1</v>
      </c>
      <c r="CR64" s="63">
        <v>0</v>
      </c>
      <c r="CS64" s="63">
        <v>0</v>
      </c>
      <c r="CT64" s="61">
        <f t="shared" si="0"/>
        <v>9</v>
      </c>
      <c r="CU64" s="61"/>
    </row>
    <row r="65" spans="1:99" ht="12.75">
      <c r="A65" s="61" t="s">
        <v>330</v>
      </c>
      <c r="B65" s="63">
        <v>0</v>
      </c>
      <c r="C65" s="63">
        <v>0</v>
      </c>
      <c r="D65" s="63">
        <v>0</v>
      </c>
      <c r="E65" s="63">
        <v>0</v>
      </c>
      <c r="F65" s="63">
        <v>0</v>
      </c>
      <c r="G65" s="63">
        <v>0</v>
      </c>
      <c r="H65" s="63">
        <v>0</v>
      </c>
      <c r="I65" s="63">
        <v>0</v>
      </c>
      <c r="J65" s="63">
        <v>0</v>
      </c>
      <c r="K65" s="63">
        <v>0</v>
      </c>
      <c r="L65" s="63">
        <v>0</v>
      </c>
      <c r="M65" s="63">
        <v>0</v>
      </c>
      <c r="N65" s="63">
        <v>0</v>
      </c>
      <c r="O65" s="63">
        <v>0</v>
      </c>
      <c r="P65" s="63">
        <v>0</v>
      </c>
      <c r="Q65" s="63">
        <v>0</v>
      </c>
      <c r="R65" s="63">
        <v>0</v>
      </c>
      <c r="S65" s="63">
        <v>0</v>
      </c>
      <c r="T65" s="63">
        <v>0</v>
      </c>
      <c r="U65" s="63">
        <v>0</v>
      </c>
      <c r="V65" s="63">
        <v>0</v>
      </c>
      <c r="W65" s="63">
        <v>0</v>
      </c>
      <c r="X65" s="63">
        <v>0</v>
      </c>
      <c r="Y65" s="63">
        <v>0</v>
      </c>
      <c r="Z65" s="63">
        <v>0</v>
      </c>
      <c r="AA65" s="63">
        <v>0</v>
      </c>
      <c r="AB65" s="63">
        <v>0</v>
      </c>
      <c r="AC65" s="63">
        <v>0</v>
      </c>
      <c r="AD65" s="63">
        <v>0</v>
      </c>
      <c r="AE65" s="63">
        <v>0</v>
      </c>
      <c r="AF65" s="63">
        <v>0</v>
      </c>
      <c r="AG65" s="63">
        <v>0</v>
      </c>
      <c r="AH65" s="63">
        <v>0</v>
      </c>
      <c r="AI65" s="63">
        <v>0</v>
      </c>
      <c r="AJ65" s="63">
        <v>0</v>
      </c>
      <c r="AK65" s="63">
        <v>0</v>
      </c>
      <c r="AL65" s="63">
        <v>0</v>
      </c>
      <c r="AM65" s="63">
        <v>0</v>
      </c>
      <c r="AN65" s="63">
        <v>0</v>
      </c>
      <c r="AO65" s="63">
        <v>0</v>
      </c>
      <c r="AP65" s="63">
        <v>1</v>
      </c>
      <c r="AQ65" s="63">
        <v>0</v>
      </c>
      <c r="AR65" s="63">
        <v>0</v>
      </c>
      <c r="AS65" s="63">
        <v>0</v>
      </c>
      <c r="AT65" s="63">
        <v>0</v>
      </c>
      <c r="AU65" s="63">
        <v>0</v>
      </c>
      <c r="AV65" s="63">
        <v>0</v>
      </c>
      <c r="AW65" s="63">
        <v>0</v>
      </c>
      <c r="AX65" s="63">
        <v>0</v>
      </c>
      <c r="AY65" s="63">
        <v>0</v>
      </c>
      <c r="AZ65" s="63">
        <v>0</v>
      </c>
      <c r="BA65" s="63">
        <v>0</v>
      </c>
      <c r="BB65" s="63">
        <v>0</v>
      </c>
      <c r="BC65" s="63">
        <v>0</v>
      </c>
      <c r="BD65" s="63">
        <v>0</v>
      </c>
      <c r="BE65" s="63">
        <v>0</v>
      </c>
      <c r="BF65" s="63">
        <v>0</v>
      </c>
      <c r="BG65" s="63">
        <v>0</v>
      </c>
      <c r="BH65" s="63">
        <v>1</v>
      </c>
      <c r="BI65" s="63">
        <v>0</v>
      </c>
      <c r="BJ65" s="63">
        <v>0</v>
      </c>
      <c r="BK65" s="63">
        <v>0</v>
      </c>
      <c r="BL65" s="63">
        <v>0</v>
      </c>
      <c r="BM65" s="63">
        <v>1</v>
      </c>
      <c r="BN65" s="63">
        <v>0</v>
      </c>
      <c r="BO65" s="63">
        <v>0</v>
      </c>
      <c r="BP65" s="63">
        <v>0</v>
      </c>
      <c r="BQ65" s="63">
        <v>0</v>
      </c>
      <c r="BR65" s="63">
        <v>0</v>
      </c>
      <c r="BS65" s="63">
        <v>0</v>
      </c>
      <c r="BT65" s="63">
        <v>0</v>
      </c>
      <c r="BU65" s="63">
        <v>0</v>
      </c>
      <c r="BV65" s="63">
        <v>0</v>
      </c>
      <c r="BW65" s="63">
        <v>0</v>
      </c>
      <c r="BX65" s="63">
        <v>0</v>
      </c>
      <c r="BY65" s="63">
        <v>0</v>
      </c>
      <c r="BZ65" s="63">
        <v>0</v>
      </c>
      <c r="CA65" s="63">
        <v>0</v>
      </c>
      <c r="CB65" s="63">
        <v>0</v>
      </c>
      <c r="CC65" s="63">
        <v>0</v>
      </c>
      <c r="CD65" s="63">
        <v>0</v>
      </c>
      <c r="CE65" s="63">
        <v>0</v>
      </c>
      <c r="CF65" s="63">
        <v>0</v>
      </c>
      <c r="CG65" s="63">
        <v>0</v>
      </c>
      <c r="CH65" s="63">
        <v>0</v>
      </c>
      <c r="CI65" s="63">
        <v>1</v>
      </c>
      <c r="CJ65" s="63">
        <v>1</v>
      </c>
      <c r="CK65" s="63">
        <v>0</v>
      </c>
      <c r="CL65" s="63">
        <v>0</v>
      </c>
      <c r="CM65" s="63">
        <v>0</v>
      </c>
      <c r="CN65" s="63">
        <v>0</v>
      </c>
      <c r="CO65" s="63">
        <v>0</v>
      </c>
      <c r="CP65" s="63">
        <v>0</v>
      </c>
      <c r="CQ65" s="63">
        <v>1</v>
      </c>
      <c r="CR65" s="63">
        <v>1</v>
      </c>
      <c r="CS65" s="63">
        <v>0</v>
      </c>
      <c r="CT65" s="61">
        <f t="shared" si="0"/>
        <v>7</v>
      </c>
      <c r="CU65" s="61"/>
    </row>
    <row r="66" spans="1:99" ht="12.75">
      <c r="A66" s="61" t="s">
        <v>313</v>
      </c>
      <c r="B66" s="63">
        <v>0</v>
      </c>
      <c r="C66" s="63">
        <v>0</v>
      </c>
      <c r="D66" s="63">
        <v>0</v>
      </c>
      <c r="E66" s="63">
        <v>0</v>
      </c>
      <c r="F66" s="63">
        <v>0</v>
      </c>
      <c r="G66" s="63">
        <v>0</v>
      </c>
      <c r="H66" s="63">
        <v>0</v>
      </c>
      <c r="I66" s="63">
        <v>0</v>
      </c>
      <c r="J66" s="63">
        <v>0</v>
      </c>
      <c r="K66" s="63">
        <v>0</v>
      </c>
      <c r="L66" s="63">
        <v>0</v>
      </c>
      <c r="M66" s="63">
        <v>0</v>
      </c>
      <c r="N66" s="63">
        <v>0</v>
      </c>
      <c r="O66" s="63">
        <v>0</v>
      </c>
      <c r="P66" s="63">
        <v>0</v>
      </c>
      <c r="Q66" s="63">
        <v>0</v>
      </c>
      <c r="R66" s="63">
        <v>0</v>
      </c>
      <c r="S66" s="63">
        <v>0</v>
      </c>
      <c r="T66" s="63">
        <v>0</v>
      </c>
      <c r="U66" s="63">
        <v>0</v>
      </c>
      <c r="V66" s="63">
        <v>0</v>
      </c>
      <c r="W66" s="63">
        <v>0</v>
      </c>
      <c r="X66" s="63">
        <v>0</v>
      </c>
      <c r="Y66" s="63">
        <v>0</v>
      </c>
      <c r="Z66" s="63">
        <v>0</v>
      </c>
      <c r="AA66" s="63">
        <v>0</v>
      </c>
      <c r="AB66" s="63">
        <v>0</v>
      </c>
      <c r="AC66" s="63">
        <v>0</v>
      </c>
      <c r="AD66" s="63">
        <v>0</v>
      </c>
      <c r="AE66" s="63">
        <v>0</v>
      </c>
      <c r="AF66" s="63">
        <v>0</v>
      </c>
      <c r="AG66" s="63">
        <v>0</v>
      </c>
      <c r="AH66" s="63">
        <v>0</v>
      </c>
      <c r="AI66" s="63">
        <v>0</v>
      </c>
      <c r="AJ66" s="63">
        <v>0</v>
      </c>
      <c r="AK66" s="63">
        <v>0</v>
      </c>
      <c r="AL66" s="63">
        <v>0</v>
      </c>
      <c r="AM66" s="63">
        <v>0</v>
      </c>
      <c r="AN66" s="63">
        <v>0</v>
      </c>
      <c r="AO66" s="63">
        <v>0</v>
      </c>
      <c r="AP66" s="63">
        <v>0</v>
      </c>
      <c r="AQ66" s="63">
        <v>0</v>
      </c>
      <c r="AR66" s="63">
        <v>1</v>
      </c>
      <c r="AS66" s="63">
        <v>0</v>
      </c>
      <c r="AT66" s="63">
        <v>0</v>
      </c>
      <c r="AU66" s="63">
        <v>0</v>
      </c>
      <c r="AV66" s="63">
        <v>0</v>
      </c>
      <c r="AW66" s="63">
        <v>1</v>
      </c>
      <c r="AX66" s="63">
        <v>0</v>
      </c>
      <c r="AY66" s="63">
        <v>0</v>
      </c>
      <c r="AZ66" s="63">
        <v>0</v>
      </c>
      <c r="BA66" s="63">
        <v>0</v>
      </c>
      <c r="BB66" s="63">
        <v>0</v>
      </c>
      <c r="BC66" s="63">
        <v>0</v>
      </c>
      <c r="BD66" s="63">
        <v>0</v>
      </c>
      <c r="BE66" s="63">
        <v>0</v>
      </c>
      <c r="BF66" s="63">
        <v>0</v>
      </c>
      <c r="BG66" s="63">
        <v>0</v>
      </c>
      <c r="BH66" s="63">
        <v>0</v>
      </c>
      <c r="BI66" s="63">
        <v>0</v>
      </c>
      <c r="BJ66" s="63">
        <v>0</v>
      </c>
      <c r="BK66" s="63">
        <v>0</v>
      </c>
      <c r="BL66" s="63">
        <v>0</v>
      </c>
      <c r="BM66" s="63">
        <v>0</v>
      </c>
      <c r="BN66" s="63">
        <v>1</v>
      </c>
      <c r="BO66" s="63">
        <v>0</v>
      </c>
      <c r="BP66" s="63">
        <v>1</v>
      </c>
      <c r="BQ66" s="63">
        <v>0</v>
      </c>
      <c r="BR66" s="63">
        <v>0</v>
      </c>
      <c r="BS66" s="63">
        <v>0</v>
      </c>
      <c r="BT66" s="63">
        <v>0</v>
      </c>
      <c r="BU66" s="63">
        <v>0</v>
      </c>
      <c r="BV66" s="63">
        <v>0</v>
      </c>
      <c r="BW66" s="63">
        <v>0</v>
      </c>
      <c r="BX66" s="63">
        <v>0</v>
      </c>
      <c r="BY66" s="63">
        <v>0</v>
      </c>
      <c r="BZ66" s="63">
        <v>0</v>
      </c>
      <c r="CA66" s="63">
        <v>0</v>
      </c>
      <c r="CB66" s="63">
        <v>0</v>
      </c>
      <c r="CC66" s="63">
        <v>0</v>
      </c>
      <c r="CD66" s="63">
        <v>0</v>
      </c>
      <c r="CE66" s="63">
        <v>0</v>
      </c>
      <c r="CF66" s="63">
        <v>0</v>
      </c>
      <c r="CG66" s="63">
        <v>0</v>
      </c>
      <c r="CH66" s="63">
        <v>0</v>
      </c>
      <c r="CI66" s="63">
        <v>0</v>
      </c>
      <c r="CJ66" s="63">
        <v>0</v>
      </c>
      <c r="CK66" s="63">
        <v>0</v>
      </c>
      <c r="CL66" s="63">
        <v>0</v>
      </c>
      <c r="CM66" s="63">
        <v>0</v>
      </c>
      <c r="CN66" s="63">
        <v>0</v>
      </c>
      <c r="CO66" s="63">
        <v>0</v>
      </c>
      <c r="CP66" s="63">
        <v>0</v>
      </c>
      <c r="CQ66" s="63">
        <v>0</v>
      </c>
      <c r="CR66" s="63">
        <v>0</v>
      </c>
      <c r="CS66" s="63">
        <v>0</v>
      </c>
      <c r="CT66" s="61">
        <f t="shared" si="0"/>
        <v>4</v>
      </c>
      <c r="CU66" s="61"/>
    </row>
    <row r="67" spans="1:99" ht="12.75">
      <c r="A67" s="61" t="s">
        <v>372</v>
      </c>
      <c r="B67" s="63">
        <v>0</v>
      </c>
      <c r="C67" s="63">
        <v>0</v>
      </c>
      <c r="D67" s="63">
        <v>0</v>
      </c>
      <c r="E67" s="63">
        <v>0</v>
      </c>
      <c r="F67" s="63">
        <v>0</v>
      </c>
      <c r="G67" s="63">
        <v>0</v>
      </c>
      <c r="H67" s="63">
        <v>0</v>
      </c>
      <c r="I67" s="63">
        <v>0</v>
      </c>
      <c r="J67" s="63">
        <v>0</v>
      </c>
      <c r="K67" s="63">
        <v>0</v>
      </c>
      <c r="L67" s="63">
        <v>0</v>
      </c>
      <c r="M67" s="63">
        <v>0</v>
      </c>
      <c r="N67" s="63">
        <v>0</v>
      </c>
      <c r="O67" s="63">
        <v>0</v>
      </c>
      <c r="P67" s="63">
        <v>0</v>
      </c>
      <c r="Q67" s="63">
        <v>0</v>
      </c>
      <c r="R67" s="63">
        <v>0</v>
      </c>
      <c r="S67" s="63">
        <v>0</v>
      </c>
      <c r="T67" s="63">
        <v>0</v>
      </c>
      <c r="U67" s="63">
        <v>0</v>
      </c>
      <c r="V67" s="63">
        <v>0</v>
      </c>
      <c r="W67" s="63">
        <v>1</v>
      </c>
      <c r="X67" s="63">
        <v>0</v>
      </c>
      <c r="Y67" s="63">
        <v>0</v>
      </c>
      <c r="Z67" s="63">
        <v>0</v>
      </c>
      <c r="AA67" s="63">
        <v>0</v>
      </c>
      <c r="AB67" s="63">
        <v>0</v>
      </c>
      <c r="AC67" s="63">
        <v>0</v>
      </c>
      <c r="AD67" s="63">
        <v>0</v>
      </c>
      <c r="AE67" s="63">
        <v>0</v>
      </c>
      <c r="AF67" s="63">
        <v>0</v>
      </c>
      <c r="AG67" s="63">
        <v>0</v>
      </c>
      <c r="AH67" s="63">
        <v>0</v>
      </c>
      <c r="AI67" s="63">
        <v>0</v>
      </c>
      <c r="AJ67" s="63">
        <v>0</v>
      </c>
      <c r="AK67" s="63">
        <v>0</v>
      </c>
      <c r="AL67" s="63">
        <v>0</v>
      </c>
      <c r="AM67" s="63">
        <v>0</v>
      </c>
      <c r="AN67" s="63">
        <v>0</v>
      </c>
      <c r="AO67" s="63">
        <v>0</v>
      </c>
      <c r="AP67" s="63">
        <v>0</v>
      </c>
      <c r="AQ67" s="63">
        <v>0</v>
      </c>
      <c r="AR67" s="63">
        <v>0</v>
      </c>
      <c r="AS67" s="63">
        <v>0</v>
      </c>
      <c r="AT67" s="63">
        <v>0</v>
      </c>
      <c r="AU67" s="63">
        <v>1</v>
      </c>
      <c r="AV67" s="63">
        <v>0</v>
      </c>
      <c r="AW67" s="63">
        <v>0</v>
      </c>
      <c r="AX67" s="63">
        <v>0</v>
      </c>
      <c r="AY67" s="63">
        <v>0</v>
      </c>
      <c r="AZ67" s="63">
        <v>0</v>
      </c>
      <c r="BA67" s="63">
        <v>0</v>
      </c>
      <c r="BB67" s="63">
        <v>0</v>
      </c>
      <c r="BC67" s="63">
        <v>0</v>
      </c>
      <c r="BD67" s="63">
        <v>0</v>
      </c>
      <c r="BE67" s="63">
        <v>0</v>
      </c>
      <c r="BF67" s="63">
        <v>0</v>
      </c>
      <c r="BG67" s="63">
        <v>0</v>
      </c>
      <c r="BH67" s="63">
        <v>0</v>
      </c>
      <c r="BI67" s="63">
        <v>0</v>
      </c>
      <c r="BJ67" s="63">
        <v>0</v>
      </c>
      <c r="BK67" s="63">
        <v>0</v>
      </c>
      <c r="BL67" s="63">
        <v>0</v>
      </c>
      <c r="BM67" s="63">
        <v>0</v>
      </c>
      <c r="BN67" s="63">
        <v>0</v>
      </c>
      <c r="BO67" s="63">
        <v>1</v>
      </c>
      <c r="BP67" s="63">
        <v>0</v>
      </c>
      <c r="BQ67" s="63">
        <v>0</v>
      </c>
      <c r="BR67" s="63">
        <v>0</v>
      </c>
      <c r="BS67" s="63">
        <v>1</v>
      </c>
      <c r="BT67" s="63">
        <v>0</v>
      </c>
      <c r="BU67" s="63">
        <v>0</v>
      </c>
      <c r="BV67" s="63">
        <v>0</v>
      </c>
      <c r="BW67" s="63">
        <v>0</v>
      </c>
      <c r="BX67" s="63">
        <v>0</v>
      </c>
      <c r="BY67" s="63">
        <v>0</v>
      </c>
      <c r="BZ67" s="63">
        <v>0</v>
      </c>
      <c r="CA67" s="63">
        <v>0</v>
      </c>
      <c r="CB67" s="63">
        <v>0</v>
      </c>
      <c r="CC67" s="63">
        <v>0</v>
      </c>
      <c r="CD67" s="63">
        <v>0</v>
      </c>
      <c r="CE67" s="63">
        <v>0</v>
      </c>
      <c r="CF67" s="63">
        <v>0</v>
      </c>
      <c r="CG67" s="63">
        <v>0</v>
      </c>
      <c r="CH67" s="63">
        <v>0</v>
      </c>
      <c r="CI67" s="63">
        <v>0</v>
      </c>
      <c r="CJ67" s="63">
        <v>0</v>
      </c>
      <c r="CK67" s="63">
        <v>0</v>
      </c>
      <c r="CL67" s="63">
        <v>1</v>
      </c>
      <c r="CM67" s="63">
        <v>0</v>
      </c>
      <c r="CN67" s="63">
        <v>0</v>
      </c>
      <c r="CO67" s="63">
        <v>0</v>
      </c>
      <c r="CP67" s="63">
        <v>0</v>
      </c>
      <c r="CQ67" s="63">
        <v>0</v>
      </c>
      <c r="CR67" s="63">
        <v>0</v>
      </c>
      <c r="CS67" s="63">
        <v>0</v>
      </c>
      <c r="CT67" s="61">
        <f t="shared" si="0"/>
        <v>5</v>
      </c>
      <c r="CU67" s="61"/>
    </row>
    <row r="68" spans="1:99" ht="12.75">
      <c r="A68" s="61" t="s">
        <v>323</v>
      </c>
      <c r="B68" s="63">
        <v>0</v>
      </c>
      <c r="C68" s="63">
        <v>1</v>
      </c>
      <c r="D68" s="63">
        <v>1</v>
      </c>
      <c r="E68" s="63">
        <v>0</v>
      </c>
      <c r="F68" s="63">
        <v>0</v>
      </c>
      <c r="G68" s="63">
        <v>0</v>
      </c>
      <c r="H68" s="63">
        <v>0</v>
      </c>
      <c r="I68" s="63">
        <v>1</v>
      </c>
      <c r="J68" s="63">
        <v>0</v>
      </c>
      <c r="K68" s="63">
        <v>0</v>
      </c>
      <c r="L68" s="63">
        <v>0</v>
      </c>
      <c r="M68" s="63">
        <v>0</v>
      </c>
      <c r="N68" s="63">
        <v>1</v>
      </c>
      <c r="O68" s="63">
        <v>0</v>
      </c>
      <c r="P68" s="63">
        <v>0</v>
      </c>
      <c r="Q68" s="63">
        <v>0</v>
      </c>
      <c r="R68" s="63">
        <v>0</v>
      </c>
      <c r="S68" s="63">
        <v>0</v>
      </c>
      <c r="T68" s="63">
        <v>0</v>
      </c>
      <c r="U68" s="63">
        <v>0</v>
      </c>
      <c r="V68" s="63">
        <v>0</v>
      </c>
      <c r="W68" s="63">
        <v>0</v>
      </c>
      <c r="X68" s="63">
        <v>0</v>
      </c>
      <c r="Y68" s="63">
        <v>0</v>
      </c>
      <c r="Z68" s="63">
        <v>0</v>
      </c>
      <c r="AA68" s="63">
        <v>0</v>
      </c>
      <c r="AB68" s="63">
        <v>0</v>
      </c>
      <c r="AC68" s="63">
        <v>0</v>
      </c>
      <c r="AD68" s="63">
        <v>0</v>
      </c>
      <c r="AE68" s="63">
        <v>0</v>
      </c>
      <c r="AF68" s="63">
        <v>0</v>
      </c>
      <c r="AG68" s="63">
        <v>0</v>
      </c>
      <c r="AH68" s="63">
        <v>0</v>
      </c>
      <c r="AI68" s="63">
        <v>0</v>
      </c>
      <c r="AJ68" s="63">
        <v>0</v>
      </c>
      <c r="AK68" s="63">
        <v>0</v>
      </c>
      <c r="AL68" s="63">
        <v>0</v>
      </c>
      <c r="AM68" s="63">
        <v>0</v>
      </c>
      <c r="AN68" s="63">
        <v>0</v>
      </c>
      <c r="AO68" s="63">
        <v>0</v>
      </c>
      <c r="AP68" s="63">
        <v>0</v>
      </c>
      <c r="AQ68" s="63">
        <v>0</v>
      </c>
      <c r="AR68" s="63">
        <v>0</v>
      </c>
      <c r="AS68" s="63">
        <v>0</v>
      </c>
      <c r="AT68" s="63">
        <v>1</v>
      </c>
      <c r="AU68" s="63">
        <v>0</v>
      </c>
      <c r="AV68" s="63">
        <v>0</v>
      </c>
      <c r="AW68" s="63">
        <v>1</v>
      </c>
      <c r="AX68" s="63">
        <v>0</v>
      </c>
      <c r="AY68" s="63">
        <v>0</v>
      </c>
      <c r="AZ68" s="63">
        <v>0</v>
      </c>
      <c r="BA68" s="63">
        <v>0</v>
      </c>
      <c r="BB68" s="63">
        <v>0</v>
      </c>
      <c r="BC68" s="63">
        <v>0</v>
      </c>
      <c r="BD68" s="63">
        <v>0</v>
      </c>
      <c r="BE68" s="63">
        <v>0</v>
      </c>
      <c r="BF68" s="63">
        <v>0</v>
      </c>
      <c r="BG68" s="63">
        <v>1</v>
      </c>
      <c r="BH68" s="63">
        <v>0</v>
      </c>
      <c r="BI68" s="63">
        <v>0</v>
      </c>
      <c r="BJ68" s="63">
        <v>0</v>
      </c>
      <c r="BK68" s="63">
        <v>0</v>
      </c>
      <c r="BL68" s="63">
        <v>0</v>
      </c>
      <c r="BM68" s="63">
        <v>0</v>
      </c>
      <c r="BN68" s="63">
        <v>1</v>
      </c>
      <c r="BO68" s="63">
        <v>0</v>
      </c>
      <c r="BP68" s="63">
        <v>1</v>
      </c>
      <c r="BQ68" s="63">
        <v>0</v>
      </c>
      <c r="BR68" s="63">
        <v>0</v>
      </c>
      <c r="BS68" s="63">
        <v>0</v>
      </c>
      <c r="BT68" s="63">
        <v>0</v>
      </c>
      <c r="BU68" s="63">
        <v>0</v>
      </c>
      <c r="BV68" s="63">
        <v>0</v>
      </c>
      <c r="BW68" s="63">
        <v>0</v>
      </c>
      <c r="BX68" s="63">
        <v>0</v>
      </c>
      <c r="BY68" s="63">
        <v>0</v>
      </c>
      <c r="BZ68" s="63">
        <v>0</v>
      </c>
      <c r="CA68" s="63">
        <v>0</v>
      </c>
      <c r="CB68" s="63">
        <v>0</v>
      </c>
      <c r="CC68" s="63">
        <v>0</v>
      </c>
      <c r="CD68" s="63">
        <v>0</v>
      </c>
      <c r="CE68" s="63">
        <v>0</v>
      </c>
      <c r="CF68" s="63">
        <v>0</v>
      </c>
      <c r="CG68" s="63">
        <v>0</v>
      </c>
      <c r="CH68" s="63">
        <v>0</v>
      </c>
      <c r="CI68" s="63">
        <v>0</v>
      </c>
      <c r="CJ68" s="63">
        <v>0</v>
      </c>
      <c r="CK68" s="63">
        <v>0</v>
      </c>
      <c r="CL68" s="63">
        <v>0</v>
      </c>
      <c r="CM68" s="63">
        <v>0</v>
      </c>
      <c r="CN68" s="63">
        <v>0</v>
      </c>
      <c r="CO68" s="63">
        <v>0</v>
      </c>
      <c r="CP68" s="63">
        <v>0</v>
      </c>
      <c r="CQ68" s="63">
        <v>0</v>
      </c>
      <c r="CR68" s="63">
        <v>0</v>
      </c>
      <c r="CS68" s="63">
        <v>0</v>
      </c>
      <c r="CT68" s="61">
        <f t="shared" si="0"/>
        <v>9</v>
      </c>
      <c r="CU68" s="61"/>
    </row>
    <row r="69" spans="1:99" ht="12.75">
      <c r="A69" s="61" t="s">
        <v>331</v>
      </c>
      <c r="B69" s="63">
        <v>0</v>
      </c>
      <c r="C69" s="63">
        <v>0</v>
      </c>
      <c r="D69" s="63">
        <v>0</v>
      </c>
      <c r="E69" s="63">
        <v>0</v>
      </c>
      <c r="F69" s="63">
        <v>0</v>
      </c>
      <c r="G69" s="63">
        <v>0</v>
      </c>
      <c r="H69" s="63">
        <v>0</v>
      </c>
      <c r="I69" s="63">
        <v>0</v>
      </c>
      <c r="J69" s="63">
        <v>0</v>
      </c>
      <c r="K69" s="63">
        <v>0</v>
      </c>
      <c r="L69" s="63">
        <v>0</v>
      </c>
      <c r="M69" s="63">
        <v>0</v>
      </c>
      <c r="N69" s="63">
        <v>0</v>
      </c>
      <c r="O69" s="63">
        <v>0</v>
      </c>
      <c r="P69" s="63">
        <v>0</v>
      </c>
      <c r="Q69" s="63">
        <v>0</v>
      </c>
      <c r="R69" s="63">
        <v>0</v>
      </c>
      <c r="S69" s="63">
        <v>0</v>
      </c>
      <c r="T69" s="63">
        <v>0</v>
      </c>
      <c r="U69" s="63">
        <v>0</v>
      </c>
      <c r="V69" s="63">
        <v>0</v>
      </c>
      <c r="W69" s="63">
        <v>0</v>
      </c>
      <c r="X69" s="63">
        <v>0</v>
      </c>
      <c r="Y69" s="63">
        <v>0</v>
      </c>
      <c r="Z69" s="63">
        <v>1</v>
      </c>
      <c r="AA69" s="63">
        <v>1</v>
      </c>
      <c r="AB69" s="63">
        <v>0</v>
      </c>
      <c r="AC69" s="63">
        <v>0</v>
      </c>
      <c r="AD69" s="63">
        <v>0</v>
      </c>
      <c r="AE69" s="63">
        <v>0</v>
      </c>
      <c r="AF69" s="63">
        <v>0</v>
      </c>
      <c r="AG69" s="63">
        <v>0</v>
      </c>
      <c r="AH69" s="63">
        <v>0</v>
      </c>
      <c r="AI69" s="63">
        <v>0</v>
      </c>
      <c r="AJ69" s="63">
        <v>0</v>
      </c>
      <c r="AK69" s="63">
        <v>0</v>
      </c>
      <c r="AL69" s="63">
        <v>0</v>
      </c>
      <c r="AM69" s="63">
        <v>0</v>
      </c>
      <c r="AN69" s="63">
        <v>1</v>
      </c>
      <c r="AO69" s="63">
        <v>0</v>
      </c>
      <c r="AP69" s="63">
        <v>0</v>
      </c>
      <c r="AQ69" s="63">
        <v>0</v>
      </c>
      <c r="AR69" s="63">
        <v>0</v>
      </c>
      <c r="AS69" s="63">
        <v>1</v>
      </c>
      <c r="AT69" s="63">
        <v>0</v>
      </c>
      <c r="AU69" s="63">
        <v>0</v>
      </c>
      <c r="AV69" s="63">
        <v>0</v>
      </c>
      <c r="AW69" s="63">
        <v>0</v>
      </c>
      <c r="AX69" s="63">
        <v>0</v>
      </c>
      <c r="AY69" s="63">
        <v>0</v>
      </c>
      <c r="AZ69" s="63">
        <v>0</v>
      </c>
      <c r="BA69" s="63">
        <v>0</v>
      </c>
      <c r="BB69" s="63">
        <v>0</v>
      </c>
      <c r="BC69" s="63">
        <v>0</v>
      </c>
      <c r="BD69" s="63">
        <v>0</v>
      </c>
      <c r="BE69" s="63">
        <v>0</v>
      </c>
      <c r="BF69" s="63">
        <v>0</v>
      </c>
      <c r="BG69" s="63">
        <v>0</v>
      </c>
      <c r="BH69" s="63">
        <v>0</v>
      </c>
      <c r="BI69" s="63">
        <v>0</v>
      </c>
      <c r="BJ69" s="63">
        <v>0</v>
      </c>
      <c r="BK69" s="63">
        <v>0</v>
      </c>
      <c r="BL69" s="63">
        <v>0</v>
      </c>
      <c r="BM69" s="63">
        <v>0</v>
      </c>
      <c r="BN69" s="63">
        <v>0</v>
      </c>
      <c r="BO69" s="63">
        <v>0</v>
      </c>
      <c r="BP69" s="63">
        <v>0</v>
      </c>
      <c r="BQ69" s="63">
        <v>1</v>
      </c>
      <c r="BR69" s="63">
        <v>0</v>
      </c>
      <c r="BS69" s="63">
        <v>0</v>
      </c>
      <c r="BT69" s="63">
        <v>0</v>
      </c>
      <c r="BU69" s="63">
        <v>0</v>
      </c>
      <c r="BV69" s="63">
        <v>0</v>
      </c>
      <c r="BW69" s="63">
        <v>0</v>
      </c>
      <c r="BX69" s="63">
        <v>0</v>
      </c>
      <c r="BY69" s="63">
        <v>0</v>
      </c>
      <c r="BZ69" s="63">
        <v>0</v>
      </c>
      <c r="CA69" s="63">
        <v>0</v>
      </c>
      <c r="CB69" s="63">
        <v>0</v>
      </c>
      <c r="CC69" s="63">
        <v>0</v>
      </c>
      <c r="CD69" s="63">
        <v>0</v>
      </c>
      <c r="CE69" s="63">
        <v>1</v>
      </c>
      <c r="CF69" s="63">
        <v>0</v>
      </c>
      <c r="CG69" s="63">
        <v>0</v>
      </c>
      <c r="CH69" s="63">
        <v>0</v>
      </c>
      <c r="CI69" s="63">
        <v>0</v>
      </c>
      <c r="CJ69" s="63">
        <v>0</v>
      </c>
      <c r="CK69" s="63">
        <v>0</v>
      </c>
      <c r="CL69" s="63">
        <v>0</v>
      </c>
      <c r="CM69" s="63">
        <v>0</v>
      </c>
      <c r="CN69" s="63">
        <v>0</v>
      </c>
      <c r="CO69" s="63">
        <v>0</v>
      </c>
      <c r="CP69" s="63">
        <v>0</v>
      </c>
      <c r="CQ69" s="63">
        <v>0</v>
      </c>
      <c r="CR69" s="63">
        <v>0</v>
      </c>
      <c r="CS69" s="63">
        <v>0</v>
      </c>
      <c r="CT69" s="61">
        <f t="shared" si="0"/>
        <v>6</v>
      </c>
      <c r="CU69" s="61"/>
    </row>
    <row r="70" spans="1:99" ht="12.75">
      <c r="A70" s="61" t="s">
        <v>383</v>
      </c>
      <c r="B70" s="63">
        <v>0</v>
      </c>
      <c r="C70" s="63">
        <v>0</v>
      </c>
      <c r="D70" s="63">
        <v>0</v>
      </c>
      <c r="E70" s="63">
        <v>0</v>
      </c>
      <c r="F70" s="63">
        <v>0</v>
      </c>
      <c r="G70" s="63">
        <v>0</v>
      </c>
      <c r="H70" s="63">
        <v>0</v>
      </c>
      <c r="I70" s="63">
        <v>0</v>
      </c>
      <c r="J70" s="63">
        <v>0</v>
      </c>
      <c r="K70" s="63">
        <v>0</v>
      </c>
      <c r="L70" s="63">
        <v>0</v>
      </c>
      <c r="M70" s="63">
        <v>0</v>
      </c>
      <c r="N70" s="63">
        <v>0</v>
      </c>
      <c r="O70" s="63">
        <v>0</v>
      </c>
      <c r="P70" s="63">
        <v>0</v>
      </c>
      <c r="Q70" s="63">
        <v>1</v>
      </c>
      <c r="R70" s="63">
        <v>0</v>
      </c>
      <c r="S70" s="63">
        <v>0</v>
      </c>
      <c r="T70" s="63">
        <v>0</v>
      </c>
      <c r="U70" s="63">
        <v>0</v>
      </c>
      <c r="V70" s="63">
        <v>0</v>
      </c>
      <c r="W70" s="63">
        <v>0</v>
      </c>
      <c r="X70" s="63">
        <v>0</v>
      </c>
      <c r="Y70" s="63">
        <v>0</v>
      </c>
      <c r="Z70" s="63">
        <v>0</v>
      </c>
      <c r="AA70" s="63">
        <v>0</v>
      </c>
      <c r="AB70" s="63">
        <v>0</v>
      </c>
      <c r="AC70" s="63">
        <v>0</v>
      </c>
      <c r="AD70" s="63">
        <v>0</v>
      </c>
      <c r="AE70" s="63">
        <v>0</v>
      </c>
      <c r="AF70" s="63">
        <v>0</v>
      </c>
      <c r="AG70" s="63">
        <v>0</v>
      </c>
      <c r="AH70" s="63">
        <v>0</v>
      </c>
      <c r="AI70" s="63">
        <v>0</v>
      </c>
      <c r="AJ70" s="63">
        <v>0</v>
      </c>
      <c r="AK70" s="63">
        <v>1</v>
      </c>
      <c r="AL70" s="63">
        <v>0</v>
      </c>
      <c r="AM70" s="63">
        <v>0</v>
      </c>
      <c r="AN70" s="63">
        <v>0</v>
      </c>
      <c r="AO70" s="63">
        <v>0</v>
      </c>
      <c r="AP70" s="63">
        <v>0</v>
      </c>
      <c r="AQ70" s="63">
        <v>0</v>
      </c>
      <c r="AR70" s="63">
        <v>0</v>
      </c>
      <c r="AS70" s="63">
        <v>0</v>
      </c>
      <c r="AT70" s="63">
        <v>1</v>
      </c>
      <c r="AU70" s="63">
        <v>0</v>
      </c>
      <c r="AV70" s="63">
        <v>0</v>
      </c>
      <c r="AW70" s="63">
        <v>0</v>
      </c>
      <c r="AX70" s="63">
        <v>0</v>
      </c>
      <c r="AY70" s="63">
        <v>0</v>
      </c>
      <c r="AZ70" s="63">
        <v>0</v>
      </c>
      <c r="BA70" s="63">
        <v>0</v>
      </c>
      <c r="BB70" s="63">
        <v>0</v>
      </c>
      <c r="BC70" s="63">
        <v>0</v>
      </c>
      <c r="BD70" s="63">
        <v>0</v>
      </c>
      <c r="BE70" s="63">
        <v>0</v>
      </c>
      <c r="BF70" s="63">
        <v>1</v>
      </c>
      <c r="BG70" s="63">
        <v>0</v>
      </c>
      <c r="BH70" s="63">
        <v>0</v>
      </c>
      <c r="BI70" s="63">
        <v>0</v>
      </c>
      <c r="BJ70" s="63">
        <v>0</v>
      </c>
      <c r="BK70" s="63">
        <v>0</v>
      </c>
      <c r="BL70" s="63">
        <v>0</v>
      </c>
      <c r="BM70" s="63">
        <v>0</v>
      </c>
      <c r="BN70" s="63">
        <v>0</v>
      </c>
      <c r="BO70" s="63">
        <v>0</v>
      </c>
      <c r="BP70" s="63">
        <v>0</v>
      </c>
      <c r="BQ70" s="63">
        <v>0</v>
      </c>
      <c r="BR70" s="63">
        <v>1</v>
      </c>
      <c r="BS70" s="63">
        <v>0</v>
      </c>
      <c r="BT70" s="63">
        <v>0</v>
      </c>
      <c r="BU70" s="63">
        <v>0</v>
      </c>
      <c r="BV70" s="63">
        <v>0</v>
      </c>
      <c r="BW70" s="63">
        <v>0</v>
      </c>
      <c r="BX70" s="63">
        <v>0</v>
      </c>
      <c r="BY70" s="63">
        <v>0</v>
      </c>
      <c r="BZ70" s="63">
        <v>0</v>
      </c>
      <c r="CA70" s="63">
        <v>0</v>
      </c>
      <c r="CB70" s="63">
        <v>0</v>
      </c>
      <c r="CC70" s="63">
        <v>0</v>
      </c>
      <c r="CD70" s="63">
        <v>0</v>
      </c>
      <c r="CE70" s="63">
        <v>0</v>
      </c>
      <c r="CF70" s="63">
        <v>0</v>
      </c>
      <c r="CG70" s="63">
        <v>0</v>
      </c>
      <c r="CH70" s="63">
        <v>0</v>
      </c>
      <c r="CI70" s="63">
        <v>0</v>
      </c>
      <c r="CJ70" s="63">
        <v>0</v>
      </c>
      <c r="CK70" s="63">
        <v>0</v>
      </c>
      <c r="CL70" s="63">
        <v>0</v>
      </c>
      <c r="CM70" s="63">
        <v>0</v>
      </c>
      <c r="CN70" s="63">
        <v>0</v>
      </c>
      <c r="CO70" s="63">
        <v>0</v>
      </c>
      <c r="CP70" s="63">
        <v>0</v>
      </c>
      <c r="CQ70" s="63">
        <v>0</v>
      </c>
      <c r="CR70" s="63">
        <v>0</v>
      </c>
      <c r="CS70" s="63">
        <v>0</v>
      </c>
      <c r="CT70" s="61">
        <f t="shared" si="0"/>
        <v>5</v>
      </c>
      <c r="CU70" s="61"/>
    </row>
    <row r="71" spans="1:99" ht="12.75">
      <c r="A71" s="61" t="s">
        <v>354</v>
      </c>
      <c r="B71" s="63">
        <v>0</v>
      </c>
      <c r="C71" s="63">
        <v>0</v>
      </c>
      <c r="D71" s="63">
        <v>0</v>
      </c>
      <c r="E71" s="63">
        <v>0</v>
      </c>
      <c r="F71" s="63">
        <v>0</v>
      </c>
      <c r="G71" s="63">
        <v>0</v>
      </c>
      <c r="H71" s="63">
        <v>0</v>
      </c>
      <c r="I71" s="63">
        <v>0</v>
      </c>
      <c r="J71" s="63">
        <v>0</v>
      </c>
      <c r="K71" s="63">
        <v>0</v>
      </c>
      <c r="L71" s="63">
        <v>0</v>
      </c>
      <c r="M71" s="63">
        <v>0</v>
      </c>
      <c r="N71" s="63">
        <v>0</v>
      </c>
      <c r="O71" s="63">
        <v>0</v>
      </c>
      <c r="P71" s="63">
        <v>0</v>
      </c>
      <c r="Q71" s="63">
        <v>0</v>
      </c>
      <c r="R71" s="63">
        <v>0</v>
      </c>
      <c r="S71" s="63">
        <v>0</v>
      </c>
      <c r="T71" s="63">
        <v>0</v>
      </c>
      <c r="U71" s="63">
        <v>0</v>
      </c>
      <c r="V71" s="63">
        <v>0</v>
      </c>
      <c r="W71" s="63">
        <v>0</v>
      </c>
      <c r="X71" s="63">
        <v>0</v>
      </c>
      <c r="Y71" s="63">
        <v>0</v>
      </c>
      <c r="Z71" s="63">
        <v>0</v>
      </c>
      <c r="AA71" s="63">
        <v>0</v>
      </c>
      <c r="AB71" s="63">
        <v>0</v>
      </c>
      <c r="AC71" s="63">
        <v>0</v>
      </c>
      <c r="AD71" s="63">
        <v>0</v>
      </c>
      <c r="AE71" s="63">
        <v>0</v>
      </c>
      <c r="AF71" s="63">
        <v>0</v>
      </c>
      <c r="AG71" s="63">
        <v>0</v>
      </c>
      <c r="AH71" s="63">
        <v>0</v>
      </c>
      <c r="AI71" s="63">
        <v>0</v>
      </c>
      <c r="AJ71" s="63">
        <v>0</v>
      </c>
      <c r="AK71" s="63">
        <v>0</v>
      </c>
      <c r="AL71" s="63">
        <v>0</v>
      </c>
      <c r="AM71" s="63">
        <v>0</v>
      </c>
      <c r="AN71" s="63">
        <v>0</v>
      </c>
      <c r="AO71" s="63">
        <v>0</v>
      </c>
      <c r="AP71" s="63">
        <v>0</v>
      </c>
      <c r="AQ71" s="63">
        <v>0</v>
      </c>
      <c r="AR71" s="63">
        <v>0</v>
      </c>
      <c r="AS71" s="63">
        <v>0</v>
      </c>
      <c r="AT71" s="63">
        <v>0</v>
      </c>
      <c r="AU71" s="63">
        <v>1</v>
      </c>
      <c r="AV71" s="63">
        <v>0</v>
      </c>
      <c r="AW71" s="63">
        <v>0</v>
      </c>
      <c r="AX71" s="63">
        <v>0</v>
      </c>
      <c r="AY71" s="63">
        <v>0</v>
      </c>
      <c r="AZ71" s="63">
        <v>0</v>
      </c>
      <c r="BA71" s="63">
        <v>0</v>
      </c>
      <c r="BB71" s="63">
        <v>0</v>
      </c>
      <c r="BC71" s="63">
        <v>0</v>
      </c>
      <c r="BD71" s="63">
        <v>0</v>
      </c>
      <c r="BE71" s="63">
        <v>1</v>
      </c>
      <c r="BF71" s="63">
        <v>0</v>
      </c>
      <c r="BG71" s="63">
        <v>0</v>
      </c>
      <c r="BH71" s="63">
        <v>0</v>
      </c>
      <c r="BI71" s="63">
        <v>0</v>
      </c>
      <c r="BJ71" s="63">
        <v>0</v>
      </c>
      <c r="BK71" s="63">
        <v>0</v>
      </c>
      <c r="BL71" s="63">
        <v>0</v>
      </c>
      <c r="BM71" s="63">
        <v>0</v>
      </c>
      <c r="BN71" s="63">
        <v>0</v>
      </c>
      <c r="BO71" s="63">
        <v>1</v>
      </c>
      <c r="BP71" s="63">
        <v>0</v>
      </c>
      <c r="BQ71" s="63">
        <v>0</v>
      </c>
      <c r="BR71" s="63">
        <v>0</v>
      </c>
      <c r="BS71" s="63">
        <v>1</v>
      </c>
      <c r="BT71" s="63">
        <v>1</v>
      </c>
      <c r="BU71" s="63">
        <v>1</v>
      </c>
      <c r="BV71" s="63">
        <v>0</v>
      </c>
      <c r="BW71" s="63">
        <v>0</v>
      </c>
      <c r="BX71" s="63">
        <v>0</v>
      </c>
      <c r="BY71" s="63">
        <v>1</v>
      </c>
      <c r="BZ71" s="63">
        <v>0</v>
      </c>
      <c r="CA71" s="63">
        <v>0</v>
      </c>
      <c r="CB71" s="63">
        <v>0</v>
      </c>
      <c r="CC71" s="63">
        <v>0</v>
      </c>
      <c r="CD71" s="63">
        <v>0</v>
      </c>
      <c r="CE71" s="63">
        <v>0</v>
      </c>
      <c r="CF71" s="63">
        <v>0</v>
      </c>
      <c r="CG71" s="63">
        <v>0</v>
      </c>
      <c r="CH71" s="63">
        <v>0</v>
      </c>
      <c r="CI71" s="63">
        <v>0</v>
      </c>
      <c r="CJ71" s="63">
        <v>0</v>
      </c>
      <c r="CK71" s="63">
        <v>0</v>
      </c>
      <c r="CL71" s="63">
        <v>1</v>
      </c>
      <c r="CM71" s="63">
        <v>0</v>
      </c>
      <c r="CN71" s="63">
        <v>1</v>
      </c>
      <c r="CO71" s="63">
        <v>0</v>
      </c>
      <c r="CP71" s="63">
        <v>0</v>
      </c>
      <c r="CQ71" s="63">
        <v>0</v>
      </c>
      <c r="CR71" s="63">
        <v>0</v>
      </c>
      <c r="CS71" s="63">
        <v>0</v>
      </c>
      <c r="CT71" s="61">
        <f t="shared" si="0"/>
        <v>9</v>
      </c>
      <c r="CU71" s="61"/>
    </row>
    <row r="72" spans="1:99" ht="12.75">
      <c r="A72" s="61" t="s">
        <v>301</v>
      </c>
      <c r="B72" s="63">
        <v>0</v>
      </c>
      <c r="C72" s="63">
        <v>0</v>
      </c>
      <c r="D72" s="63">
        <v>0</v>
      </c>
      <c r="E72" s="63">
        <v>0</v>
      </c>
      <c r="F72" s="63">
        <v>0</v>
      </c>
      <c r="G72" s="63">
        <v>0</v>
      </c>
      <c r="H72" s="63">
        <v>0</v>
      </c>
      <c r="I72" s="63">
        <v>0</v>
      </c>
      <c r="J72" s="63">
        <v>0</v>
      </c>
      <c r="K72" s="63">
        <v>1</v>
      </c>
      <c r="L72" s="63">
        <v>0</v>
      </c>
      <c r="M72" s="63">
        <v>0</v>
      </c>
      <c r="N72" s="63">
        <v>0</v>
      </c>
      <c r="O72" s="63">
        <v>0</v>
      </c>
      <c r="P72" s="63">
        <v>0</v>
      </c>
      <c r="Q72" s="63">
        <v>0</v>
      </c>
      <c r="R72" s="63">
        <v>0</v>
      </c>
      <c r="S72" s="63">
        <v>0</v>
      </c>
      <c r="T72" s="63">
        <v>0</v>
      </c>
      <c r="U72" s="63">
        <v>0</v>
      </c>
      <c r="V72" s="63">
        <v>0</v>
      </c>
      <c r="W72" s="63">
        <v>0</v>
      </c>
      <c r="X72" s="63">
        <v>0</v>
      </c>
      <c r="Y72" s="63">
        <v>0</v>
      </c>
      <c r="Z72" s="63">
        <v>0</v>
      </c>
      <c r="AA72" s="63">
        <v>0</v>
      </c>
      <c r="AB72" s="63">
        <v>0</v>
      </c>
      <c r="AC72" s="63">
        <v>0</v>
      </c>
      <c r="AD72" s="63">
        <v>0</v>
      </c>
      <c r="AE72" s="63">
        <v>0</v>
      </c>
      <c r="AF72" s="63">
        <v>0</v>
      </c>
      <c r="AG72" s="63">
        <v>0</v>
      </c>
      <c r="AH72" s="63">
        <v>0</v>
      </c>
      <c r="AI72" s="63">
        <v>0</v>
      </c>
      <c r="AJ72" s="63">
        <v>0</v>
      </c>
      <c r="AK72" s="63">
        <v>0</v>
      </c>
      <c r="AL72" s="63">
        <v>0</v>
      </c>
      <c r="AM72" s="63">
        <v>0</v>
      </c>
      <c r="AN72" s="63">
        <v>0</v>
      </c>
      <c r="AO72" s="63">
        <v>0</v>
      </c>
      <c r="AP72" s="63">
        <v>0</v>
      </c>
      <c r="AQ72" s="63">
        <v>0</v>
      </c>
      <c r="AR72" s="63">
        <v>0</v>
      </c>
      <c r="AS72" s="63">
        <v>0</v>
      </c>
      <c r="AT72" s="63">
        <v>0</v>
      </c>
      <c r="AU72" s="63">
        <v>1</v>
      </c>
      <c r="AV72" s="63">
        <v>0</v>
      </c>
      <c r="AW72" s="63">
        <v>0</v>
      </c>
      <c r="AX72" s="63">
        <v>0</v>
      </c>
      <c r="AY72" s="63">
        <v>0</v>
      </c>
      <c r="AZ72" s="63">
        <v>0</v>
      </c>
      <c r="BA72" s="63">
        <v>0</v>
      </c>
      <c r="BB72" s="63">
        <v>0</v>
      </c>
      <c r="BC72" s="63">
        <v>0</v>
      </c>
      <c r="BD72" s="63">
        <v>1</v>
      </c>
      <c r="BE72" s="63">
        <v>0</v>
      </c>
      <c r="BF72" s="63">
        <v>0</v>
      </c>
      <c r="BG72" s="63">
        <v>0</v>
      </c>
      <c r="BH72" s="63">
        <v>0</v>
      </c>
      <c r="BI72" s="63">
        <v>0</v>
      </c>
      <c r="BJ72" s="63">
        <v>0</v>
      </c>
      <c r="BK72" s="63">
        <v>0</v>
      </c>
      <c r="BL72" s="63">
        <v>0</v>
      </c>
      <c r="BM72" s="63">
        <v>0</v>
      </c>
      <c r="BN72" s="63">
        <v>0</v>
      </c>
      <c r="BO72" s="63">
        <v>0</v>
      </c>
      <c r="BP72" s="63">
        <v>0</v>
      </c>
      <c r="BQ72" s="63">
        <v>0</v>
      </c>
      <c r="BR72" s="63">
        <v>0</v>
      </c>
      <c r="BS72" s="63">
        <v>1</v>
      </c>
      <c r="BT72" s="63">
        <v>1</v>
      </c>
      <c r="BU72" s="63">
        <v>1</v>
      </c>
      <c r="BV72" s="63">
        <v>0</v>
      </c>
      <c r="BW72" s="63">
        <v>0</v>
      </c>
      <c r="BX72" s="63">
        <v>0</v>
      </c>
      <c r="BY72" s="63">
        <v>0</v>
      </c>
      <c r="BZ72" s="63">
        <v>0</v>
      </c>
      <c r="CA72" s="63">
        <v>0</v>
      </c>
      <c r="CB72" s="63">
        <v>0</v>
      </c>
      <c r="CC72" s="63">
        <v>0</v>
      </c>
      <c r="CD72" s="63">
        <v>0</v>
      </c>
      <c r="CE72" s="63">
        <v>0</v>
      </c>
      <c r="CF72" s="63">
        <v>0</v>
      </c>
      <c r="CG72" s="63">
        <v>0</v>
      </c>
      <c r="CH72" s="63">
        <v>0</v>
      </c>
      <c r="CI72" s="63">
        <v>0</v>
      </c>
      <c r="CJ72" s="63">
        <v>0</v>
      </c>
      <c r="CK72" s="63">
        <v>0</v>
      </c>
      <c r="CL72" s="63">
        <v>0</v>
      </c>
      <c r="CM72" s="63">
        <v>1</v>
      </c>
      <c r="CN72" s="63">
        <v>0</v>
      </c>
      <c r="CO72" s="63">
        <v>0</v>
      </c>
      <c r="CP72" s="63">
        <v>0</v>
      </c>
      <c r="CQ72" s="63">
        <v>0</v>
      </c>
      <c r="CR72" s="63">
        <v>0</v>
      </c>
      <c r="CS72" s="63">
        <v>0</v>
      </c>
      <c r="CT72" s="61">
        <f t="shared" si="0"/>
        <v>7</v>
      </c>
      <c r="CU72" s="61"/>
    </row>
    <row r="73" spans="1:99" ht="12.75">
      <c r="A73" s="61" t="s">
        <v>304</v>
      </c>
      <c r="B73" s="63">
        <v>0</v>
      </c>
      <c r="C73" s="63">
        <v>0</v>
      </c>
      <c r="D73" s="63">
        <v>0</v>
      </c>
      <c r="E73" s="63">
        <v>0</v>
      </c>
      <c r="F73" s="63">
        <v>0</v>
      </c>
      <c r="G73" s="63">
        <v>0</v>
      </c>
      <c r="H73" s="63">
        <v>0</v>
      </c>
      <c r="I73" s="63">
        <v>0</v>
      </c>
      <c r="J73" s="63">
        <v>0</v>
      </c>
      <c r="K73" s="63">
        <v>0</v>
      </c>
      <c r="L73" s="63">
        <v>0</v>
      </c>
      <c r="M73" s="63">
        <v>0</v>
      </c>
      <c r="N73" s="63">
        <v>0</v>
      </c>
      <c r="O73" s="63">
        <v>0</v>
      </c>
      <c r="P73" s="63">
        <v>0</v>
      </c>
      <c r="Q73" s="63">
        <v>0</v>
      </c>
      <c r="R73" s="63">
        <v>0</v>
      </c>
      <c r="S73" s="63">
        <v>0</v>
      </c>
      <c r="T73" s="63">
        <v>0</v>
      </c>
      <c r="U73" s="63">
        <v>0</v>
      </c>
      <c r="V73" s="63">
        <v>0</v>
      </c>
      <c r="W73" s="63">
        <v>0</v>
      </c>
      <c r="X73" s="63">
        <v>0</v>
      </c>
      <c r="Y73" s="63">
        <v>0</v>
      </c>
      <c r="Z73" s="63">
        <v>0</v>
      </c>
      <c r="AA73" s="63">
        <v>0</v>
      </c>
      <c r="AB73" s="63">
        <v>0</v>
      </c>
      <c r="AC73" s="63">
        <v>0</v>
      </c>
      <c r="AD73" s="63">
        <v>0</v>
      </c>
      <c r="AE73" s="63">
        <v>0</v>
      </c>
      <c r="AF73" s="63">
        <v>0</v>
      </c>
      <c r="AG73" s="63">
        <v>0</v>
      </c>
      <c r="AH73" s="63">
        <v>0</v>
      </c>
      <c r="AI73" s="63">
        <v>1</v>
      </c>
      <c r="AJ73" s="63">
        <v>0</v>
      </c>
      <c r="AK73" s="63">
        <v>0</v>
      </c>
      <c r="AL73" s="63">
        <v>0</v>
      </c>
      <c r="AM73" s="63">
        <v>0</v>
      </c>
      <c r="AN73" s="63">
        <v>0</v>
      </c>
      <c r="AO73" s="63">
        <v>0</v>
      </c>
      <c r="AP73" s="63">
        <v>0</v>
      </c>
      <c r="AQ73" s="63">
        <v>0</v>
      </c>
      <c r="AR73" s="63">
        <v>0</v>
      </c>
      <c r="AS73" s="63">
        <v>0</v>
      </c>
      <c r="AT73" s="63">
        <v>0</v>
      </c>
      <c r="AU73" s="63">
        <v>0</v>
      </c>
      <c r="AV73" s="63">
        <v>0</v>
      </c>
      <c r="AW73" s="63">
        <v>0</v>
      </c>
      <c r="AX73" s="63">
        <v>0</v>
      </c>
      <c r="AY73" s="63">
        <v>0</v>
      </c>
      <c r="AZ73" s="63">
        <v>0</v>
      </c>
      <c r="BA73" s="63">
        <v>0</v>
      </c>
      <c r="BB73" s="63">
        <v>0</v>
      </c>
      <c r="BC73" s="63">
        <v>0</v>
      </c>
      <c r="BD73" s="63">
        <v>0</v>
      </c>
      <c r="BE73" s="63">
        <v>0</v>
      </c>
      <c r="BF73" s="63">
        <v>0</v>
      </c>
      <c r="BG73" s="63">
        <v>0</v>
      </c>
      <c r="BH73" s="63">
        <v>0</v>
      </c>
      <c r="BI73" s="63">
        <v>0</v>
      </c>
      <c r="BJ73" s="63">
        <v>0</v>
      </c>
      <c r="BK73" s="63">
        <v>0</v>
      </c>
      <c r="BL73" s="63">
        <v>0</v>
      </c>
      <c r="BM73" s="63">
        <v>0</v>
      </c>
      <c r="BN73" s="63">
        <v>0</v>
      </c>
      <c r="BO73" s="63">
        <v>0</v>
      </c>
      <c r="BP73" s="63">
        <v>0</v>
      </c>
      <c r="BQ73" s="63">
        <v>0</v>
      </c>
      <c r="BR73" s="63">
        <v>0</v>
      </c>
      <c r="BS73" s="63">
        <v>1</v>
      </c>
      <c r="BT73" s="63">
        <v>1</v>
      </c>
      <c r="BU73" s="63">
        <v>1</v>
      </c>
      <c r="BV73" s="63">
        <v>0</v>
      </c>
      <c r="BW73" s="63">
        <v>0</v>
      </c>
      <c r="BX73" s="63">
        <v>0</v>
      </c>
      <c r="BY73" s="63">
        <v>1</v>
      </c>
      <c r="BZ73" s="63">
        <v>0</v>
      </c>
      <c r="CA73" s="63">
        <v>0</v>
      </c>
      <c r="CB73" s="63">
        <v>0</v>
      </c>
      <c r="CC73" s="63">
        <v>0</v>
      </c>
      <c r="CD73" s="63">
        <v>0</v>
      </c>
      <c r="CE73" s="63">
        <v>0</v>
      </c>
      <c r="CF73" s="63">
        <v>0</v>
      </c>
      <c r="CG73" s="63">
        <v>0</v>
      </c>
      <c r="CH73" s="63">
        <v>1</v>
      </c>
      <c r="CI73" s="63">
        <v>0</v>
      </c>
      <c r="CJ73" s="63">
        <v>0</v>
      </c>
      <c r="CK73" s="63">
        <v>0</v>
      </c>
      <c r="CL73" s="63">
        <v>0</v>
      </c>
      <c r="CM73" s="63">
        <v>1</v>
      </c>
      <c r="CN73" s="63">
        <v>0</v>
      </c>
      <c r="CO73" s="63">
        <v>0</v>
      </c>
      <c r="CP73" s="63">
        <v>0</v>
      </c>
      <c r="CQ73" s="63">
        <v>0</v>
      </c>
      <c r="CR73" s="63">
        <v>0</v>
      </c>
      <c r="CS73" s="63">
        <v>0</v>
      </c>
      <c r="CT73" s="61">
        <f t="shared" si="0"/>
        <v>7</v>
      </c>
      <c r="CU73" s="61"/>
    </row>
    <row r="74" spans="1:99" ht="12.75">
      <c r="A74" s="61" t="s">
        <v>317</v>
      </c>
      <c r="B74" s="63">
        <v>0</v>
      </c>
      <c r="C74" s="63">
        <v>0</v>
      </c>
      <c r="D74" s="63">
        <v>0</v>
      </c>
      <c r="E74" s="63">
        <v>0</v>
      </c>
      <c r="F74" s="63">
        <v>0</v>
      </c>
      <c r="G74" s="63">
        <v>0</v>
      </c>
      <c r="H74" s="63">
        <v>0</v>
      </c>
      <c r="I74" s="63">
        <v>0</v>
      </c>
      <c r="J74" s="63">
        <v>0</v>
      </c>
      <c r="K74" s="63">
        <v>0</v>
      </c>
      <c r="L74" s="63">
        <v>0</v>
      </c>
      <c r="M74" s="63">
        <v>0</v>
      </c>
      <c r="N74" s="63">
        <v>0</v>
      </c>
      <c r="O74" s="63">
        <v>0</v>
      </c>
      <c r="P74" s="63">
        <v>0</v>
      </c>
      <c r="Q74" s="63">
        <v>0</v>
      </c>
      <c r="R74" s="63">
        <v>0</v>
      </c>
      <c r="S74" s="63">
        <v>0</v>
      </c>
      <c r="T74" s="63">
        <v>0</v>
      </c>
      <c r="U74" s="63">
        <v>0</v>
      </c>
      <c r="V74" s="63">
        <v>0</v>
      </c>
      <c r="W74" s="63">
        <v>0</v>
      </c>
      <c r="X74" s="63">
        <v>0</v>
      </c>
      <c r="Y74" s="63">
        <v>0</v>
      </c>
      <c r="Z74" s="63">
        <v>0</v>
      </c>
      <c r="AA74" s="63">
        <v>0</v>
      </c>
      <c r="AB74" s="63">
        <v>0</v>
      </c>
      <c r="AC74" s="63">
        <v>0</v>
      </c>
      <c r="AD74" s="63">
        <v>0</v>
      </c>
      <c r="AE74" s="63">
        <v>0</v>
      </c>
      <c r="AF74" s="63">
        <v>0</v>
      </c>
      <c r="AG74" s="63">
        <v>0</v>
      </c>
      <c r="AH74" s="63">
        <v>0</v>
      </c>
      <c r="AI74" s="63">
        <v>0</v>
      </c>
      <c r="AJ74" s="63">
        <v>0</v>
      </c>
      <c r="AK74" s="63">
        <v>0</v>
      </c>
      <c r="AL74" s="63">
        <v>0</v>
      </c>
      <c r="AM74" s="63">
        <v>0</v>
      </c>
      <c r="AN74" s="63">
        <v>0</v>
      </c>
      <c r="AO74" s="63">
        <v>1</v>
      </c>
      <c r="AP74" s="63">
        <v>0</v>
      </c>
      <c r="AQ74" s="63">
        <v>0</v>
      </c>
      <c r="AR74" s="63">
        <v>0</v>
      </c>
      <c r="AS74" s="63">
        <v>0</v>
      </c>
      <c r="AT74" s="63">
        <v>0</v>
      </c>
      <c r="AU74" s="63">
        <v>0</v>
      </c>
      <c r="AV74" s="63">
        <v>0</v>
      </c>
      <c r="AW74" s="63">
        <v>0</v>
      </c>
      <c r="AX74" s="63">
        <v>0</v>
      </c>
      <c r="AY74" s="63">
        <v>0</v>
      </c>
      <c r="AZ74" s="63">
        <v>0</v>
      </c>
      <c r="BA74" s="63">
        <v>0</v>
      </c>
      <c r="BB74" s="63">
        <v>0</v>
      </c>
      <c r="BC74" s="63">
        <v>0</v>
      </c>
      <c r="BD74" s="63">
        <v>0</v>
      </c>
      <c r="BE74" s="63">
        <v>0</v>
      </c>
      <c r="BF74" s="63">
        <v>0</v>
      </c>
      <c r="BG74" s="63">
        <v>0</v>
      </c>
      <c r="BH74" s="63">
        <v>0</v>
      </c>
      <c r="BI74" s="63">
        <v>0</v>
      </c>
      <c r="BJ74" s="63">
        <v>0</v>
      </c>
      <c r="BK74" s="63">
        <v>0</v>
      </c>
      <c r="BL74" s="63">
        <v>0</v>
      </c>
      <c r="BM74" s="63">
        <v>0</v>
      </c>
      <c r="BN74" s="63">
        <v>0</v>
      </c>
      <c r="BO74" s="63">
        <v>0</v>
      </c>
      <c r="BP74" s="63">
        <v>0</v>
      </c>
      <c r="BQ74" s="63">
        <v>0</v>
      </c>
      <c r="BR74" s="63">
        <v>0</v>
      </c>
      <c r="BS74" s="63">
        <v>0</v>
      </c>
      <c r="BT74" s="63">
        <v>0</v>
      </c>
      <c r="BU74" s="63">
        <v>0</v>
      </c>
      <c r="BV74" s="63">
        <v>1</v>
      </c>
      <c r="BW74" s="63">
        <v>1</v>
      </c>
      <c r="BX74" s="63">
        <v>0</v>
      </c>
      <c r="BY74" s="63">
        <v>0</v>
      </c>
      <c r="BZ74" s="63">
        <v>1</v>
      </c>
      <c r="CA74" s="63">
        <v>0</v>
      </c>
      <c r="CB74" s="63">
        <v>0</v>
      </c>
      <c r="CC74" s="63">
        <v>0</v>
      </c>
      <c r="CD74" s="63">
        <v>0</v>
      </c>
      <c r="CE74" s="63">
        <v>0</v>
      </c>
      <c r="CF74" s="63">
        <v>0</v>
      </c>
      <c r="CG74" s="63">
        <v>0</v>
      </c>
      <c r="CH74" s="63">
        <v>0</v>
      </c>
      <c r="CI74" s="63">
        <v>0</v>
      </c>
      <c r="CJ74" s="63">
        <v>0</v>
      </c>
      <c r="CK74" s="63">
        <v>0</v>
      </c>
      <c r="CL74" s="63">
        <v>0</v>
      </c>
      <c r="CM74" s="63">
        <v>0</v>
      </c>
      <c r="CN74" s="63">
        <v>0</v>
      </c>
      <c r="CO74" s="63">
        <v>1</v>
      </c>
      <c r="CP74" s="63">
        <v>1</v>
      </c>
      <c r="CQ74" s="63">
        <v>0</v>
      </c>
      <c r="CR74" s="63">
        <v>0</v>
      </c>
      <c r="CS74" s="63">
        <v>1</v>
      </c>
      <c r="CT74" s="61">
        <f t="shared" si="0"/>
        <v>7</v>
      </c>
      <c r="CU74" s="61"/>
    </row>
    <row r="75" spans="1:99" ht="12.75">
      <c r="A75" s="61" t="s">
        <v>368</v>
      </c>
      <c r="B75" s="63">
        <v>0</v>
      </c>
      <c r="C75" s="63">
        <v>0</v>
      </c>
      <c r="D75" s="63">
        <v>0</v>
      </c>
      <c r="E75" s="63">
        <v>0</v>
      </c>
      <c r="F75" s="63">
        <v>0</v>
      </c>
      <c r="G75" s="63">
        <v>0</v>
      </c>
      <c r="H75" s="63">
        <v>0</v>
      </c>
      <c r="I75" s="63">
        <v>0</v>
      </c>
      <c r="J75" s="63">
        <v>0</v>
      </c>
      <c r="K75" s="63">
        <v>0</v>
      </c>
      <c r="L75" s="63">
        <v>0</v>
      </c>
      <c r="M75" s="63">
        <v>0</v>
      </c>
      <c r="N75" s="63">
        <v>0</v>
      </c>
      <c r="O75" s="63">
        <v>0</v>
      </c>
      <c r="P75" s="63">
        <v>0</v>
      </c>
      <c r="Q75" s="63">
        <v>0</v>
      </c>
      <c r="R75" s="63">
        <v>0</v>
      </c>
      <c r="S75" s="63">
        <v>0</v>
      </c>
      <c r="T75" s="63">
        <v>0</v>
      </c>
      <c r="U75" s="63">
        <v>0</v>
      </c>
      <c r="V75" s="63">
        <v>0</v>
      </c>
      <c r="W75" s="63">
        <v>0</v>
      </c>
      <c r="X75" s="63">
        <v>0</v>
      </c>
      <c r="Y75" s="63">
        <v>0</v>
      </c>
      <c r="Z75" s="63">
        <v>0</v>
      </c>
      <c r="AA75" s="63">
        <v>0</v>
      </c>
      <c r="AB75" s="63">
        <v>0</v>
      </c>
      <c r="AC75" s="63">
        <v>0</v>
      </c>
      <c r="AD75" s="63">
        <v>0</v>
      </c>
      <c r="AE75" s="63">
        <v>0</v>
      </c>
      <c r="AF75" s="63">
        <v>0</v>
      </c>
      <c r="AG75" s="63">
        <v>0</v>
      </c>
      <c r="AH75" s="63">
        <v>0</v>
      </c>
      <c r="AI75" s="63">
        <v>0</v>
      </c>
      <c r="AJ75" s="63">
        <v>0</v>
      </c>
      <c r="AK75" s="63">
        <v>0</v>
      </c>
      <c r="AL75" s="63">
        <v>0</v>
      </c>
      <c r="AM75" s="63">
        <v>0</v>
      </c>
      <c r="AN75" s="63">
        <v>0</v>
      </c>
      <c r="AO75" s="63">
        <v>0</v>
      </c>
      <c r="AP75" s="63">
        <v>1</v>
      </c>
      <c r="AQ75" s="63">
        <v>0</v>
      </c>
      <c r="AR75" s="63">
        <v>0</v>
      </c>
      <c r="AS75" s="63">
        <v>0</v>
      </c>
      <c r="AT75" s="63">
        <v>0</v>
      </c>
      <c r="AU75" s="63">
        <v>0</v>
      </c>
      <c r="AV75" s="63">
        <v>0</v>
      </c>
      <c r="AW75" s="63">
        <v>0</v>
      </c>
      <c r="AX75" s="63">
        <v>0</v>
      </c>
      <c r="AY75" s="63">
        <v>0</v>
      </c>
      <c r="AZ75" s="63">
        <v>0</v>
      </c>
      <c r="BA75" s="63">
        <v>0</v>
      </c>
      <c r="BB75" s="63">
        <v>0</v>
      </c>
      <c r="BC75" s="63">
        <v>0</v>
      </c>
      <c r="BD75" s="63">
        <v>0</v>
      </c>
      <c r="BE75" s="63">
        <v>0</v>
      </c>
      <c r="BF75" s="63">
        <v>0</v>
      </c>
      <c r="BG75" s="63">
        <v>0</v>
      </c>
      <c r="BH75" s="63">
        <v>1</v>
      </c>
      <c r="BI75" s="63">
        <v>0</v>
      </c>
      <c r="BJ75" s="63">
        <v>0</v>
      </c>
      <c r="BK75" s="63">
        <v>0</v>
      </c>
      <c r="BL75" s="63">
        <v>0</v>
      </c>
      <c r="BM75" s="63">
        <v>0</v>
      </c>
      <c r="BN75" s="63">
        <v>0</v>
      </c>
      <c r="BO75" s="63">
        <v>0</v>
      </c>
      <c r="BP75" s="63">
        <v>0</v>
      </c>
      <c r="BQ75" s="63">
        <v>0</v>
      </c>
      <c r="BR75" s="63">
        <v>0</v>
      </c>
      <c r="BS75" s="63">
        <v>0</v>
      </c>
      <c r="BT75" s="63">
        <v>0</v>
      </c>
      <c r="BU75" s="63">
        <v>0</v>
      </c>
      <c r="BV75" s="63">
        <v>1</v>
      </c>
      <c r="BW75" s="63">
        <v>1</v>
      </c>
      <c r="BX75" s="63">
        <v>0</v>
      </c>
      <c r="BY75" s="63">
        <v>0</v>
      </c>
      <c r="BZ75" s="63">
        <v>0</v>
      </c>
      <c r="CA75" s="63">
        <v>0</v>
      </c>
      <c r="CB75" s="63">
        <v>0</v>
      </c>
      <c r="CC75" s="63">
        <v>0</v>
      </c>
      <c r="CD75" s="63">
        <v>0</v>
      </c>
      <c r="CE75" s="63">
        <v>0</v>
      </c>
      <c r="CF75" s="63">
        <v>0</v>
      </c>
      <c r="CG75" s="63">
        <v>0</v>
      </c>
      <c r="CH75" s="63">
        <v>0</v>
      </c>
      <c r="CI75" s="63">
        <v>0</v>
      </c>
      <c r="CJ75" s="63">
        <v>0</v>
      </c>
      <c r="CK75" s="63">
        <v>0</v>
      </c>
      <c r="CL75" s="63">
        <v>0</v>
      </c>
      <c r="CM75" s="63">
        <v>0</v>
      </c>
      <c r="CN75" s="63">
        <v>0</v>
      </c>
      <c r="CO75" s="63">
        <v>1</v>
      </c>
      <c r="CP75" s="63">
        <v>0</v>
      </c>
      <c r="CQ75" s="63">
        <v>0</v>
      </c>
      <c r="CR75" s="63">
        <v>0</v>
      </c>
      <c r="CS75" s="63">
        <v>1</v>
      </c>
      <c r="CT75" s="61">
        <f t="shared" si="0"/>
        <v>6</v>
      </c>
      <c r="CU75" s="61"/>
    </row>
    <row r="76" spans="1:99" ht="12.75">
      <c r="A76" s="61" t="s">
        <v>297</v>
      </c>
      <c r="B76" s="63">
        <v>0</v>
      </c>
      <c r="C76" s="63">
        <v>0</v>
      </c>
      <c r="D76" s="63">
        <v>0</v>
      </c>
      <c r="E76" s="63">
        <v>0</v>
      </c>
      <c r="F76" s="63">
        <v>0</v>
      </c>
      <c r="G76" s="63">
        <v>0</v>
      </c>
      <c r="H76" s="63">
        <v>0</v>
      </c>
      <c r="I76" s="63">
        <v>0</v>
      </c>
      <c r="J76" s="63">
        <v>0</v>
      </c>
      <c r="K76" s="63">
        <v>0</v>
      </c>
      <c r="L76" s="63">
        <v>0</v>
      </c>
      <c r="M76" s="63">
        <v>0</v>
      </c>
      <c r="N76" s="63">
        <v>0</v>
      </c>
      <c r="O76" s="63">
        <v>0</v>
      </c>
      <c r="P76" s="63">
        <v>0</v>
      </c>
      <c r="Q76" s="63">
        <v>0</v>
      </c>
      <c r="R76" s="63">
        <v>0</v>
      </c>
      <c r="S76" s="63">
        <v>0</v>
      </c>
      <c r="T76" s="63">
        <v>0</v>
      </c>
      <c r="U76" s="63">
        <v>0</v>
      </c>
      <c r="V76" s="63">
        <v>0</v>
      </c>
      <c r="W76" s="63">
        <v>0</v>
      </c>
      <c r="X76" s="63">
        <v>0</v>
      </c>
      <c r="Y76" s="63">
        <v>0</v>
      </c>
      <c r="Z76" s="63">
        <v>0</v>
      </c>
      <c r="AA76" s="63">
        <v>0</v>
      </c>
      <c r="AB76" s="63">
        <v>0</v>
      </c>
      <c r="AC76" s="63">
        <v>0</v>
      </c>
      <c r="AD76" s="63">
        <v>0</v>
      </c>
      <c r="AE76" s="63">
        <v>0</v>
      </c>
      <c r="AF76" s="63">
        <v>0</v>
      </c>
      <c r="AG76" s="63">
        <v>0</v>
      </c>
      <c r="AH76" s="63">
        <v>0</v>
      </c>
      <c r="AI76" s="63">
        <v>0</v>
      </c>
      <c r="AJ76" s="63">
        <v>0</v>
      </c>
      <c r="AK76" s="63">
        <v>0</v>
      </c>
      <c r="AL76" s="63">
        <v>0</v>
      </c>
      <c r="AM76" s="63">
        <v>0</v>
      </c>
      <c r="AN76" s="63">
        <v>0</v>
      </c>
      <c r="AO76" s="63">
        <v>0</v>
      </c>
      <c r="AP76" s="63">
        <v>0</v>
      </c>
      <c r="AQ76" s="63">
        <v>0</v>
      </c>
      <c r="AR76" s="63">
        <v>0</v>
      </c>
      <c r="AS76" s="63">
        <v>0</v>
      </c>
      <c r="AT76" s="63">
        <v>0</v>
      </c>
      <c r="AU76" s="63">
        <v>0</v>
      </c>
      <c r="AV76" s="63">
        <v>0</v>
      </c>
      <c r="AW76" s="63">
        <v>0</v>
      </c>
      <c r="AX76" s="63">
        <v>0</v>
      </c>
      <c r="AY76" s="63">
        <v>0</v>
      </c>
      <c r="AZ76" s="63">
        <v>1</v>
      </c>
      <c r="BA76" s="63">
        <v>0</v>
      </c>
      <c r="BB76" s="63">
        <v>0</v>
      </c>
      <c r="BC76" s="63">
        <v>1</v>
      </c>
      <c r="BD76" s="63">
        <v>0</v>
      </c>
      <c r="BE76" s="63">
        <v>1</v>
      </c>
      <c r="BF76" s="63">
        <v>0</v>
      </c>
      <c r="BG76" s="63">
        <v>0</v>
      </c>
      <c r="BH76" s="63">
        <v>1</v>
      </c>
      <c r="BI76" s="63">
        <v>0</v>
      </c>
      <c r="BJ76" s="63">
        <v>0</v>
      </c>
      <c r="BK76" s="63">
        <v>0</v>
      </c>
      <c r="BL76" s="63">
        <v>1</v>
      </c>
      <c r="BM76" s="63">
        <v>0</v>
      </c>
      <c r="BN76" s="63">
        <v>0</v>
      </c>
      <c r="BO76" s="63">
        <v>0</v>
      </c>
      <c r="BP76" s="63">
        <v>0</v>
      </c>
      <c r="BQ76" s="63">
        <v>0</v>
      </c>
      <c r="BR76" s="63">
        <v>0</v>
      </c>
      <c r="BS76" s="63">
        <v>0</v>
      </c>
      <c r="BT76" s="63">
        <v>0</v>
      </c>
      <c r="BU76" s="63">
        <v>0</v>
      </c>
      <c r="BV76" s="63">
        <v>0</v>
      </c>
      <c r="BW76" s="63">
        <v>0</v>
      </c>
      <c r="BX76" s="63">
        <v>1</v>
      </c>
      <c r="BY76" s="63">
        <v>0</v>
      </c>
      <c r="BZ76" s="63">
        <v>0</v>
      </c>
      <c r="CA76" s="63">
        <v>0</v>
      </c>
      <c r="CB76" s="63">
        <v>0</v>
      </c>
      <c r="CC76" s="63">
        <v>0</v>
      </c>
      <c r="CD76" s="63">
        <v>0</v>
      </c>
      <c r="CE76" s="63">
        <v>0</v>
      </c>
      <c r="CF76" s="63">
        <v>0</v>
      </c>
      <c r="CG76" s="63">
        <v>0</v>
      </c>
      <c r="CH76" s="63">
        <v>0</v>
      </c>
      <c r="CI76" s="63">
        <v>0</v>
      </c>
      <c r="CJ76" s="63">
        <v>1</v>
      </c>
      <c r="CK76" s="63">
        <v>1</v>
      </c>
      <c r="CL76" s="63">
        <v>0</v>
      </c>
      <c r="CM76" s="63">
        <v>0</v>
      </c>
      <c r="CN76" s="63">
        <v>1</v>
      </c>
      <c r="CO76" s="63">
        <v>0</v>
      </c>
      <c r="CP76" s="63">
        <v>0</v>
      </c>
      <c r="CQ76" s="63">
        <v>1</v>
      </c>
      <c r="CR76" s="63">
        <v>0</v>
      </c>
      <c r="CS76" s="63">
        <v>0</v>
      </c>
      <c r="CT76" s="61">
        <f t="shared" si="0"/>
        <v>10</v>
      </c>
      <c r="CU76" s="61"/>
    </row>
    <row r="77" spans="1:99" ht="12.75">
      <c r="A77" s="61" t="s">
        <v>370</v>
      </c>
      <c r="B77" s="63">
        <v>0</v>
      </c>
      <c r="C77" s="63">
        <v>0</v>
      </c>
      <c r="D77" s="63">
        <v>0</v>
      </c>
      <c r="E77" s="63">
        <v>0</v>
      </c>
      <c r="F77" s="63">
        <v>0</v>
      </c>
      <c r="G77" s="63">
        <v>0</v>
      </c>
      <c r="H77" s="63">
        <v>0</v>
      </c>
      <c r="I77" s="63">
        <v>0</v>
      </c>
      <c r="J77" s="63">
        <v>0</v>
      </c>
      <c r="K77" s="63">
        <v>0</v>
      </c>
      <c r="L77" s="63">
        <v>0</v>
      </c>
      <c r="M77" s="63">
        <v>1</v>
      </c>
      <c r="N77" s="63">
        <v>0</v>
      </c>
      <c r="O77" s="63">
        <v>0</v>
      </c>
      <c r="P77" s="63">
        <v>0</v>
      </c>
      <c r="Q77" s="63">
        <v>0</v>
      </c>
      <c r="R77" s="63">
        <v>0</v>
      </c>
      <c r="S77" s="63">
        <v>0</v>
      </c>
      <c r="T77" s="63">
        <v>0</v>
      </c>
      <c r="U77" s="63">
        <v>1</v>
      </c>
      <c r="V77" s="63">
        <v>0</v>
      </c>
      <c r="W77" s="63">
        <v>0</v>
      </c>
      <c r="X77" s="63">
        <v>0</v>
      </c>
      <c r="Y77" s="63">
        <v>0</v>
      </c>
      <c r="Z77" s="63">
        <v>0</v>
      </c>
      <c r="AA77" s="63">
        <v>0</v>
      </c>
      <c r="AB77" s="63">
        <v>0</v>
      </c>
      <c r="AC77" s="63">
        <v>0</v>
      </c>
      <c r="AD77" s="63">
        <v>0</v>
      </c>
      <c r="AE77" s="63">
        <v>0</v>
      </c>
      <c r="AF77" s="63">
        <v>0</v>
      </c>
      <c r="AG77" s="63">
        <v>0</v>
      </c>
      <c r="AH77" s="63">
        <v>0</v>
      </c>
      <c r="AI77" s="63">
        <v>1</v>
      </c>
      <c r="AJ77" s="63">
        <v>0</v>
      </c>
      <c r="AK77" s="63">
        <v>0</v>
      </c>
      <c r="AL77" s="63">
        <v>0</v>
      </c>
      <c r="AM77" s="63">
        <v>1</v>
      </c>
      <c r="AN77" s="63">
        <v>0</v>
      </c>
      <c r="AO77" s="63">
        <v>1</v>
      </c>
      <c r="AP77" s="63">
        <v>0</v>
      </c>
      <c r="AQ77" s="63">
        <v>0</v>
      </c>
      <c r="AR77" s="63">
        <v>0</v>
      </c>
      <c r="AS77" s="63">
        <v>0</v>
      </c>
      <c r="AT77" s="63">
        <v>0</v>
      </c>
      <c r="AU77" s="63">
        <v>0</v>
      </c>
      <c r="AV77" s="63">
        <v>0</v>
      </c>
      <c r="AW77" s="63">
        <v>0</v>
      </c>
      <c r="AX77" s="63">
        <v>0</v>
      </c>
      <c r="AY77" s="63">
        <v>0</v>
      </c>
      <c r="AZ77" s="63">
        <v>0</v>
      </c>
      <c r="BA77" s="63">
        <v>0</v>
      </c>
      <c r="BB77" s="63">
        <v>0</v>
      </c>
      <c r="BC77" s="63">
        <v>0</v>
      </c>
      <c r="BD77" s="63">
        <v>0</v>
      </c>
      <c r="BE77" s="63">
        <v>1</v>
      </c>
      <c r="BF77" s="63">
        <v>0</v>
      </c>
      <c r="BG77" s="63">
        <v>0</v>
      </c>
      <c r="BH77" s="63">
        <v>0</v>
      </c>
      <c r="BI77" s="63">
        <v>0</v>
      </c>
      <c r="BJ77" s="63">
        <v>0</v>
      </c>
      <c r="BK77" s="63">
        <v>1</v>
      </c>
      <c r="BL77" s="63">
        <v>0</v>
      </c>
      <c r="BM77" s="63">
        <v>0</v>
      </c>
      <c r="BN77" s="63">
        <v>0</v>
      </c>
      <c r="BO77" s="63">
        <v>0</v>
      </c>
      <c r="BP77" s="63">
        <v>0</v>
      </c>
      <c r="BQ77" s="63">
        <v>0</v>
      </c>
      <c r="BR77" s="63">
        <v>0</v>
      </c>
      <c r="BS77" s="63">
        <v>1</v>
      </c>
      <c r="BT77" s="63">
        <v>0</v>
      </c>
      <c r="BU77" s="63">
        <v>1</v>
      </c>
      <c r="BV77" s="63">
        <v>0</v>
      </c>
      <c r="BW77" s="63">
        <v>0</v>
      </c>
      <c r="BX77" s="63">
        <v>0</v>
      </c>
      <c r="BY77" s="63">
        <v>1</v>
      </c>
      <c r="BZ77" s="63">
        <v>0</v>
      </c>
      <c r="CA77" s="63">
        <v>0</v>
      </c>
      <c r="CB77" s="63">
        <v>0</v>
      </c>
      <c r="CC77" s="63">
        <v>0</v>
      </c>
      <c r="CD77" s="63">
        <v>0</v>
      </c>
      <c r="CE77" s="63">
        <v>0</v>
      </c>
      <c r="CF77" s="63">
        <v>0</v>
      </c>
      <c r="CG77" s="63">
        <v>0</v>
      </c>
      <c r="CH77" s="63">
        <v>0</v>
      </c>
      <c r="CI77" s="63">
        <v>0</v>
      </c>
      <c r="CJ77" s="63">
        <v>0</v>
      </c>
      <c r="CK77" s="63">
        <v>0</v>
      </c>
      <c r="CL77" s="63">
        <v>0</v>
      </c>
      <c r="CM77" s="63">
        <v>0</v>
      </c>
      <c r="CN77" s="63">
        <v>0</v>
      </c>
      <c r="CO77" s="63">
        <v>0</v>
      </c>
      <c r="CP77" s="63">
        <v>0</v>
      </c>
      <c r="CQ77" s="63">
        <v>0</v>
      </c>
      <c r="CR77" s="63">
        <v>0</v>
      </c>
      <c r="CS77" s="63">
        <v>0</v>
      </c>
      <c r="CT77" s="61">
        <f t="shared" si="0"/>
        <v>10</v>
      </c>
      <c r="CU77" s="61"/>
    </row>
    <row r="78" spans="1:99" ht="12.75">
      <c r="A78" s="61" t="s">
        <v>382</v>
      </c>
      <c r="B78" s="63">
        <v>0</v>
      </c>
      <c r="C78" s="63">
        <v>0</v>
      </c>
      <c r="D78" s="63">
        <v>0</v>
      </c>
      <c r="E78" s="63">
        <v>0</v>
      </c>
      <c r="F78" s="63">
        <v>0</v>
      </c>
      <c r="G78" s="63">
        <v>0</v>
      </c>
      <c r="H78" s="63">
        <v>0</v>
      </c>
      <c r="I78" s="63">
        <v>0</v>
      </c>
      <c r="J78" s="63">
        <v>0</v>
      </c>
      <c r="K78" s="63">
        <v>0</v>
      </c>
      <c r="L78" s="63">
        <v>0</v>
      </c>
      <c r="M78" s="63">
        <v>1</v>
      </c>
      <c r="N78" s="63">
        <v>0</v>
      </c>
      <c r="O78" s="63">
        <v>0</v>
      </c>
      <c r="P78" s="63">
        <v>0</v>
      </c>
      <c r="Q78" s="63">
        <v>0</v>
      </c>
      <c r="R78" s="63">
        <v>0</v>
      </c>
      <c r="S78" s="63">
        <v>0</v>
      </c>
      <c r="T78" s="63">
        <v>0</v>
      </c>
      <c r="U78" s="63">
        <v>1</v>
      </c>
      <c r="V78" s="63">
        <v>0</v>
      </c>
      <c r="W78" s="63">
        <v>0</v>
      </c>
      <c r="X78" s="63">
        <v>0</v>
      </c>
      <c r="Y78" s="63">
        <v>0</v>
      </c>
      <c r="Z78" s="63">
        <v>0</v>
      </c>
      <c r="AA78" s="63">
        <v>0</v>
      </c>
      <c r="AB78" s="63">
        <v>0</v>
      </c>
      <c r="AC78" s="63">
        <v>0</v>
      </c>
      <c r="AD78" s="63">
        <v>0</v>
      </c>
      <c r="AE78" s="63">
        <v>0</v>
      </c>
      <c r="AF78" s="63">
        <v>0</v>
      </c>
      <c r="AG78" s="63">
        <v>0</v>
      </c>
      <c r="AH78" s="63">
        <v>0</v>
      </c>
      <c r="AI78" s="63">
        <v>0</v>
      </c>
      <c r="AJ78" s="63">
        <v>0</v>
      </c>
      <c r="AK78" s="63">
        <v>0</v>
      </c>
      <c r="AL78" s="63">
        <v>0</v>
      </c>
      <c r="AM78" s="63">
        <v>0</v>
      </c>
      <c r="AN78" s="63">
        <v>0</v>
      </c>
      <c r="AO78" s="63">
        <v>1</v>
      </c>
      <c r="AP78" s="63">
        <v>0</v>
      </c>
      <c r="AQ78" s="63">
        <v>0</v>
      </c>
      <c r="AR78" s="63">
        <v>0</v>
      </c>
      <c r="AS78" s="63">
        <v>0</v>
      </c>
      <c r="AT78" s="63">
        <v>0</v>
      </c>
      <c r="AU78" s="63">
        <v>0</v>
      </c>
      <c r="AV78" s="63">
        <v>0</v>
      </c>
      <c r="AW78" s="63">
        <v>0</v>
      </c>
      <c r="AX78" s="63">
        <v>0</v>
      </c>
      <c r="AY78" s="63">
        <v>0</v>
      </c>
      <c r="AZ78" s="63">
        <v>0</v>
      </c>
      <c r="BA78" s="63">
        <v>0</v>
      </c>
      <c r="BB78" s="63">
        <v>0</v>
      </c>
      <c r="BC78" s="63">
        <v>0</v>
      </c>
      <c r="BD78" s="63">
        <v>0</v>
      </c>
      <c r="BE78" s="63">
        <v>0</v>
      </c>
      <c r="BF78" s="63">
        <v>0</v>
      </c>
      <c r="BG78" s="63">
        <v>0</v>
      </c>
      <c r="BH78" s="63">
        <v>0</v>
      </c>
      <c r="BI78" s="63">
        <v>0</v>
      </c>
      <c r="BJ78" s="63">
        <v>1</v>
      </c>
      <c r="BK78" s="63">
        <v>0</v>
      </c>
      <c r="BL78" s="63">
        <v>0</v>
      </c>
      <c r="BM78" s="63">
        <v>0</v>
      </c>
      <c r="BN78" s="63">
        <v>0</v>
      </c>
      <c r="BO78" s="63">
        <v>0</v>
      </c>
      <c r="BP78" s="63">
        <v>0</v>
      </c>
      <c r="BQ78" s="63">
        <v>0</v>
      </c>
      <c r="BR78" s="63">
        <v>0</v>
      </c>
      <c r="BS78" s="63">
        <v>0</v>
      </c>
      <c r="BT78" s="63">
        <v>0</v>
      </c>
      <c r="BU78" s="63">
        <v>0</v>
      </c>
      <c r="BV78" s="63">
        <v>1</v>
      </c>
      <c r="BW78" s="63">
        <v>0</v>
      </c>
      <c r="BX78" s="63">
        <v>0</v>
      </c>
      <c r="BY78" s="63">
        <v>0</v>
      </c>
      <c r="BZ78" s="63">
        <v>1</v>
      </c>
      <c r="CA78" s="63">
        <v>0</v>
      </c>
      <c r="CB78" s="63">
        <v>0</v>
      </c>
      <c r="CC78" s="63">
        <v>0</v>
      </c>
      <c r="CD78" s="63">
        <v>0</v>
      </c>
      <c r="CE78" s="63">
        <v>0</v>
      </c>
      <c r="CF78" s="63">
        <v>0</v>
      </c>
      <c r="CG78" s="63">
        <v>0</v>
      </c>
      <c r="CH78" s="63">
        <v>0</v>
      </c>
      <c r="CI78" s="63">
        <v>0</v>
      </c>
      <c r="CJ78" s="63">
        <v>0</v>
      </c>
      <c r="CK78" s="63">
        <v>0</v>
      </c>
      <c r="CL78" s="63">
        <v>0</v>
      </c>
      <c r="CM78" s="63">
        <v>0</v>
      </c>
      <c r="CN78" s="63">
        <v>0</v>
      </c>
      <c r="CO78" s="63">
        <v>0</v>
      </c>
      <c r="CP78" s="63">
        <v>0</v>
      </c>
      <c r="CQ78" s="63">
        <v>0</v>
      </c>
      <c r="CR78" s="63">
        <v>0</v>
      </c>
      <c r="CS78" s="63">
        <v>1</v>
      </c>
      <c r="CT78" s="61">
        <f t="shared" si="0"/>
        <v>7</v>
      </c>
      <c r="CU78" s="61"/>
    </row>
    <row r="79" spans="1:99" ht="12.75">
      <c r="A79" s="61" t="s">
        <v>364</v>
      </c>
      <c r="B79" s="63">
        <v>0</v>
      </c>
      <c r="C79" s="63">
        <v>0</v>
      </c>
      <c r="D79" s="63">
        <v>0</v>
      </c>
      <c r="E79" s="63">
        <v>0</v>
      </c>
      <c r="F79" s="63">
        <v>0</v>
      </c>
      <c r="G79" s="63">
        <v>0</v>
      </c>
      <c r="H79" s="63">
        <v>0</v>
      </c>
      <c r="I79" s="63">
        <v>0</v>
      </c>
      <c r="J79" s="63">
        <v>0</v>
      </c>
      <c r="K79" s="63">
        <v>0</v>
      </c>
      <c r="L79" s="63">
        <v>0</v>
      </c>
      <c r="M79" s="63">
        <v>1</v>
      </c>
      <c r="N79" s="63">
        <v>0</v>
      </c>
      <c r="O79" s="63">
        <v>0</v>
      </c>
      <c r="P79" s="63">
        <v>0</v>
      </c>
      <c r="Q79" s="63">
        <v>0</v>
      </c>
      <c r="R79" s="63">
        <v>0</v>
      </c>
      <c r="S79" s="63">
        <v>0</v>
      </c>
      <c r="T79" s="63">
        <v>0</v>
      </c>
      <c r="U79" s="63">
        <v>0</v>
      </c>
      <c r="V79" s="63">
        <v>0</v>
      </c>
      <c r="W79" s="63">
        <v>0</v>
      </c>
      <c r="X79" s="63">
        <v>0</v>
      </c>
      <c r="Y79" s="63">
        <v>0</v>
      </c>
      <c r="Z79" s="63">
        <v>0</v>
      </c>
      <c r="AA79" s="63">
        <v>0</v>
      </c>
      <c r="AB79" s="63">
        <v>0</v>
      </c>
      <c r="AC79" s="63">
        <v>0</v>
      </c>
      <c r="AD79" s="63">
        <v>0</v>
      </c>
      <c r="AE79" s="63">
        <v>0</v>
      </c>
      <c r="AF79" s="63">
        <v>0</v>
      </c>
      <c r="AG79" s="63">
        <v>0</v>
      </c>
      <c r="AH79" s="63">
        <v>0</v>
      </c>
      <c r="AI79" s="63">
        <v>0</v>
      </c>
      <c r="AJ79" s="63">
        <v>0</v>
      </c>
      <c r="AK79" s="63">
        <v>0</v>
      </c>
      <c r="AL79" s="63">
        <v>0</v>
      </c>
      <c r="AM79" s="63">
        <v>1</v>
      </c>
      <c r="AN79" s="63">
        <v>0</v>
      </c>
      <c r="AO79" s="63">
        <v>0</v>
      </c>
      <c r="AP79" s="63">
        <v>0</v>
      </c>
      <c r="AQ79" s="63">
        <v>0</v>
      </c>
      <c r="AR79" s="63">
        <v>0</v>
      </c>
      <c r="AS79" s="63">
        <v>0</v>
      </c>
      <c r="AT79" s="63">
        <v>0</v>
      </c>
      <c r="AU79" s="63">
        <v>0</v>
      </c>
      <c r="AV79" s="63">
        <v>0</v>
      </c>
      <c r="AW79" s="63">
        <v>0</v>
      </c>
      <c r="AX79" s="63">
        <v>0</v>
      </c>
      <c r="AY79" s="63">
        <v>0</v>
      </c>
      <c r="AZ79" s="63">
        <v>0</v>
      </c>
      <c r="BA79" s="63">
        <v>1</v>
      </c>
      <c r="BB79" s="63">
        <v>0</v>
      </c>
      <c r="BC79" s="63">
        <v>0</v>
      </c>
      <c r="BD79" s="63">
        <v>0</v>
      </c>
      <c r="BE79" s="63">
        <v>0</v>
      </c>
      <c r="BF79" s="63">
        <v>0</v>
      </c>
      <c r="BG79" s="63">
        <v>0</v>
      </c>
      <c r="BH79" s="63">
        <v>0</v>
      </c>
      <c r="BI79" s="63">
        <v>0</v>
      </c>
      <c r="BJ79" s="63">
        <v>1</v>
      </c>
      <c r="BK79" s="63">
        <v>1</v>
      </c>
      <c r="BL79" s="63">
        <v>0</v>
      </c>
      <c r="BM79" s="63">
        <v>0</v>
      </c>
      <c r="BN79" s="63">
        <v>0</v>
      </c>
      <c r="BO79" s="63">
        <v>0</v>
      </c>
      <c r="BP79" s="63">
        <v>0</v>
      </c>
      <c r="BQ79" s="63">
        <v>0</v>
      </c>
      <c r="BR79" s="63">
        <v>0</v>
      </c>
      <c r="BS79" s="63">
        <v>0</v>
      </c>
      <c r="BT79" s="63">
        <v>0</v>
      </c>
      <c r="BU79" s="63">
        <v>0</v>
      </c>
      <c r="BV79" s="63">
        <v>0</v>
      </c>
      <c r="BW79" s="63">
        <v>0</v>
      </c>
      <c r="BX79" s="63">
        <v>0</v>
      </c>
      <c r="BY79" s="63">
        <v>0</v>
      </c>
      <c r="BZ79" s="63">
        <v>0</v>
      </c>
      <c r="CA79" s="63">
        <v>1</v>
      </c>
      <c r="CB79" s="63">
        <v>0</v>
      </c>
      <c r="CC79" s="63">
        <v>0</v>
      </c>
      <c r="CD79" s="63">
        <v>0</v>
      </c>
      <c r="CE79" s="63">
        <v>0</v>
      </c>
      <c r="CF79" s="63">
        <v>0</v>
      </c>
      <c r="CG79" s="63">
        <v>0</v>
      </c>
      <c r="CH79" s="63">
        <v>0</v>
      </c>
      <c r="CI79" s="63">
        <v>0</v>
      </c>
      <c r="CJ79" s="63">
        <v>0</v>
      </c>
      <c r="CK79" s="63">
        <v>0</v>
      </c>
      <c r="CL79" s="63">
        <v>0</v>
      </c>
      <c r="CM79" s="63">
        <v>0</v>
      </c>
      <c r="CN79" s="63">
        <v>0</v>
      </c>
      <c r="CO79" s="63">
        <v>0</v>
      </c>
      <c r="CP79" s="63">
        <v>0</v>
      </c>
      <c r="CQ79" s="63">
        <v>0</v>
      </c>
      <c r="CR79" s="63">
        <v>0</v>
      </c>
      <c r="CS79" s="63">
        <v>0</v>
      </c>
      <c r="CT79" s="61">
        <f t="shared" si="0"/>
        <v>6</v>
      </c>
      <c r="CU79" s="61"/>
    </row>
    <row r="80" spans="1:99" ht="12.75">
      <c r="A80" s="61" t="s">
        <v>397</v>
      </c>
      <c r="B80" s="63">
        <v>0</v>
      </c>
      <c r="C80" s="63">
        <v>0</v>
      </c>
      <c r="D80" s="63">
        <v>0</v>
      </c>
      <c r="E80" s="63">
        <v>0</v>
      </c>
      <c r="F80" s="63">
        <v>0</v>
      </c>
      <c r="G80" s="63">
        <v>0</v>
      </c>
      <c r="H80" s="63">
        <v>0</v>
      </c>
      <c r="I80" s="63">
        <v>0</v>
      </c>
      <c r="J80" s="63">
        <v>0</v>
      </c>
      <c r="K80" s="63">
        <v>0</v>
      </c>
      <c r="L80" s="63">
        <v>0</v>
      </c>
      <c r="M80" s="63">
        <v>0</v>
      </c>
      <c r="N80" s="63">
        <v>0</v>
      </c>
      <c r="O80" s="63">
        <v>0</v>
      </c>
      <c r="P80" s="63">
        <v>0</v>
      </c>
      <c r="Q80" s="63">
        <v>0</v>
      </c>
      <c r="R80" s="63">
        <v>0</v>
      </c>
      <c r="S80" s="63">
        <v>0</v>
      </c>
      <c r="T80" s="63">
        <v>0</v>
      </c>
      <c r="U80" s="63">
        <v>0</v>
      </c>
      <c r="V80" s="63">
        <v>0</v>
      </c>
      <c r="W80" s="63">
        <v>0</v>
      </c>
      <c r="X80" s="63">
        <v>0</v>
      </c>
      <c r="Y80" s="63">
        <v>0</v>
      </c>
      <c r="Z80" s="63">
        <v>0</v>
      </c>
      <c r="AA80" s="63">
        <v>0</v>
      </c>
      <c r="AB80" s="63">
        <v>0</v>
      </c>
      <c r="AC80" s="63">
        <v>0</v>
      </c>
      <c r="AD80" s="63">
        <v>0</v>
      </c>
      <c r="AE80" s="63">
        <v>0</v>
      </c>
      <c r="AF80" s="63">
        <v>0</v>
      </c>
      <c r="AG80" s="63">
        <v>0</v>
      </c>
      <c r="AH80" s="63">
        <v>0</v>
      </c>
      <c r="AI80" s="63">
        <v>0</v>
      </c>
      <c r="AJ80" s="63">
        <v>0</v>
      </c>
      <c r="AK80" s="63">
        <v>0</v>
      </c>
      <c r="AL80" s="63">
        <v>0</v>
      </c>
      <c r="AM80" s="63">
        <v>0</v>
      </c>
      <c r="AN80" s="63">
        <v>0</v>
      </c>
      <c r="AO80" s="63">
        <v>0</v>
      </c>
      <c r="AP80" s="63">
        <v>1</v>
      </c>
      <c r="AQ80" s="63">
        <v>0</v>
      </c>
      <c r="AR80" s="63">
        <v>0</v>
      </c>
      <c r="AS80" s="63">
        <v>0</v>
      </c>
      <c r="AT80" s="63">
        <v>0</v>
      </c>
      <c r="AU80" s="63">
        <v>0</v>
      </c>
      <c r="AV80" s="63">
        <v>0</v>
      </c>
      <c r="AW80" s="63">
        <v>0</v>
      </c>
      <c r="AX80" s="63">
        <v>0</v>
      </c>
      <c r="AY80" s="63">
        <v>0</v>
      </c>
      <c r="AZ80" s="63">
        <v>0</v>
      </c>
      <c r="BA80" s="63">
        <v>0</v>
      </c>
      <c r="BB80" s="63">
        <v>0</v>
      </c>
      <c r="BC80" s="63">
        <v>0</v>
      </c>
      <c r="BD80" s="63">
        <v>0</v>
      </c>
      <c r="BE80" s="63">
        <v>0</v>
      </c>
      <c r="BF80" s="63">
        <v>0</v>
      </c>
      <c r="BG80" s="63">
        <v>0</v>
      </c>
      <c r="BH80" s="63">
        <v>0</v>
      </c>
      <c r="BI80" s="63">
        <v>0</v>
      </c>
      <c r="BJ80" s="63">
        <v>0</v>
      </c>
      <c r="BK80" s="63">
        <v>0</v>
      </c>
      <c r="BL80" s="63">
        <v>0</v>
      </c>
      <c r="BM80" s="63">
        <v>0</v>
      </c>
      <c r="BN80" s="63">
        <v>0</v>
      </c>
      <c r="BO80" s="63">
        <v>0</v>
      </c>
      <c r="BP80" s="63">
        <v>0</v>
      </c>
      <c r="BQ80" s="63">
        <v>0</v>
      </c>
      <c r="BR80" s="63">
        <v>0</v>
      </c>
      <c r="BS80" s="63">
        <v>0</v>
      </c>
      <c r="BT80" s="63">
        <v>0</v>
      </c>
      <c r="BU80" s="63">
        <v>0</v>
      </c>
      <c r="BV80" s="63">
        <v>0</v>
      </c>
      <c r="BW80" s="63">
        <v>0</v>
      </c>
      <c r="BX80" s="63">
        <v>0</v>
      </c>
      <c r="BY80" s="63">
        <v>0</v>
      </c>
      <c r="BZ80" s="63">
        <v>0</v>
      </c>
      <c r="CA80" s="63">
        <v>0</v>
      </c>
      <c r="CB80" s="63">
        <v>1</v>
      </c>
      <c r="CC80" s="63">
        <v>0</v>
      </c>
      <c r="CD80" s="63">
        <v>0</v>
      </c>
      <c r="CE80" s="63">
        <v>0</v>
      </c>
      <c r="CF80" s="63">
        <v>0</v>
      </c>
      <c r="CG80" s="63">
        <v>0</v>
      </c>
      <c r="CH80" s="63">
        <v>0</v>
      </c>
      <c r="CI80" s="63">
        <v>1</v>
      </c>
      <c r="CJ80" s="63">
        <v>0</v>
      </c>
      <c r="CK80" s="63">
        <v>0</v>
      </c>
      <c r="CL80" s="63">
        <v>0</v>
      </c>
      <c r="CM80" s="63">
        <v>0</v>
      </c>
      <c r="CN80" s="63">
        <v>0</v>
      </c>
      <c r="CO80" s="63">
        <v>0</v>
      </c>
      <c r="CP80" s="63">
        <v>0</v>
      </c>
      <c r="CQ80" s="63">
        <v>0</v>
      </c>
      <c r="CR80" s="63">
        <v>1</v>
      </c>
      <c r="CS80" s="63">
        <v>0</v>
      </c>
      <c r="CT80" s="61">
        <f t="shared" si="0"/>
        <v>4</v>
      </c>
      <c r="CU80" s="61"/>
    </row>
    <row r="81" spans="1:99" ht="12.75">
      <c r="A81" s="61" t="s">
        <v>311</v>
      </c>
      <c r="B81" s="63">
        <v>0</v>
      </c>
      <c r="C81" s="63">
        <v>0</v>
      </c>
      <c r="D81" s="63">
        <v>0</v>
      </c>
      <c r="E81" s="63">
        <v>0</v>
      </c>
      <c r="F81" s="63">
        <v>0</v>
      </c>
      <c r="G81" s="63">
        <v>0</v>
      </c>
      <c r="H81" s="63">
        <v>0</v>
      </c>
      <c r="I81" s="63">
        <v>0</v>
      </c>
      <c r="J81" s="63">
        <v>0</v>
      </c>
      <c r="K81" s="63">
        <v>0</v>
      </c>
      <c r="L81" s="63">
        <v>0</v>
      </c>
      <c r="M81" s="63">
        <v>0</v>
      </c>
      <c r="N81" s="63">
        <v>0</v>
      </c>
      <c r="O81" s="63">
        <v>0</v>
      </c>
      <c r="P81" s="63">
        <v>0</v>
      </c>
      <c r="Q81" s="63">
        <v>0</v>
      </c>
      <c r="R81" s="63">
        <v>0</v>
      </c>
      <c r="S81" s="63">
        <v>0</v>
      </c>
      <c r="T81" s="63">
        <v>0</v>
      </c>
      <c r="U81" s="63">
        <v>0</v>
      </c>
      <c r="V81" s="63">
        <v>0</v>
      </c>
      <c r="W81" s="63">
        <v>0</v>
      </c>
      <c r="X81" s="63">
        <v>1</v>
      </c>
      <c r="Y81" s="63">
        <v>0</v>
      </c>
      <c r="Z81" s="63">
        <v>0</v>
      </c>
      <c r="AA81" s="63">
        <v>0</v>
      </c>
      <c r="AB81" s="63">
        <v>0</v>
      </c>
      <c r="AC81" s="63">
        <v>0</v>
      </c>
      <c r="AD81" s="63">
        <v>0</v>
      </c>
      <c r="AE81" s="63">
        <v>0</v>
      </c>
      <c r="AF81" s="63">
        <v>0</v>
      </c>
      <c r="AG81" s="63">
        <v>0</v>
      </c>
      <c r="AH81" s="63">
        <v>0</v>
      </c>
      <c r="AI81" s="63">
        <v>0</v>
      </c>
      <c r="AJ81" s="63">
        <v>0</v>
      </c>
      <c r="AK81" s="63">
        <v>0</v>
      </c>
      <c r="AL81" s="63">
        <v>0</v>
      </c>
      <c r="AM81" s="63">
        <v>0</v>
      </c>
      <c r="AN81" s="63">
        <v>0</v>
      </c>
      <c r="AO81" s="63">
        <v>0</v>
      </c>
      <c r="AP81" s="63">
        <v>0</v>
      </c>
      <c r="AQ81" s="63">
        <v>0</v>
      </c>
      <c r="AR81" s="63">
        <v>0</v>
      </c>
      <c r="AS81" s="63">
        <v>0</v>
      </c>
      <c r="AT81" s="63">
        <v>0</v>
      </c>
      <c r="AU81" s="63">
        <v>0</v>
      </c>
      <c r="AV81" s="63">
        <v>0</v>
      </c>
      <c r="AW81" s="63">
        <v>0</v>
      </c>
      <c r="AX81" s="63">
        <v>0</v>
      </c>
      <c r="AY81" s="63">
        <v>0</v>
      </c>
      <c r="AZ81" s="63">
        <v>0</v>
      </c>
      <c r="BA81" s="63">
        <v>0</v>
      </c>
      <c r="BB81" s="63">
        <v>0</v>
      </c>
      <c r="BC81" s="63">
        <v>0</v>
      </c>
      <c r="BD81" s="63">
        <v>0</v>
      </c>
      <c r="BE81" s="63">
        <v>0</v>
      </c>
      <c r="BF81" s="63">
        <v>0</v>
      </c>
      <c r="BG81" s="63">
        <v>0</v>
      </c>
      <c r="BH81" s="63">
        <v>0</v>
      </c>
      <c r="BI81" s="63">
        <v>1</v>
      </c>
      <c r="BJ81" s="63">
        <v>0</v>
      </c>
      <c r="BK81" s="63">
        <v>0</v>
      </c>
      <c r="BL81" s="63">
        <v>0</v>
      </c>
      <c r="BM81" s="63">
        <v>0</v>
      </c>
      <c r="BN81" s="63">
        <v>0</v>
      </c>
      <c r="BO81" s="63">
        <v>0</v>
      </c>
      <c r="BP81" s="63">
        <v>0</v>
      </c>
      <c r="BQ81" s="63">
        <v>0</v>
      </c>
      <c r="BR81" s="63">
        <v>0</v>
      </c>
      <c r="BS81" s="63">
        <v>0</v>
      </c>
      <c r="BT81" s="63">
        <v>0</v>
      </c>
      <c r="BU81" s="63">
        <v>0</v>
      </c>
      <c r="BV81" s="63">
        <v>0</v>
      </c>
      <c r="BW81" s="63">
        <v>0</v>
      </c>
      <c r="BX81" s="63">
        <v>0</v>
      </c>
      <c r="BY81" s="63">
        <v>0</v>
      </c>
      <c r="BZ81" s="63">
        <v>0</v>
      </c>
      <c r="CA81" s="63">
        <v>0</v>
      </c>
      <c r="CB81" s="63">
        <v>0</v>
      </c>
      <c r="CC81" s="63">
        <v>1</v>
      </c>
      <c r="CD81" s="63">
        <v>1</v>
      </c>
      <c r="CE81" s="63">
        <v>0</v>
      </c>
      <c r="CF81" s="63">
        <v>0</v>
      </c>
      <c r="CG81" s="63">
        <v>0</v>
      </c>
      <c r="CH81" s="63">
        <v>0</v>
      </c>
      <c r="CI81" s="63">
        <v>0</v>
      </c>
      <c r="CJ81" s="63">
        <v>0</v>
      </c>
      <c r="CK81" s="63">
        <v>0</v>
      </c>
      <c r="CL81" s="63">
        <v>0</v>
      </c>
      <c r="CM81" s="63">
        <v>0</v>
      </c>
      <c r="CN81" s="63">
        <v>0</v>
      </c>
      <c r="CO81" s="63">
        <v>0</v>
      </c>
      <c r="CP81" s="63">
        <v>0</v>
      </c>
      <c r="CQ81" s="63">
        <v>0</v>
      </c>
      <c r="CR81" s="63">
        <v>0</v>
      </c>
      <c r="CS81" s="63">
        <v>0</v>
      </c>
      <c r="CT81" s="61">
        <f t="shared" si="0"/>
        <v>4</v>
      </c>
      <c r="CU81" s="61"/>
    </row>
    <row r="82" spans="1:99" ht="12.75">
      <c r="A82" s="61" t="s">
        <v>388</v>
      </c>
      <c r="B82" s="63">
        <v>0</v>
      </c>
      <c r="C82" s="63">
        <v>0</v>
      </c>
      <c r="D82" s="63">
        <v>0</v>
      </c>
      <c r="E82" s="63">
        <v>0</v>
      </c>
      <c r="F82" s="63">
        <v>0</v>
      </c>
      <c r="G82" s="63">
        <v>0</v>
      </c>
      <c r="H82" s="63">
        <v>0</v>
      </c>
      <c r="I82" s="63">
        <v>0</v>
      </c>
      <c r="J82" s="63">
        <v>1</v>
      </c>
      <c r="K82" s="63">
        <v>0</v>
      </c>
      <c r="L82" s="63">
        <v>0</v>
      </c>
      <c r="M82" s="63">
        <v>0</v>
      </c>
      <c r="N82" s="63">
        <v>0</v>
      </c>
      <c r="O82" s="63">
        <v>0</v>
      </c>
      <c r="P82" s="63">
        <v>0</v>
      </c>
      <c r="Q82" s="63">
        <v>0</v>
      </c>
      <c r="R82" s="63">
        <v>0</v>
      </c>
      <c r="S82" s="63">
        <v>0</v>
      </c>
      <c r="T82" s="63">
        <v>0</v>
      </c>
      <c r="U82" s="63">
        <v>0</v>
      </c>
      <c r="V82" s="63">
        <v>0</v>
      </c>
      <c r="W82" s="63">
        <v>0</v>
      </c>
      <c r="X82" s="63">
        <v>1</v>
      </c>
      <c r="Y82" s="63">
        <v>0</v>
      </c>
      <c r="Z82" s="63">
        <v>0</v>
      </c>
      <c r="AA82" s="63">
        <v>0</v>
      </c>
      <c r="AB82" s="63">
        <v>0</v>
      </c>
      <c r="AC82" s="63">
        <v>0</v>
      </c>
      <c r="AD82" s="63">
        <v>0</v>
      </c>
      <c r="AE82" s="63">
        <v>0</v>
      </c>
      <c r="AF82" s="63">
        <v>0</v>
      </c>
      <c r="AG82" s="63">
        <v>0</v>
      </c>
      <c r="AH82" s="63">
        <v>0</v>
      </c>
      <c r="AI82" s="63">
        <v>0</v>
      </c>
      <c r="AJ82" s="63">
        <v>0</v>
      </c>
      <c r="AK82" s="63">
        <v>0</v>
      </c>
      <c r="AL82" s="63">
        <v>0</v>
      </c>
      <c r="AM82" s="63">
        <v>0</v>
      </c>
      <c r="AN82" s="63">
        <v>0</v>
      </c>
      <c r="AO82" s="63">
        <v>0</v>
      </c>
      <c r="AP82" s="63">
        <v>0</v>
      </c>
      <c r="AQ82" s="63">
        <v>0</v>
      </c>
      <c r="AR82" s="63">
        <v>0</v>
      </c>
      <c r="AS82" s="63">
        <v>0</v>
      </c>
      <c r="AT82" s="63">
        <v>0</v>
      </c>
      <c r="AU82" s="63">
        <v>0</v>
      </c>
      <c r="AV82" s="63">
        <v>1</v>
      </c>
      <c r="AW82" s="63">
        <v>0</v>
      </c>
      <c r="AX82" s="63">
        <v>0</v>
      </c>
      <c r="AY82" s="63">
        <v>0</v>
      </c>
      <c r="AZ82" s="63">
        <v>0</v>
      </c>
      <c r="BA82" s="63">
        <v>0</v>
      </c>
      <c r="BB82" s="63">
        <v>0</v>
      </c>
      <c r="BC82" s="63">
        <v>0</v>
      </c>
      <c r="BD82" s="63">
        <v>1</v>
      </c>
      <c r="BE82" s="63">
        <v>0</v>
      </c>
      <c r="BF82" s="63">
        <v>0</v>
      </c>
      <c r="BG82" s="63">
        <v>0</v>
      </c>
      <c r="BH82" s="63">
        <v>0</v>
      </c>
      <c r="BI82" s="63">
        <v>1</v>
      </c>
      <c r="BJ82" s="63">
        <v>0</v>
      </c>
      <c r="BK82" s="63">
        <v>0</v>
      </c>
      <c r="BL82" s="63">
        <v>0</v>
      </c>
      <c r="BM82" s="63">
        <v>0</v>
      </c>
      <c r="BN82" s="63">
        <v>0</v>
      </c>
      <c r="BO82" s="63">
        <v>0</v>
      </c>
      <c r="BP82" s="63">
        <v>0</v>
      </c>
      <c r="BQ82" s="63">
        <v>0</v>
      </c>
      <c r="BR82" s="63">
        <v>0</v>
      </c>
      <c r="BS82" s="63">
        <v>0</v>
      </c>
      <c r="BT82" s="63">
        <v>0</v>
      </c>
      <c r="BU82" s="63">
        <v>0</v>
      </c>
      <c r="BV82" s="63">
        <v>0</v>
      </c>
      <c r="BW82" s="63">
        <v>0</v>
      </c>
      <c r="BX82" s="63">
        <v>0</v>
      </c>
      <c r="BY82" s="63">
        <v>0</v>
      </c>
      <c r="BZ82" s="63">
        <v>0</v>
      </c>
      <c r="CA82" s="63">
        <v>0</v>
      </c>
      <c r="CB82" s="63">
        <v>0</v>
      </c>
      <c r="CC82" s="63">
        <v>1</v>
      </c>
      <c r="CD82" s="63">
        <v>1</v>
      </c>
      <c r="CE82" s="63">
        <v>0</v>
      </c>
      <c r="CF82" s="63">
        <v>0</v>
      </c>
      <c r="CG82" s="63">
        <v>1</v>
      </c>
      <c r="CH82" s="63">
        <v>1</v>
      </c>
      <c r="CI82" s="63">
        <v>0</v>
      </c>
      <c r="CJ82" s="63">
        <v>0</v>
      </c>
      <c r="CK82" s="63">
        <v>0</v>
      </c>
      <c r="CL82" s="63">
        <v>0</v>
      </c>
      <c r="CM82" s="63">
        <v>1</v>
      </c>
      <c r="CN82" s="63">
        <v>0</v>
      </c>
      <c r="CO82" s="63">
        <v>0</v>
      </c>
      <c r="CP82" s="63">
        <v>0</v>
      </c>
      <c r="CQ82" s="63">
        <v>0</v>
      </c>
      <c r="CR82" s="63">
        <v>0</v>
      </c>
      <c r="CS82" s="63">
        <v>0</v>
      </c>
      <c r="CT82" s="61">
        <f t="shared" si="0"/>
        <v>10</v>
      </c>
      <c r="CU82" s="61"/>
    </row>
    <row r="83" spans="1:99" ht="12.75">
      <c r="A83" s="61" t="s">
        <v>369</v>
      </c>
      <c r="B83" s="63">
        <v>1</v>
      </c>
      <c r="C83" s="63">
        <v>0</v>
      </c>
      <c r="D83" s="63">
        <v>0</v>
      </c>
      <c r="E83" s="63">
        <v>0</v>
      </c>
      <c r="F83" s="63">
        <v>1</v>
      </c>
      <c r="G83" s="63">
        <v>1</v>
      </c>
      <c r="H83" s="63">
        <v>0</v>
      </c>
      <c r="I83" s="63">
        <v>0</v>
      </c>
      <c r="J83" s="63">
        <v>0</v>
      </c>
      <c r="K83" s="63">
        <v>0</v>
      </c>
      <c r="L83" s="63">
        <v>0</v>
      </c>
      <c r="M83" s="63">
        <v>0</v>
      </c>
      <c r="N83" s="63">
        <v>0</v>
      </c>
      <c r="O83" s="63">
        <v>0</v>
      </c>
      <c r="P83" s="63">
        <v>0</v>
      </c>
      <c r="Q83" s="63">
        <v>0</v>
      </c>
      <c r="R83" s="63">
        <v>0</v>
      </c>
      <c r="S83" s="63">
        <v>0</v>
      </c>
      <c r="T83" s="63">
        <v>0</v>
      </c>
      <c r="U83" s="63">
        <v>0</v>
      </c>
      <c r="V83" s="63">
        <v>0</v>
      </c>
      <c r="W83" s="63">
        <v>0</v>
      </c>
      <c r="X83" s="63">
        <v>0</v>
      </c>
      <c r="Y83" s="63">
        <v>0</v>
      </c>
      <c r="Z83" s="63">
        <v>0</v>
      </c>
      <c r="AA83" s="63">
        <v>0</v>
      </c>
      <c r="AB83" s="63">
        <v>0</v>
      </c>
      <c r="AC83" s="63">
        <v>0</v>
      </c>
      <c r="AD83" s="63">
        <v>0</v>
      </c>
      <c r="AE83" s="63">
        <v>0</v>
      </c>
      <c r="AF83" s="63">
        <v>0</v>
      </c>
      <c r="AG83" s="63">
        <v>0</v>
      </c>
      <c r="AH83" s="63">
        <v>0</v>
      </c>
      <c r="AI83" s="63">
        <v>0</v>
      </c>
      <c r="AJ83" s="63">
        <v>0</v>
      </c>
      <c r="AK83" s="63">
        <v>0</v>
      </c>
      <c r="AL83" s="63">
        <v>1</v>
      </c>
      <c r="AM83" s="63">
        <v>0</v>
      </c>
      <c r="AN83" s="63">
        <v>0</v>
      </c>
      <c r="AO83" s="63">
        <v>0</v>
      </c>
      <c r="AP83" s="63">
        <v>0</v>
      </c>
      <c r="AQ83" s="63">
        <v>1</v>
      </c>
      <c r="AR83" s="63">
        <v>0</v>
      </c>
      <c r="AS83" s="63">
        <v>1</v>
      </c>
      <c r="AT83" s="63">
        <v>0</v>
      </c>
      <c r="AU83" s="63">
        <v>0</v>
      </c>
      <c r="AV83" s="63">
        <v>0</v>
      </c>
      <c r="AW83" s="63">
        <v>0</v>
      </c>
      <c r="AX83" s="63">
        <v>0</v>
      </c>
      <c r="AY83" s="63">
        <v>0</v>
      </c>
      <c r="AZ83" s="63">
        <v>0</v>
      </c>
      <c r="BA83" s="63">
        <v>0</v>
      </c>
      <c r="BB83" s="63">
        <v>0</v>
      </c>
      <c r="BC83" s="63">
        <v>0</v>
      </c>
      <c r="BD83" s="63">
        <v>0</v>
      </c>
      <c r="BE83" s="63">
        <v>0</v>
      </c>
      <c r="BF83" s="63">
        <v>0</v>
      </c>
      <c r="BG83" s="63">
        <v>0</v>
      </c>
      <c r="BH83" s="63">
        <v>0</v>
      </c>
      <c r="BI83" s="63">
        <v>0</v>
      </c>
      <c r="BJ83" s="63">
        <v>0</v>
      </c>
      <c r="BK83" s="63">
        <v>0</v>
      </c>
      <c r="BL83" s="63">
        <v>0</v>
      </c>
      <c r="BM83" s="63">
        <v>0</v>
      </c>
      <c r="BN83" s="63">
        <v>0</v>
      </c>
      <c r="BO83" s="63">
        <v>0</v>
      </c>
      <c r="BP83" s="63">
        <v>0</v>
      </c>
      <c r="BQ83" s="63">
        <v>1</v>
      </c>
      <c r="BR83" s="63">
        <v>0</v>
      </c>
      <c r="BS83" s="63">
        <v>0</v>
      </c>
      <c r="BT83" s="63">
        <v>0</v>
      </c>
      <c r="BU83" s="63">
        <v>0</v>
      </c>
      <c r="BV83" s="63">
        <v>0</v>
      </c>
      <c r="BW83" s="63">
        <v>0</v>
      </c>
      <c r="BX83" s="63">
        <v>0</v>
      </c>
      <c r="BY83" s="63">
        <v>0</v>
      </c>
      <c r="BZ83" s="63">
        <v>0</v>
      </c>
      <c r="CA83" s="63">
        <v>0</v>
      </c>
      <c r="CB83" s="63">
        <v>0</v>
      </c>
      <c r="CC83" s="63">
        <v>0</v>
      </c>
      <c r="CD83" s="63">
        <v>0</v>
      </c>
      <c r="CE83" s="63">
        <v>1</v>
      </c>
      <c r="CF83" s="63">
        <v>0</v>
      </c>
      <c r="CG83" s="63">
        <v>0</v>
      </c>
      <c r="CH83" s="63">
        <v>0</v>
      </c>
      <c r="CI83" s="63">
        <v>0</v>
      </c>
      <c r="CJ83" s="63">
        <v>0</v>
      </c>
      <c r="CK83" s="63">
        <v>0</v>
      </c>
      <c r="CL83" s="63">
        <v>0</v>
      </c>
      <c r="CM83" s="63">
        <v>0</v>
      </c>
      <c r="CN83" s="63">
        <v>0</v>
      </c>
      <c r="CO83" s="63">
        <v>0</v>
      </c>
      <c r="CP83" s="63">
        <v>0</v>
      </c>
      <c r="CQ83" s="63">
        <v>0</v>
      </c>
      <c r="CR83" s="63">
        <v>0</v>
      </c>
      <c r="CS83" s="63">
        <v>0</v>
      </c>
      <c r="CT83" s="61">
        <f t="shared" si="0"/>
        <v>8</v>
      </c>
      <c r="CU83" s="61"/>
    </row>
    <row r="84" spans="1:99" ht="12.75">
      <c r="A84" s="61" t="s">
        <v>337</v>
      </c>
      <c r="B84" s="63">
        <v>0</v>
      </c>
      <c r="C84" s="63">
        <v>0</v>
      </c>
      <c r="D84" s="63">
        <v>0</v>
      </c>
      <c r="E84" s="63">
        <v>1</v>
      </c>
      <c r="F84" s="63">
        <v>0</v>
      </c>
      <c r="G84" s="63">
        <v>0</v>
      </c>
      <c r="H84" s="63">
        <v>0</v>
      </c>
      <c r="I84" s="63">
        <v>0</v>
      </c>
      <c r="J84" s="63">
        <v>0</v>
      </c>
      <c r="K84" s="63">
        <v>0</v>
      </c>
      <c r="L84" s="63">
        <v>0</v>
      </c>
      <c r="M84" s="63">
        <v>0</v>
      </c>
      <c r="N84" s="63">
        <v>0</v>
      </c>
      <c r="O84" s="63">
        <v>0</v>
      </c>
      <c r="P84" s="63">
        <v>1</v>
      </c>
      <c r="Q84" s="63">
        <v>0</v>
      </c>
      <c r="R84" s="63">
        <v>0</v>
      </c>
      <c r="S84" s="63">
        <v>0</v>
      </c>
      <c r="T84" s="63">
        <v>0</v>
      </c>
      <c r="U84" s="63">
        <v>0</v>
      </c>
      <c r="V84" s="63">
        <v>1</v>
      </c>
      <c r="W84" s="63">
        <v>0</v>
      </c>
      <c r="X84" s="63">
        <v>0</v>
      </c>
      <c r="Y84" s="63">
        <v>0</v>
      </c>
      <c r="Z84" s="63">
        <v>0</v>
      </c>
      <c r="AA84" s="63">
        <v>1</v>
      </c>
      <c r="AB84" s="63">
        <v>1</v>
      </c>
      <c r="AC84" s="63">
        <v>0</v>
      </c>
      <c r="AD84" s="63">
        <v>1</v>
      </c>
      <c r="AE84" s="63">
        <v>0</v>
      </c>
      <c r="AF84" s="63">
        <v>0</v>
      </c>
      <c r="AG84" s="63">
        <v>0</v>
      </c>
      <c r="AH84" s="63">
        <v>0</v>
      </c>
      <c r="AI84" s="63">
        <v>0</v>
      </c>
      <c r="AJ84" s="63">
        <v>1</v>
      </c>
      <c r="AK84" s="63">
        <v>0</v>
      </c>
      <c r="AL84" s="63">
        <v>0</v>
      </c>
      <c r="AM84" s="63">
        <v>0</v>
      </c>
      <c r="AN84" s="63">
        <v>1</v>
      </c>
      <c r="AO84" s="63">
        <v>0</v>
      </c>
      <c r="AP84" s="63">
        <v>0</v>
      </c>
      <c r="AQ84" s="63">
        <v>0</v>
      </c>
      <c r="AR84" s="63">
        <v>0</v>
      </c>
      <c r="AS84" s="63">
        <v>0</v>
      </c>
      <c r="AT84" s="63">
        <v>0</v>
      </c>
      <c r="AU84" s="63">
        <v>0</v>
      </c>
      <c r="AV84" s="63">
        <v>0</v>
      </c>
      <c r="AW84" s="63">
        <v>0</v>
      </c>
      <c r="AX84" s="63">
        <v>0</v>
      </c>
      <c r="AY84" s="63">
        <v>0</v>
      </c>
      <c r="AZ84" s="63">
        <v>0</v>
      </c>
      <c r="BA84" s="63">
        <v>0</v>
      </c>
      <c r="BB84" s="63">
        <v>0</v>
      </c>
      <c r="BC84" s="63">
        <v>0</v>
      </c>
      <c r="BD84" s="63">
        <v>0</v>
      </c>
      <c r="BE84" s="63">
        <v>0</v>
      </c>
      <c r="BF84" s="63">
        <v>0</v>
      </c>
      <c r="BG84" s="63">
        <v>0</v>
      </c>
      <c r="BH84" s="63">
        <v>0</v>
      </c>
      <c r="BI84" s="63">
        <v>0</v>
      </c>
      <c r="BJ84" s="63">
        <v>0</v>
      </c>
      <c r="BK84" s="63">
        <v>0</v>
      </c>
      <c r="BL84" s="63">
        <v>0</v>
      </c>
      <c r="BM84" s="63">
        <v>0</v>
      </c>
      <c r="BN84" s="63">
        <v>0</v>
      </c>
      <c r="BO84" s="63">
        <v>0</v>
      </c>
      <c r="BP84" s="63">
        <v>0</v>
      </c>
      <c r="BQ84" s="63">
        <v>0</v>
      </c>
      <c r="BR84" s="63">
        <v>0</v>
      </c>
      <c r="BS84" s="63">
        <v>0</v>
      </c>
      <c r="BT84" s="63">
        <v>0</v>
      </c>
      <c r="BU84" s="63">
        <v>0</v>
      </c>
      <c r="BV84" s="63">
        <v>0</v>
      </c>
      <c r="BW84" s="63">
        <v>0</v>
      </c>
      <c r="BX84" s="63">
        <v>0</v>
      </c>
      <c r="BY84" s="63">
        <v>0</v>
      </c>
      <c r="BZ84" s="63">
        <v>0</v>
      </c>
      <c r="CA84" s="63">
        <v>0</v>
      </c>
      <c r="CB84" s="63">
        <v>0</v>
      </c>
      <c r="CC84" s="63">
        <v>0</v>
      </c>
      <c r="CD84" s="63">
        <v>0</v>
      </c>
      <c r="CE84" s="63">
        <v>0</v>
      </c>
      <c r="CF84" s="63">
        <v>1</v>
      </c>
      <c r="CG84" s="63">
        <v>0</v>
      </c>
      <c r="CH84" s="63">
        <v>0</v>
      </c>
      <c r="CI84" s="63">
        <v>0</v>
      </c>
      <c r="CJ84" s="63">
        <v>0</v>
      </c>
      <c r="CK84" s="63">
        <v>0</v>
      </c>
      <c r="CL84" s="63">
        <v>0</v>
      </c>
      <c r="CM84" s="63">
        <v>0</v>
      </c>
      <c r="CN84" s="63">
        <v>0</v>
      </c>
      <c r="CO84" s="63">
        <v>0</v>
      </c>
      <c r="CP84" s="63">
        <v>0</v>
      </c>
      <c r="CQ84" s="63">
        <v>0</v>
      </c>
      <c r="CR84" s="63">
        <v>0</v>
      </c>
      <c r="CS84" s="63">
        <v>0</v>
      </c>
      <c r="CT84" s="61">
        <f t="shared" si="0"/>
        <v>9</v>
      </c>
      <c r="CU84" s="61"/>
    </row>
    <row r="85" spans="1:99" ht="12.75">
      <c r="A85" s="61" t="s">
        <v>328</v>
      </c>
      <c r="B85" s="63">
        <v>0</v>
      </c>
      <c r="C85" s="63">
        <v>0</v>
      </c>
      <c r="D85" s="63">
        <v>0</v>
      </c>
      <c r="E85" s="63">
        <v>0</v>
      </c>
      <c r="F85" s="63">
        <v>0</v>
      </c>
      <c r="G85" s="63">
        <v>0</v>
      </c>
      <c r="H85" s="63">
        <v>1</v>
      </c>
      <c r="I85" s="63">
        <v>0</v>
      </c>
      <c r="J85" s="63">
        <v>0</v>
      </c>
      <c r="K85" s="63">
        <v>0</v>
      </c>
      <c r="L85" s="63">
        <v>0</v>
      </c>
      <c r="M85" s="63">
        <v>0</v>
      </c>
      <c r="N85" s="63">
        <v>0</v>
      </c>
      <c r="O85" s="63">
        <v>0</v>
      </c>
      <c r="P85" s="63">
        <v>0</v>
      </c>
      <c r="Q85" s="63">
        <v>0</v>
      </c>
      <c r="R85" s="63">
        <v>0</v>
      </c>
      <c r="S85" s="63">
        <v>0</v>
      </c>
      <c r="T85" s="63">
        <v>0</v>
      </c>
      <c r="U85" s="63">
        <v>0</v>
      </c>
      <c r="V85" s="63">
        <v>0</v>
      </c>
      <c r="W85" s="63">
        <v>0</v>
      </c>
      <c r="X85" s="63">
        <v>1</v>
      </c>
      <c r="Y85" s="63">
        <v>0</v>
      </c>
      <c r="Z85" s="63">
        <v>0</v>
      </c>
      <c r="AA85" s="63">
        <v>0</v>
      </c>
      <c r="AB85" s="63">
        <v>0</v>
      </c>
      <c r="AC85" s="63">
        <v>0</v>
      </c>
      <c r="AD85" s="63">
        <v>0</v>
      </c>
      <c r="AE85" s="63">
        <v>0</v>
      </c>
      <c r="AF85" s="63">
        <v>0</v>
      </c>
      <c r="AG85" s="63">
        <v>1</v>
      </c>
      <c r="AH85" s="63">
        <v>0</v>
      </c>
      <c r="AI85" s="63">
        <v>0</v>
      </c>
      <c r="AJ85" s="63">
        <v>0</v>
      </c>
      <c r="AK85" s="63">
        <v>0</v>
      </c>
      <c r="AL85" s="63">
        <v>0</v>
      </c>
      <c r="AM85" s="63">
        <v>0</v>
      </c>
      <c r="AN85" s="63">
        <v>0</v>
      </c>
      <c r="AO85" s="63">
        <v>0</v>
      </c>
      <c r="AP85" s="63">
        <v>0</v>
      </c>
      <c r="AQ85" s="63">
        <v>0</v>
      </c>
      <c r="AR85" s="63">
        <v>0</v>
      </c>
      <c r="AS85" s="63">
        <v>0</v>
      </c>
      <c r="AT85" s="63">
        <v>0</v>
      </c>
      <c r="AU85" s="63">
        <v>0</v>
      </c>
      <c r="AV85" s="63">
        <v>0</v>
      </c>
      <c r="AW85" s="63">
        <v>0</v>
      </c>
      <c r="AX85" s="63">
        <v>0</v>
      </c>
      <c r="AY85" s="63">
        <v>0</v>
      </c>
      <c r="AZ85" s="63">
        <v>0</v>
      </c>
      <c r="BA85" s="63">
        <v>1</v>
      </c>
      <c r="BB85" s="63">
        <v>0</v>
      </c>
      <c r="BC85" s="63">
        <v>0</v>
      </c>
      <c r="BD85" s="63">
        <v>0</v>
      </c>
      <c r="BE85" s="63">
        <v>0</v>
      </c>
      <c r="BF85" s="63">
        <v>0</v>
      </c>
      <c r="BG85" s="63">
        <v>0</v>
      </c>
      <c r="BH85" s="63">
        <v>0</v>
      </c>
      <c r="BI85" s="63">
        <v>0</v>
      </c>
      <c r="BJ85" s="63">
        <v>0</v>
      </c>
      <c r="BK85" s="63">
        <v>0</v>
      </c>
      <c r="BL85" s="63">
        <v>0</v>
      </c>
      <c r="BM85" s="63">
        <v>0</v>
      </c>
      <c r="BN85" s="63">
        <v>0</v>
      </c>
      <c r="BO85" s="63">
        <v>0</v>
      </c>
      <c r="BP85" s="63">
        <v>0</v>
      </c>
      <c r="BQ85" s="63">
        <v>0</v>
      </c>
      <c r="BR85" s="63">
        <v>0</v>
      </c>
      <c r="BS85" s="63">
        <v>0</v>
      </c>
      <c r="BT85" s="63">
        <v>0</v>
      </c>
      <c r="BU85" s="63">
        <v>0</v>
      </c>
      <c r="BV85" s="63">
        <v>0</v>
      </c>
      <c r="BW85" s="63">
        <v>0</v>
      </c>
      <c r="BX85" s="63">
        <v>0</v>
      </c>
      <c r="BY85" s="63">
        <v>0</v>
      </c>
      <c r="BZ85" s="63">
        <v>0</v>
      </c>
      <c r="CA85" s="63">
        <v>0</v>
      </c>
      <c r="CB85" s="63">
        <v>0</v>
      </c>
      <c r="CC85" s="63">
        <v>0</v>
      </c>
      <c r="CD85" s="63">
        <v>1</v>
      </c>
      <c r="CE85" s="63">
        <v>0</v>
      </c>
      <c r="CF85" s="63">
        <v>0</v>
      </c>
      <c r="CG85" s="63">
        <v>1</v>
      </c>
      <c r="CH85" s="63">
        <v>1</v>
      </c>
      <c r="CI85" s="63">
        <v>0</v>
      </c>
      <c r="CJ85" s="63">
        <v>0</v>
      </c>
      <c r="CK85" s="63">
        <v>0</v>
      </c>
      <c r="CL85" s="63">
        <v>0</v>
      </c>
      <c r="CM85" s="63">
        <v>0</v>
      </c>
      <c r="CN85" s="63">
        <v>0</v>
      </c>
      <c r="CO85" s="63">
        <v>0</v>
      </c>
      <c r="CP85" s="63">
        <v>0</v>
      </c>
      <c r="CQ85" s="63">
        <v>0</v>
      </c>
      <c r="CR85" s="63">
        <v>0</v>
      </c>
      <c r="CS85" s="63">
        <v>0</v>
      </c>
      <c r="CT85" s="61">
        <f t="shared" si="0"/>
        <v>7</v>
      </c>
      <c r="CU85" s="61"/>
    </row>
    <row r="86" spans="1:99" ht="12.75">
      <c r="A86" s="61" t="s">
        <v>357</v>
      </c>
      <c r="B86" s="63">
        <v>0</v>
      </c>
      <c r="C86" s="63">
        <v>0</v>
      </c>
      <c r="D86" s="63">
        <v>0</v>
      </c>
      <c r="E86" s="63">
        <v>0</v>
      </c>
      <c r="F86" s="63">
        <v>0</v>
      </c>
      <c r="G86" s="63">
        <v>0</v>
      </c>
      <c r="H86" s="63">
        <v>0</v>
      </c>
      <c r="I86" s="63">
        <v>0</v>
      </c>
      <c r="J86" s="63">
        <v>0</v>
      </c>
      <c r="K86" s="63">
        <v>0</v>
      </c>
      <c r="L86" s="63">
        <v>0</v>
      </c>
      <c r="M86" s="63">
        <v>0</v>
      </c>
      <c r="N86" s="63">
        <v>0</v>
      </c>
      <c r="O86" s="63">
        <v>0</v>
      </c>
      <c r="P86" s="63">
        <v>0</v>
      </c>
      <c r="Q86" s="63">
        <v>0</v>
      </c>
      <c r="R86" s="63">
        <v>0</v>
      </c>
      <c r="S86" s="63">
        <v>0</v>
      </c>
      <c r="T86" s="63">
        <v>0</v>
      </c>
      <c r="U86" s="63">
        <v>0</v>
      </c>
      <c r="V86" s="63">
        <v>0</v>
      </c>
      <c r="W86" s="63">
        <v>0</v>
      </c>
      <c r="X86" s="63">
        <v>1</v>
      </c>
      <c r="Y86" s="63">
        <v>0</v>
      </c>
      <c r="Z86" s="63">
        <v>0</v>
      </c>
      <c r="AA86" s="63">
        <v>0</v>
      </c>
      <c r="AB86" s="63">
        <v>0</v>
      </c>
      <c r="AC86" s="63">
        <v>0</v>
      </c>
      <c r="AD86" s="63">
        <v>0</v>
      </c>
      <c r="AE86" s="63">
        <v>0</v>
      </c>
      <c r="AF86" s="63">
        <v>1</v>
      </c>
      <c r="AG86" s="63">
        <v>1</v>
      </c>
      <c r="AH86" s="63">
        <v>0</v>
      </c>
      <c r="AI86" s="63">
        <v>1</v>
      </c>
      <c r="AJ86" s="63">
        <v>0</v>
      </c>
      <c r="AK86" s="63">
        <v>0</v>
      </c>
      <c r="AL86" s="63">
        <v>0</v>
      </c>
      <c r="AM86" s="63">
        <v>0</v>
      </c>
      <c r="AN86" s="63">
        <v>0</v>
      </c>
      <c r="AO86" s="63">
        <v>0</v>
      </c>
      <c r="AP86" s="63">
        <v>0</v>
      </c>
      <c r="AQ86" s="63">
        <v>0</v>
      </c>
      <c r="AR86" s="63">
        <v>0</v>
      </c>
      <c r="AS86" s="63">
        <v>0</v>
      </c>
      <c r="AT86" s="63">
        <v>0</v>
      </c>
      <c r="AU86" s="63">
        <v>0</v>
      </c>
      <c r="AV86" s="63">
        <v>0</v>
      </c>
      <c r="AW86" s="63">
        <v>0</v>
      </c>
      <c r="AX86" s="63">
        <v>0</v>
      </c>
      <c r="AY86" s="63">
        <v>0</v>
      </c>
      <c r="AZ86" s="63">
        <v>0</v>
      </c>
      <c r="BA86" s="63">
        <v>0</v>
      </c>
      <c r="BB86" s="63">
        <v>0</v>
      </c>
      <c r="BC86" s="63">
        <v>0</v>
      </c>
      <c r="BD86" s="63">
        <v>0</v>
      </c>
      <c r="BE86" s="63">
        <v>0</v>
      </c>
      <c r="BF86" s="63">
        <v>0</v>
      </c>
      <c r="BG86" s="63">
        <v>0</v>
      </c>
      <c r="BH86" s="63">
        <v>0</v>
      </c>
      <c r="BI86" s="63">
        <v>0</v>
      </c>
      <c r="BJ86" s="63">
        <v>0</v>
      </c>
      <c r="BK86" s="63">
        <v>0</v>
      </c>
      <c r="BL86" s="63">
        <v>0</v>
      </c>
      <c r="BM86" s="63">
        <v>0</v>
      </c>
      <c r="BN86" s="63">
        <v>0</v>
      </c>
      <c r="BO86" s="63">
        <v>0</v>
      </c>
      <c r="BP86" s="63">
        <v>0</v>
      </c>
      <c r="BQ86" s="63">
        <v>0</v>
      </c>
      <c r="BR86" s="63">
        <v>0</v>
      </c>
      <c r="BS86" s="63">
        <v>0</v>
      </c>
      <c r="BT86" s="63">
        <v>0</v>
      </c>
      <c r="BU86" s="63">
        <v>1</v>
      </c>
      <c r="BV86" s="63">
        <v>0</v>
      </c>
      <c r="BW86" s="63">
        <v>0</v>
      </c>
      <c r="BX86" s="63">
        <v>0</v>
      </c>
      <c r="BY86" s="63">
        <v>0</v>
      </c>
      <c r="BZ86" s="63">
        <v>0</v>
      </c>
      <c r="CA86" s="63">
        <v>0</v>
      </c>
      <c r="CB86" s="63">
        <v>0</v>
      </c>
      <c r="CC86" s="63">
        <v>0</v>
      </c>
      <c r="CD86" s="63">
        <v>1</v>
      </c>
      <c r="CE86" s="63">
        <v>0</v>
      </c>
      <c r="CF86" s="63">
        <v>0</v>
      </c>
      <c r="CG86" s="63">
        <v>1</v>
      </c>
      <c r="CH86" s="63">
        <v>1</v>
      </c>
      <c r="CI86" s="63">
        <v>0</v>
      </c>
      <c r="CJ86" s="63">
        <v>0</v>
      </c>
      <c r="CK86" s="63">
        <v>0</v>
      </c>
      <c r="CL86" s="63">
        <v>0</v>
      </c>
      <c r="CM86" s="63">
        <v>1</v>
      </c>
      <c r="CN86" s="63">
        <v>0</v>
      </c>
      <c r="CO86" s="63">
        <v>0</v>
      </c>
      <c r="CP86" s="63">
        <v>0</v>
      </c>
      <c r="CQ86" s="63">
        <v>0</v>
      </c>
      <c r="CR86" s="63">
        <v>0</v>
      </c>
      <c r="CS86" s="63">
        <v>0</v>
      </c>
      <c r="CT86" s="61">
        <f t="shared" si="0"/>
        <v>9</v>
      </c>
      <c r="CU86" s="61"/>
    </row>
    <row r="87" spans="1:99" ht="12.75">
      <c r="A87" s="61" t="s">
        <v>390</v>
      </c>
      <c r="B87" s="63">
        <v>0</v>
      </c>
      <c r="C87" s="63">
        <v>0</v>
      </c>
      <c r="D87" s="63">
        <v>0</v>
      </c>
      <c r="E87" s="63">
        <v>0</v>
      </c>
      <c r="F87" s="63">
        <v>0</v>
      </c>
      <c r="G87" s="63">
        <v>0</v>
      </c>
      <c r="H87" s="63">
        <v>0</v>
      </c>
      <c r="I87" s="63">
        <v>0</v>
      </c>
      <c r="J87" s="63">
        <v>0</v>
      </c>
      <c r="K87" s="63">
        <v>0</v>
      </c>
      <c r="L87" s="63">
        <v>0</v>
      </c>
      <c r="M87" s="63">
        <v>0</v>
      </c>
      <c r="N87" s="63">
        <v>0</v>
      </c>
      <c r="O87" s="63">
        <v>0</v>
      </c>
      <c r="P87" s="63">
        <v>0</v>
      </c>
      <c r="Q87" s="63">
        <v>0</v>
      </c>
      <c r="R87" s="63">
        <v>0</v>
      </c>
      <c r="S87" s="63">
        <v>0</v>
      </c>
      <c r="T87" s="63">
        <v>0</v>
      </c>
      <c r="U87" s="63">
        <v>0</v>
      </c>
      <c r="V87" s="63">
        <v>0</v>
      </c>
      <c r="W87" s="63">
        <v>0</v>
      </c>
      <c r="X87" s="63">
        <v>0</v>
      </c>
      <c r="Y87" s="63">
        <v>0</v>
      </c>
      <c r="Z87" s="63">
        <v>0</v>
      </c>
      <c r="AA87" s="63">
        <v>0</v>
      </c>
      <c r="AB87" s="63">
        <v>0</v>
      </c>
      <c r="AC87" s="63">
        <v>0</v>
      </c>
      <c r="AD87" s="63">
        <v>0</v>
      </c>
      <c r="AE87" s="63">
        <v>0</v>
      </c>
      <c r="AF87" s="63">
        <v>0</v>
      </c>
      <c r="AG87" s="63">
        <v>0</v>
      </c>
      <c r="AH87" s="63">
        <v>0</v>
      </c>
      <c r="AI87" s="63">
        <v>0</v>
      </c>
      <c r="AJ87" s="63">
        <v>0</v>
      </c>
      <c r="AK87" s="63">
        <v>0</v>
      </c>
      <c r="AL87" s="63">
        <v>0</v>
      </c>
      <c r="AM87" s="63">
        <v>0</v>
      </c>
      <c r="AN87" s="63">
        <v>0</v>
      </c>
      <c r="AO87" s="63">
        <v>0</v>
      </c>
      <c r="AP87" s="63">
        <v>1</v>
      </c>
      <c r="AQ87" s="63">
        <v>0</v>
      </c>
      <c r="AR87" s="63">
        <v>0</v>
      </c>
      <c r="AS87" s="63">
        <v>0</v>
      </c>
      <c r="AT87" s="63">
        <v>0</v>
      </c>
      <c r="AU87" s="63">
        <v>0</v>
      </c>
      <c r="AV87" s="63">
        <v>0</v>
      </c>
      <c r="AW87" s="63">
        <v>0</v>
      </c>
      <c r="AX87" s="63">
        <v>0</v>
      </c>
      <c r="AY87" s="63">
        <v>0</v>
      </c>
      <c r="AZ87" s="63">
        <v>0</v>
      </c>
      <c r="BA87" s="63">
        <v>0</v>
      </c>
      <c r="BB87" s="63">
        <v>0</v>
      </c>
      <c r="BC87" s="63">
        <v>0</v>
      </c>
      <c r="BD87" s="63">
        <v>0</v>
      </c>
      <c r="BE87" s="63">
        <v>0</v>
      </c>
      <c r="BF87" s="63">
        <v>0</v>
      </c>
      <c r="BG87" s="63">
        <v>0</v>
      </c>
      <c r="BH87" s="63">
        <v>0</v>
      </c>
      <c r="BI87" s="63">
        <v>0</v>
      </c>
      <c r="BJ87" s="63">
        <v>0</v>
      </c>
      <c r="BK87" s="63">
        <v>0</v>
      </c>
      <c r="BL87" s="63">
        <v>0</v>
      </c>
      <c r="BM87" s="63">
        <v>1</v>
      </c>
      <c r="BN87" s="63">
        <v>0</v>
      </c>
      <c r="BO87" s="63">
        <v>0</v>
      </c>
      <c r="BP87" s="63">
        <v>0</v>
      </c>
      <c r="BQ87" s="63">
        <v>0</v>
      </c>
      <c r="BR87" s="63">
        <v>0</v>
      </c>
      <c r="BS87" s="63">
        <v>0</v>
      </c>
      <c r="BT87" s="63">
        <v>0</v>
      </c>
      <c r="BU87" s="63">
        <v>0</v>
      </c>
      <c r="BV87" s="63">
        <v>0</v>
      </c>
      <c r="BW87" s="63">
        <v>0</v>
      </c>
      <c r="BX87" s="63">
        <v>0</v>
      </c>
      <c r="BY87" s="63">
        <v>0</v>
      </c>
      <c r="BZ87" s="63">
        <v>0</v>
      </c>
      <c r="CA87" s="63">
        <v>0</v>
      </c>
      <c r="CB87" s="63">
        <v>1</v>
      </c>
      <c r="CC87" s="63">
        <v>0</v>
      </c>
      <c r="CD87" s="63">
        <v>0</v>
      </c>
      <c r="CE87" s="63">
        <v>0</v>
      </c>
      <c r="CF87" s="63">
        <v>0</v>
      </c>
      <c r="CG87" s="63">
        <v>0</v>
      </c>
      <c r="CH87" s="63">
        <v>0</v>
      </c>
      <c r="CI87" s="63">
        <v>1</v>
      </c>
      <c r="CJ87" s="63">
        <v>0</v>
      </c>
      <c r="CK87" s="63">
        <v>0</v>
      </c>
      <c r="CL87" s="63">
        <v>0</v>
      </c>
      <c r="CM87" s="63">
        <v>0</v>
      </c>
      <c r="CN87" s="63">
        <v>0</v>
      </c>
      <c r="CO87" s="63">
        <v>0</v>
      </c>
      <c r="CP87" s="63">
        <v>0</v>
      </c>
      <c r="CQ87" s="63">
        <v>0</v>
      </c>
      <c r="CR87" s="63">
        <v>1</v>
      </c>
      <c r="CS87" s="63">
        <v>0</v>
      </c>
      <c r="CT87" s="61">
        <f t="shared" si="0"/>
        <v>5</v>
      </c>
      <c r="CU87" s="61"/>
    </row>
    <row r="88" spans="1:99" ht="12.75">
      <c r="A88" s="61" t="s">
        <v>395</v>
      </c>
      <c r="B88" s="63">
        <v>0</v>
      </c>
      <c r="C88" s="63">
        <v>0</v>
      </c>
      <c r="D88" s="63">
        <v>0</v>
      </c>
      <c r="E88" s="63">
        <v>0</v>
      </c>
      <c r="F88" s="63">
        <v>0</v>
      </c>
      <c r="G88" s="63">
        <v>0</v>
      </c>
      <c r="H88" s="63">
        <v>0</v>
      </c>
      <c r="I88" s="63">
        <v>0</v>
      </c>
      <c r="J88" s="63">
        <v>0</v>
      </c>
      <c r="K88" s="63">
        <v>0</v>
      </c>
      <c r="L88" s="63">
        <v>0</v>
      </c>
      <c r="M88" s="63">
        <v>0</v>
      </c>
      <c r="N88" s="63">
        <v>0</v>
      </c>
      <c r="O88" s="63">
        <v>0</v>
      </c>
      <c r="P88" s="63">
        <v>0</v>
      </c>
      <c r="Q88" s="63">
        <v>0</v>
      </c>
      <c r="R88" s="63">
        <v>0</v>
      </c>
      <c r="S88" s="63">
        <v>0</v>
      </c>
      <c r="T88" s="63">
        <v>0</v>
      </c>
      <c r="U88" s="63">
        <v>0</v>
      </c>
      <c r="V88" s="63">
        <v>0</v>
      </c>
      <c r="W88" s="63">
        <v>0</v>
      </c>
      <c r="X88" s="63">
        <v>0</v>
      </c>
      <c r="Y88" s="63">
        <v>0</v>
      </c>
      <c r="Z88" s="63">
        <v>0</v>
      </c>
      <c r="AA88" s="63">
        <v>0</v>
      </c>
      <c r="AB88" s="63">
        <v>0</v>
      </c>
      <c r="AC88" s="63">
        <v>0</v>
      </c>
      <c r="AD88" s="63">
        <v>0</v>
      </c>
      <c r="AE88" s="63">
        <v>0</v>
      </c>
      <c r="AF88" s="63">
        <v>0</v>
      </c>
      <c r="AG88" s="63">
        <v>0</v>
      </c>
      <c r="AH88" s="63">
        <v>0</v>
      </c>
      <c r="AI88" s="63">
        <v>0</v>
      </c>
      <c r="AJ88" s="63">
        <v>0</v>
      </c>
      <c r="AK88" s="63">
        <v>0</v>
      </c>
      <c r="AL88" s="63">
        <v>0</v>
      </c>
      <c r="AM88" s="63">
        <v>0</v>
      </c>
      <c r="AN88" s="63">
        <v>0</v>
      </c>
      <c r="AO88" s="63">
        <v>0</v>
      </c>
      <c r="AP88" s="63">
        <v>0</v>
      </c>
      <c r="AQ88" s="63">
        <v>0</v>
      </c>
      <c r="AR88" s="63">
        <v>0</v>
      </c>
      <c r="AS88" s="63">
        <v>0</v>
      </c>
      <c r="AT88" s="63">
        <v>0</v>
      </c>
      <c r="AU88" s="63">
        <v>0</v>
      </c>
      <c r="AV88" s="63">
        <v>0</v>
      </c>
      <c r="AW88" s="63">
        <v>0</v>
      </c>
      <c r="AX88" s="63">
        <v>1</v>
      </c>
      <c r="AY88" s="63">
        <v>1</v>
      </c>
      <c r="AZ88" s="63">
        <v>0</v>
      </c>
      <c r="BA88" s="63">
        <v>0</v>
      </c>
      <c r="BB88" s="63">
        <v>1</v>
      </c>
      <c r="BC88" s="63">
        <v>0</v>
      </c>
      <c r="BD88" s="63">
        <v>0</v>
      </c>
      <c r="BE88" s="63">
        <v>0</v>
      </c>
      <c r="BF88" s="63">
        <v>0</v>
      </c>
      <c r="BG88" s="63">
        <v>0</v>
      </c>
      <c r="BH88" s="63">
        <v>0</v>
      </c>
      <c r="BI88" s="63">
        <v>0</v>
      </c>
      <c r="BJ88" s="63">
        <v>0</v>
      </c>
      <c r="BK88" s="63">
        <v>0</v>
      </c>
      <c r="BL88" s="63">
        <v>1</v>
      </c>
      <c r="BM88" s="63">
        <v>1</v>
      </c>
      <c r="BN88" s="63">
        <v>0</v>
      </c>
      <c r="BO88" s="63">
        <v>0</v>
      </c>
      <c r="BP88" s="63">
        <v>0</v>
      </c>
      <c r="BQ88" s="63">
        <v>0</v>
      </c>
      <c r="BR88" s="63">
        <v>0</v>
      </c>
      <c r="BS88" s="63">
        <v>0</v>
      </c>
      <c r="BT88" s="63">
        <v>0</v>
      </c>
      <c r="BU88" s="63">
        <v>0</v>
      </c>
      <c r="BV88" s="63">
        <v>0</v>
      </c>
      <c r="BW88" s="63">
        <v>0</v>
      </c>
      <c r="BX88" s="63">
        <v>1</v>
      </c>
      <c r="BY88" s="63">
        <v>0</v>
      </c>
      <c r="BZ88" s="63">
        <v>0</v>
      </c>
      <c r="CA88" s="63">
        <v>0</v>
      </c>
      <c r="CB88" s="63">
        <v>0</v>
      </c>
      <c r="CC88" s="63">
        <v>0</v>
      </c>
      <c r="CD88" s="63">
        <v>0</v>
      </c>
      <c r="CE88" s="63">
        <v>0</v>
      </c>
      <c r="CF88" s="63">
        <v>0</v>
      </c>
      <c r="CG88" s="63">
        <v>0</v>
      </c>
      <c r="CH88" s="63">
        <v>0</v>
      </c>
      <c r="CI88" s="63">
        <v>0</v>
      </c>
      <c r="CJ88" s="63">
        <v>1</v>
      </c>
      <c r="CK88" s="63">
        <v>0</v>
      </c>
      <c r="CL88" s="63">
        <v>0</v>
      </c>
      <c r="CM88" s="63">
        <v>0</v>
      </c>
      <c r="CN88" s="63">
        <v>0</v>
      </c>
      <c r="CO88" s="63">
        <v>0</v>
      </c>
      <c r="CP88" s="63">
        <v>0</v>
      </c>
      <c r="CQ88" s="63">
        <v>1</v>
      </c>
      <c r="CR88" s="63">
        <v>1</v>
      </c>
      <c r="CS88" s="63">
        <v>0</v>
      </c>
      <c r="CT88" s="61">
        <f t="shared" si="0"/>
        <v>9</v>
      </c>
      <c r="CU88" s="61"/>
    </row>
    <row r="89" spans="1:99" ht="12.75">
      <c r="A89" s="61" t="s">
        <v>326</v>
      </c>
      <c r="B89" s="63">
        <v>0</v>
      </c>
      <c r="C89" s="63">
        <v>0</v>
      </c>
      <c r="D89" s="63">
        <v>0</v>
      </c>
      <c r="E89" s="63">
        <v>0</v>
      </c>
      <c r="F89" s="63">
        <v>0</v>
      </c>
      <c r="G89" s="63">
        <v>0</v>
      </c>
      <c r="H89" s="63">
        <v>0</v>
      </c>
      <c r="I89" s="63">
        <v>0</v>
      </c>
      <c r="J89" s="63">
        <v>0</v>
      </c>
      <c r="K89" s="63">
        <v>0</v>
      </c>
      <c r="L89" s="63">
        <v>0</v>
      </c>
      <c r="M89" s="63">
        <v>0</v>
      </c>
      <c r="N89" s="63">
        <v>0</v>
      </c>
      <c r="O89" s="63">
        <v>0</v>
      </c>
      <c r="P89" s="63">
        <v>0</v>
      </c>
      <c r="Q89" s="63">
        <v>0</v>
      </c>
      <c r="R89" s="63">
        <v>0</v>
      </c>
      <c r="S89" s="63">
        <v>0</v>
      </c>
      <c r="T89" s="63">
        <v>0</v>
      </c>
      <c r="U89" s="63">
        <v>0</v>
      </c>
      <c r="V89" s="63">
        <v>0</v>
      </c>
      <c r="W89" s="63">
        <v>0</v>
      </c>
      <c r="X89" s="63">
        <v>0</v>
      </c>
      <c r="Y89" s="63">
        <v>0</v>
      </c>
      <c r="Z89" s="63">
        <v>0</v>
      </c>
      <c r="AA89" s="63">
        <v>0</v>
      </c>
      <c r="AB89" s="63">
        <v>0</v>
      </c>
      <c r="AC89" s="63">
        <v>0</v>
      </c>
      <c r="AD89" s="63">
        <v>0</v>
      </c>
      <c r="AE89" s="63">
        <v>0</v>
      </c>
      <c r="AF89" s="63">
        <v>0</v>
      </c>
      <c r="AG89" s="63">
        <v>0</v>
      </c>
      <c r="AH89" s="63">
        <v>0</v>
      </c>
      <c r="AI89" s="63">
        <v>0</v>
      </c>
      <c r="AJ89" s="63">
        <v>0</v>
      </c>
      <c r="AK89" s="63">
        <v>0</v>
      </c>
      <c r="AL89" s="63">
        <v>0</v>
      </c>
      <c r="AM89" s="63">
        <v>0</v>
      </c>
      <c r="AN89" s="63">
        <v>0</v>
      </c>
      <c r="AO89" s="63">
        <v>0</v>
      </c>
      <c r="AP89" s="63">
        <v>0</v>
      </c>
      <c r="AQ89" s="63">
        <v>0</v>
      </c>
      <c r="AR89" s="63">
        <v>0</v>
      </c>
      <c r="AS89" s="63">
        <v>0</v>
      </c>
      <c r="AT89" s="63">
        <v>0</v>
      </c>
      <c r="AU89" s="63">
        <v>0</v>
      </c>
      <c r="AV89" s="63">
        <v>0</v>
      </c>
      <c r="AW89" s="63">
        <v>0</v>
      </c>
      <c r="AX89" s="63">
        <v>0</v>
      </c>
      <c r="AY89" s="63">
        <v>0</v>
      </c>
      <c r="AZ89" s="63">
        <v>1</v>
      </c>
      <c r="BA89" s="63">
        <v>0</v>
      </c>
      <c r="BB89" s="63">
        <v>0</v>
      </c>
      <c r="BC89" s="63">
        <v>0</v>
      </c>
      <c r="BD89" s="63">
        <v>0</v>
      </c>
      <c r="BE89" s="63">
        <v>1</v>
      </c>
      <c r="BF89" s="63">
        <v>0</v>
      </c>
      <c r="BG89" s="63">
        <v>0</v>
      </c>
      <c r="BH89" s="63">
        <v>1</v>
      </c>
      <c r="BI89" s="63">
        <v>0</v>
      </c>
      <c r="BJ89" s="63">
        <v>0</v>
      </c>
      <c r="BK89" s="63">
        <v>0</v>
      </c>
      <c r="BL89" s="63">
        <v>0</v>
      </c>
      <c r="BM89" s="63">
        <v>0</v>
      </c>
      <c r="BN89" s="63">
        <v>0</v>
      </c>
      <c r="BO89" s="63">
        <v>0</v>
      </c>
      <c r="BP89" s="63">
        <v>0</v>
      </c>
      <c r="BQ89" s="63">
        <v>0</v>
      </c>
      <c r="BR89" s="63">
        <v>0</v>
      </c>
      <c r="BS89" s="63">
        <v>0</v>
      </c>
      <c r="BT89" s="63">
        <v>0</v>
      </c>
      <c r="BU89" s="63">
        <v>0</v>
      </c>
      <c r="BV89" s="63">
        <v>0</v>
      </c>
      <c r="BW89" s="63">
        <v>0</v>
      </c>
      <c r="BX89" s="63">
        <v>1</v>
      </c>
      <c r="BY89" s="63">
        <v>0</v>
      </c>
      <c r="BZ89" s="63">
        <v>0</v>
      </c>
      <c r="CA89" s="63">
        <v>0</v>
      </c>
      <c r="CB89" s="63">
        <v>0</v>
      </c>
      <c r="CC89" s="63">
        <v>0</v>
      </c>
      <c r="CD89" s="63">
        <v>0</v>
      </c>
      <c r="CE89" s="63">
        <v>0</v>
      </c>
      <c r="CF89" s="63">
        <v>0</v>
      </c>
      <c r="CG89" s="63">
        <v>0</v>
      </c>
      <c r="CH89" s="63">
        <v>0</v>
      </c>
      <c r="CI89" s="63">
        <v>0</v>
      </c>
      <c r="CJ89" s="63">
        <v>0</v>
      </c>
      <c r="CK89" s="63">
        <v>1</v>
      </c>
      <c r="CL89" s="63">
        <v>0</v>
      </c>
      <c r="CM89" s="63">
        <v>0</v>
      </c>
      <c r="CN89" s="63">
        <v>1</v>
      </c>
      <c r="CO89" s="63">
        <v>0</v>
      </c>
      <c r="CP89" s="63">
        <v>0</v>
      </c>
      <c r="CQ89" s="63">
        <v>0</v>
      </c>
      <c r="CR89" s="63">
        <v>0</v>
      </c>
      <c r="CS89" s="63">
        <v>0</v>
      </c>
      <c r="CT89" s="61">
        <f t="shared" si="0"/>
        <v>6</v>
      </c>
      <c r="CU89" s="61"/>
    </row>
    <row r="90" spans="1:99" ht="12.75">
      <c r="A90" s="61" t="s">
        <v>365</v>
      </c>
      <c r="B90" s="63">
        <v>0</v>
      </c>
      <c r="C90" s="63">
        <v>0</v>
      </c>
      <c r="D90" s="63">
        <v>0</v>
      </c>
      <c r="E90" s="63">
        <v>0</v>
      </c>
      <c r="F90" s="63">
        <v>0</v>
      </c>
      <c r="G90" s="63">
        <v>0</v>
      </c>
      <c r="H90" s="63">
        <v>0</v>
      </c>
      <c r="I90" s="63">
        <v>0</v>
      </c>
      <c r="J90" s="63">
        <v>0</v>
      </c>
      <c r="K90" s="63">
        <v>0</v>
      </c>
      <c r="L90" s="63">
        <v>0</v>
      </c>
      <c r="M90" s="63">
        <v>0</v>
      </c>
      <c r="N90" s="63">
        <v>0</v>
      </c>
      <c r="O90" s="63">
        <v>0</v>
      </c>
      <c r="P90" s="63">
        <v>0</v>
      </c>
      <c r="Q90" s="63">
        <v>0</v>
      </c>
      <c r="R90" s="63">
        <v>0</v>
      </c>
      <c r="S90" s="63">
        <v>0</v>
      </c>
      <c r="T90" s="63">
        <v>0</v>
      </c>
      <c r="U90" s="63">
        <v>0</v>
      </c>
      <c r="V90" s="63">
        <v>0</v>
      </c>
      <c r="W90" s="63">
        <v>1</v>
      </c>
      <c r="X90" s="63">
        <v>0</v>
      </c>
      <c r="Y90" s="63">
        <v>0</v>
      </c>
      <c r="Z90" s="63">
        <v>0</v>
      </c>
      <c r="AA90" s="63">
        <v>0</v>
      </c>
      <c r="AB90" s="63">
        <v>0</v>
      </c>
      <c r="AC90" s="63">
        <v>0</v>
      </c>
      <c r="AD90" s="63">
        <v>0</v>
      </c>
      <c r="AE90" s="63">
        <v>0</v>
      </c>
      <c r="AF90" s="63">
        <v>0</v>
      </c>
      <c r="AG90" s="63">
        <v>0</v>
      </c>
      <c r="AH90" s="63">
        <v>0</v>
      </c>
      <c r="AI90" s="63">
        <v>0</v>
      </c>
      <c r="AJ90" s="63">
        <v>0</v>
      </c>
      <c r="AK90" s="63">
        <v>0</v>
      </c>
      <c r="AL90" s="63">
        <v>0</v>
      </c>
      <c r="AM90" s="63">
        <v>0</v>
      </c>
      <c r="AN90" s="63">
        <v>0</v>
      </c>
      <c r="AO90" s="63">
        <v>0</v>
      </c>
      <c r="AP90" s="63">
        <v>0</v>
      </c>
      <c r="AQ90" s="63">
        <v>0</v>
      </c>
      <c r="AR90" s="63">
        <v>0</v>
      </c>
      <c r="AS90" s="63">
        <v>0</v>
      </c>
      <c r="AT90" s="63">
        <v>0</v>
      </c>
      <c r="AU90" s="63">
        <v>0</v>
      </c>
      <c r="AV90" s="63">
        <v>0</v>
      </c>
      <c r="AW90" s="63">
        <v>0</v>
      </c>
      <c r="AX90" s="63">
        <v>0</v>
      </c>
      <c r="AY90" s="63">
        <v>0</v>
      </c>
      <c r="AZ90" s="63">
        <v>0</v>
      </c>
      <c r="BA90" s="63">
        <v>0</v>
      </c>
      <c r="BB90" s="63">
        <v>0</v>
      </c>
      <c r="BC90" s="63">
        <v>1</v>
      </c>
      <c r="BD90" s="63">
        <v>0</v>
      </c>
      <c r="BE90" s="63">
        <v>0</v>
      </c>
      <c r="BF90" s="63">
        <v>0</v>
      </c>
      <c r="BG90" s="63">
        <v>0</v>
      </c>
      <c r="BH90" s="63">
        <v>0</v>
      </c>
      <c r="BI90" s="63">
        <v>0</v>
      </c>
      <c r="BJ90" s="63">
        <v>0</v>
      </c>
      <c r="BK90" s="63">
        <v>0</v>
      </c>
      <c r="BL90" s="63">
        <v>0</v>
      </c>
      <c r="BM90" s="63">
        <v>0</v>
      </c>
      <c r="BN90" s="63">
        <v>0</v>
      </c>
      <c r="BO90" s="63">
        <v>1</v>
      </c>
      <c r="BP90" s="63">
        <v>0</v>
      </c>
      <c r="BQ90" s="63">
        <v>0</v>
      </c>
      <c r="BR90" s="63">
        <v>0</v>
      </c>
      <c r="BS90" s="63">
        <v>1</v>
      </c>
      <c r="BT90" s="63">
        <v>0</v>
      </c>
      <c r="BU90" s="63">
        <v>0</v>
      </c>
      <c r="BV90" s="63">
        <v>0</v>
      </c>
      <c r="BW90" s="63">
        <v>0</v>
      </c>
      <c r="BX90" s="63">
        <v>0</v>
      </c>
      <c r="BY90" s="63">
        <v>0</v>
      </c>
      <c r="BZ90" s="63">
        <v>0</v>
      </c>
      <c r="CA90" s="63">
        <v>0</v>
      </c>
      <c r="CB90" s="63">
        <v>0</v>
      </c>
      <c r="CC90" s="63">
        <v>0</v>
      </c>
      <c r="CD90" s="63">
        <v>0</v>
      </c>
      <c r="CE90" s="63">
        <v>0</v>
      </c>
      <c r="CF90" s="63">
        <v>0</v>
      </c>
      <c r="CG90" s="63">
        <v>0</v>
      </c>
      <c r="CH90" s="63">
        <v>0</v>
      </c>
      <c r="CI90" s="63">
        <v>0</v>
      </c>
      <c r="CJ90" s="63">
        <v>0</v>
      </c>
      <c r="CK90" s="63">
        <v>0</v>
      </c>
      <c r="CL90" s="63">
        <v>1</v>
      </c>
      <c r="CM90" s="63">
        <v>0</v>
      </c>
      <c r="CN90" s="63">
        <v>1</v>
      </c>
      <c r="CO90" s="63">
        <v>0</v>
      </c>
      <c r="CP90" s="63">
        <v>0</v>
      </c>
      <c r="CQ90" s="63">
        <v>0</v>
      </c>
      <c r="CR90" s="63">
        <v>0</v>
      </c>
      <c r="CS90" s="63">
        <v>0</v>
      </c>
      <c r="CT90" s="61">
        <f t="shared" si="0"/>
        <v>6</v>
      </c>
      <c r="CU90" s="61"/>
    </row>
    <row r="91" spans="1:99" ht="12.75">
      <c r="A91" s="61" t="s">
        <v>399</v>
      </c>
      <c r="B91" s="63">
        <v>0</v>
      </c>
      <c r="C91" s="63">
        <v>0</v>
      </c>
      <c r="D91" s="63">
        <v>0</v>
      </c>
      <c r="E91" s="63">
        <v>0</v>
      </c>
      <c r="F91" s="63">
        <v>0</v>
      </c>
      <c r="G91" s="63">
        <v>0</v>
      </c>
      <c r="H91" s="63">
        <v>0</v>
      </c>
      <c r="I91" s="63">
        <v>0</v>
      </c>
      <c r="J91" s="63">
        <v>0</v>
      </c>
      <c r="K91" s="63">
        <v>0</v>
      </c>
      <c r="L91" s="63">
        <v>0</v>
      </c>
      <c r="M91" s="63">
        <v>0</v>
      </c>
      <c r="N91" s="63">
        <v>0</v>
      </c>
      <c r="O91" s="63">
        <v>0</v>
      </c>
      <c r="P91" s="63">
        <v>0</v>
      </c>
      <c r="Q91" s="63">
        <v>0</v>
      </c>
      <c r="R91" s="63">
        <v>0</v>
      </c>
      <c r="S91" s="63">
        <v>0</v>
      </c>
      <c r="T91" s="63">
        <v>0</v>
      </c>
      <c r="U91" s="63">
        <v>0</v>
      </c>
      <c r="V91" s="63">
        <v>0</v>
      </c>
      <c r="W91" s="63">
        <v>0</v>
      </c>
      <c r="X91" s="63">
        <v>0</v>
      </c>
      <c r="Y91" s="63">
        <v>0</v>
      </c>
      <c r="Z91" s="63">
        <v>0</v>
      </c>
      <c r="AA91" s="63">
        <v>0</v>
      </c>
      <c r="AB91" s="63">
        <v>0</v>
      </c>
      <c r="AC91" s="63">
        <v>0</v>
      </c>
      <c r="AD91" s="63">
        <v>0</v>
      </c>
      <c r="AE91" s="63">
        <v>0</v>
      </c>
      <c r="AF91" s="63">
        <v>0</v>
      </c>
      <c r="AG91" s="63">
        <v>0</v>
      </c>
      <c r="AH91" s="63">
        <v>0</v>
      </c>
      <c r="AI91" s="63">
        <v>0</v>
      </c>
      <c r="AJ91" s="63">
        <v>0</v>
      </c>
      <c r="AK91" s="63">
        <v>0</v>
      </c>
      <c r="AL91" s="63">
        <v>0</v>
      </c>
      <c r="AM91" s="63">
        <v>0</v>
      </c>
      <c r="AN91" s="63">
        <v>0</v>
      </c>
      <c r="AO91" s="63">
        <v>0</v>
      </c>
      <c r="AP91" s="63">
        <v>0</v>
      </c>
      <c r="AQ91" s="63">
        <v>0</v>
      </c>
      <c r="AR91" s="63">
        <v>0</v>
      </c>
      <c r="AS91" s="63">
        <v>0</v>
      </c>
      <c r="AT91" s="63">
        <v>0</v>
      </c>
      <c r="AU91" s="63">
        <v>0</v>
      </c>
      <c r="AV91" s="63">
        <v>0</v>
      </c>
      <c r="AW91" s="63">
        <v>0</v>
      </c>
      <c r="AX91" s="63">
        <v>0</v>
      </c>
      <c r="AY91" s="63">
        <v>0</v>
      </c>
      <c r="AZ91" s="63">
        <v>0</v>
      </c>
      <c r="BA91" s="63">
        <v>0</v>
      </c>
      <c r="BB91" s="63">
        <v>0</v>
      </c>
      <c r="BC91" s="63">
        <v>0</v>
      </c>
      <c r="BD91" s="63">
        <v>1</v>
      </c>
      <c r="BE91" s="63">
        <v>0</v>
      </c>
      <c r="BF91" s="63">
        <v>0</v>
      </c>
      <c r="BG91" s="63">
        <v>0</v>
      </c>
      <c r="BH91" s="63">
        <v>0</v>
      </c>
      <c r="BI91" s="63">
        <v>0</v>
      </c>
      <c r="BJ91" s="63">
        <v>0</v>
      </c>
      <c r="BK91" s="63">
        <v>0</v>
      </c>
      <c r="BL91" s="63">
        <v>0</v>
      </c>
      <c r="BM91" s="63">
        <v>0</v>
      </c>
      <c r="BN91" s="63">
        <v>0</v>
      </c>
      <c r="BO91" s="63">
        <v>0</v>
      </c>
      <c r="BP91" s="63">
        <v>0</v>
      </c>
      <c r="BQ91" s="63">
        <v>0</v>
      </c>
      <c r="BR91" s="63">
        <v>0</v>
      </c>
      <c r="BS91" s="63">
        <v>0</v>
      </c>
      <c r="BT91" s="63">
        <v>1</v>
      </c>
      <c r="BU91" s="63">
        <v>1</v>
      </c>
      <c r="BV91" s="63">
        <v>0</v>
      </c>
      <c r="BW91" s="63">
        <v>0</v>
      </c>
      <c r="BX91" s="63">
        <v>0</v>
      </c>
      <c r="BY91" s="63">
        <v>0</v>
      </c>
      <c r="BZ91" s="63">
        <v>0</v>
      </c>
      <c r="CA91" s="63">
        <v>0</v>
      </c>
      <c r="CB91" s="63">
        <v>0</v>
      </c>
      <c r="CC91" s="63">
        <v>0</v>
      </c>
      <c r="CD91" s="63">
        <v>1</v>
      </c>
      <c r="CE91" s="63">
        <v>0</v>
      </c>
      <c r="CF91" s="63">
        <v>0</v>
      </c>
      <c r="CG91" s="63">
        <v>0</v>
      </c>
      <c r="CH91" s="63">
        <v>1</v>
      </c>
      <c r="CI91" s="63">
        <v>0</v>
      </c>
      <c r="CJ91" s="63">
        <v>0</v>
      </c>
      <c r="CK91" s="63">
        <v>0</v>
      </c>
      <c r="CL91" s="63">
        <v>0</v>
      </c>
      <c r="CM91" s="63">
        <v>1</v>
      </c>
      <c r="CN91" s="63">
        <v>0</v>
      </c>
      <c r="CO91" s="63">
        <v>0</v>
      </c>
      <c r="CP91" s="63">
        <v>0</v>
      </c>
      <c r="CQ91" s="63">
        <v>0</v>
      </c>
      <c r="CR91" s="63">
        <v>0</v>
      </c>
      <c r="CS91" s="63">
        <v>0</v>
      </c>
      <c r="CT91" s="61">
        <f t="shared" si="0"/>
        <v>6</v>
      </c>
      <c r="CU91" s="61"/>
    </row>
    <row r="92" spans="1:99" ht="12.75">
      <c r="A92" s="61" t="s">
        <v>315</v>
      </c>
      <c r="B92" s="63">
        <v>0</v>
      </c>
      <c r="C92" s="63">
        <v>0</v>
      </c>
      <c r="D92" s="63">
        <v>0</v>
      </c>
      <c r="E92" s="63">
        <v>0</v>
      </c>
      <c r="F92" s="63">
        <v>0</v>
      </c>
      <c r="G92" s="63">
        <v>0</v>
      </c>
      <c r="H92" s="63">
        <v>0</v>
      </c>
      <c r="I92" s="63">
        <v>0</v>
      </c>
      <c r="J92" s="63">
        <v>0</v>
      </c>
      <c r="K92" s="63">
        <v>0</v>
      </c>
      <c r="L92" s="63">
        <v>0</v>
      </c>
      <c r="M92" s="63">
        <v>0</v>
      </c>
      <c r="N92" s="63">
        <v>0</v>
      </c>
      <c r="O92" s="63">
        <v>0</v>
      </c>
      <c r="P92" s="63">
        <v>0</v>
      </c>
      <c r="Q92" s="63">
        <v>0</v>
      </c>
      <c r="R92" s="63">
        <v>0</v>
      </c>
      <c r="S92" s="63">
        <v>0</v>
      </c>
      <c r="T92" s="63">
        <v>0</v>
      </c>
      <c r="U92" s="63">
        <v>0</v>
      </c>
      <c r="V92" s="63">
        <v>0</v>
      </c>
      <c r="W92" s="63">
        <v>0</v>
      </c>
      <c r="X92" s="63">
        <v>0</v>
      </c>
      <c r="Y92" s="63">
        <v>0</v>
      </c>
      <c r="Z92" s="63">
        <v>0</v>
      </c>
      <c r="AA92" s="63">
        <v>0</v>
      </c>
      <c r="AB92" s="63">
        <v>0</v>
      </c>
      <c r="AC92" s="63">
        <v>0</v>
      </c>
      <c r="AD92" s="63">
        <v>0</v>
      </c>
      <c r="AE92" s="63">
        <v>0</v>
      </c>
      <c r="AF92" s="63">
        <v>0</v>
      </c>
      <c r="AG92" s="63">
        <v>0</v>
      </c>
      <c r="AH92" s="63">
        <v>0</v>
      </c>
      <c r="AI92" s="63">
        <v>0</v>
      </c>
      <c r="AJ92" s="63">
        <v>0</v>
      </c>
      <c r="AK92" s="63">
        <v>0</v>
      </c>
      <c r="AL92" s="63">
        <v>0</v>
      </c>
      <c r="AM92" s="63">
        <v>0</v>
      </c>
      <c r="AN92" s="63">
        <v>0</v>
      </c>
      <c r="AO92" s="63">
        <v>0</v>
      </c>
      <c r="AP92" s="63">
        <v>0</v>
      </c>
      <c r="AQ92" s="63">
        <v>0</v>
      </c>
      <c r="AR92" s="63">
        <v>0</v>
      </c>
      <c r="AS92" s="63">
        <v>0</v>
      </c>
      <c r="AT92" s="63">
        <v>0</v>
      </c>
      <c r="AU92" s="63">
        <v>0</v>
      </c>
      <c r="AV92" s="63">
        <v>0</v>
      </c>
      <c r="AW92" s="63">
        <v>0</v>
      </c>
      <c r="AX92" s="63">
        <v>0</v>
      </c>
      <c r="AY92" s="63">
        <v>0</v>
      </c>
      <c r="AZ92" s="63">
        <v>0</v>
      </c>
      <c r="BA92" s="63">
        <v>0</v>
      </c>
      <c r="BB92" s="63">
        <v>0</v>
      </c>
      <c r="BC92" s="63">
        <v>1</v>
      </c>
      <c r="BD92" s="63">
        <v>0</v>
      </c>
      <c r="BE92" s="63">
        <v>1</v>
      </c>
      <c r="BF92" s="63">
        <v>0</v>
      </c>
      <c r="BG92" s="63">
        <v>0</v>
      </c>
      <c r="BH92" s="63">
        <v>0</v>
      </c>
      <c r="BI92" s="63">
        <v>0</v>
      </c>
      <c r="BJ92" s="63">
        <v>0</v>
      </c>
      <c r="BK92" s="63">
        <v>0</v>
      </c>
      <c r="BL92" s="63">
        <v>0</v>
      </c>
      <c r="BM92" s="63">
        <v>0</v>
      </c>
      <c r="BN92" s="63">
        <v>0</v>
      </c>
      <c r="BO92" s="63">
        <v>0</v>
      </c>
      <c r="BP92" s="63">
        <v>0</v>
      </c>
      <c r="BQ92" s="63">
        <v>0</v>
      </c>
      <c r="BR92" s="63">
        <v>0</v>
      </c>
      <c r="BS92" s="63">
        <v>1</v>
      </c>
      <c r="BT92" s="63">
        <v>0</v>
      </c>
      <c r="BU92" s="63">
        <v>0</v>
      </c>
      <c r="BV92" s="63">
        <v>0</v>
      </c>
      <c r="BW92" s="63">
        <v>0</v>
      </c>
      <c r="BX92" s="63">
        <v>1</v>
      </c>
      <c r="BY92" s="63">
        <v>0</v>
      </c>
      <c r="BZ92" s="63">
        <v>0</v>
      </c>
      <c r="CA92" s="63">
        <v>0</v>
      </c>
      <c r="CB92" s="63">
        <v>0</v>
      </c>
      <c r="CC92" s="63">
        <v>0</v>
      </c>
      <c r="CD92" s="63">
        <v>0</v>
      </c>
      <c r="CE92" s="63">
        <v>0</v>
      </c>
      <c r="CF92" s="63">
        <v>0</v>
      </c>
      <c r="CG92" s="63">
        <v>0</v>
      </c>
      <c r="CH92" s="63">
        <v>0</v>
      </c>
      <c r="CI92" s="63">
        <v>0</v>
      </c>
      <c r="CJ92" s="63">
        <v>0</v>
      </c>
      <c r="CK92" s="63">
        <v>1</v>
      </c>
      <c r="CL92" s="63">
        <v>1</v>
      </c>
      <c r="CM92" s="63">
        <v>0</v>
      </c>
      <c r="CN92" s="63">
        <v>1</v>
      </c>
      <c r="CO92" s="63">
        <v>0</v>
      </c>
      <c r="CP92" s="63">
        <v>0</v>
      </c>
      <c r="CQ92" s="63">
        <v>0</v>
      </c>
      <c r="CR92" s="63">
        <v>0</v>
      </c>
      <c r="CS92" s="63">
        <v>0</v>
      </c>
      <c r="CT92" s="61">
        <f t="shared" si="0"/>
        <v>7</v>
      </c>
      <c r="CU92" s="61"/>
    </row>
    <row r="93" spans="1:99" ht="12.75">
      <c r="A93" s="61" t="s">
        <v>387</v>
      </c>
      <c r="B93" s="63">
        <v>0</v>
      </c>
      <c r="C93" s="63">
        <v>0</v>
      </c>
      <c r="D93" s="63">
        <v>0</v>
      </c>
      <c r="E93" s="63">
        <v>0</v>
      </c>
      <c r="F93" s="63">
        <v>0</v>
      </c>
      <c r="G93" s="63">
        <v>0</v>
      </c>
      <c r="H93" s="63">
        <v>0</v>
      </c>
      <c r="I93" s="63">
        <v>0</v>
      </c>
      <c r="J93" s="63">
        <v>0</v>
      </c>
      <c r="K93" s="63">
        <v>0</v>
      </c>
      <c r="L93" s="63">
        <v>0</v>
      </c>
      <c r="M93" s="63">
        <v>0</v>
      </c>
      <c r="N93" s="63">
        <v>0</v>
      </c>
      <c r="O93" s="63">
        <v>0</v>
      </c>
      <c r="P93" s="63">
        <v>0</v>
      </c>
      <c r="Q93" s="63">
        <v>0</v>
      </c>
      <c r="R93" s="63">
        <v>0</v>
      </c>
      <c r="S93" s="63">
        <v>0</v>
      </c>
      <c r="T93" s="63">
        <v>0</v>
      </c>
      <c r="U93" s="63">
        <v>0</v>
      </c>
      <c r="V93" s="63">
        <v>0</v>
      </c>
      <c r="W93" s="63">
        <v>0</v>
      </c>
      <c r="X93" s="63">
        <v>0</v>
      </c>
      <c r="Y93" s="63">
        <v>0</v>
      </c>
      <c r="Z93" s="63">
        <v>0</v>
      </c>
      <c r="AA93" s="63">
        <v>0</v>
      </c>
      <c r="AB93" s="63">
        <v>0</v>
      </c>
      <c r="AC93" s="63">
        <v>0</v>
      </c>
      <c r="AD93" s="63">
        <v>0</v>
      </c>
      <c r="AE93" s="63">
        <v>0</v>
      </c>
      <c r="AF93" s="63">
        <v>0</v>
      </c>
      <c r="AG93" s="63">
        <v>0</v>
      </c>
      <c r="AH93" s="63">
        <v>0</v>
      </c>
      <c r="AI93" s="63">
        <v>0</v>
      </c>
      <c r="AJ93" s="63">
        <v>0</v>
      </c>
      <c r="AK93" s="63">
        <v>0</v>
      </c>
      <c r="AL93" s="63">
        <v>0</v>
      </c>
      <c r="AM93" s="63">
        <v>0</v>
      </c>
      <c r="AN93" s="63">
        <v>0</v>
      </c>
      <c r="AO93" s="63">
        <v>1</v>
      </c>
      <c r="AP93" s="63">
        <v>0</v>
      </c>
      <c r="AQ93" s="63">
        <v>0</v>
      </c>
      <c r="AR93" s="63">
        <v>0</v>
      </c>
      <c r="AS93" s="63">
        <v>0</v>
      </c>
      <c r="AT93" s="63">
        <v>0</v>
      </c>
      <c r="AU93" s="63">
        <v>0</v>
      </c>
      <c r="AV93" s="63">
        <v>0</v>
      </c>
      <c r="AW93" s="63">
        <v>0</v>
      </c>
      <c r="AX93" s="63">
        <v>0</v>
      </c>
      <c r="AY93" s="63">
        <v>0</v>
      </c>
      <c r="AZ93" s="63">
        <v>0</v>
      </c>
      <c r="BA93" s="63">
        <v>0</v>
      </c>
      <c r="BB93" s="63">
        <v>0</v>
      </c>
      <c r="BC93" s="63">
        <v>0</v>
      </c>
      <c r="BD93" s="63">
        <v>0</v>
      </c>
      <c r="BE93" s="63">
        <v>0</v>
      </c>
      <c r="BF93" s="63">
        <v>0</v>
      </c>
      <c r="BG93" s="63">
        <v>0</v>
      </c>
      <c r="BH93" s="63">
        <v>1</v>
      </c>
      <c r="BI93" s="63">
        <v>0</v>
      </c>
      <c r="BJ93" s="63">
        <v>0</v>
      </c>
      <c r="BK93" s="63">
        <v>0</v>
      </c>
      <c r="BL93" s="63">
        <v>0</v>
      </c>
      <c r="BM93" s="63">
        <v>0</v>
      </c>
      <c r="BN93" s="63">
        <v>0</v>
      </c>
      <c r="BO93" s="63">
        <v>0</v>
      </c>
      <c r="BP93" s="63">
        <v>0</v>
      </c>
      <c r="BQ93" s="63">
        <v>0</v>
      </c>
      <c r="BR93" s="63">
        <v>0</v>
      </c>
      <c r="BS93" s="63">
        <v>0</v>
      </c>
      <c r="BT93" s="63">
        <v>0</v>
      </c>
      <c r="BU93" s="63">
        <v>0</v>
      </c>
      <c r="BV93" s="63">
        <v>1</v>
      </c>
      <c r="BW93" s="63">
        <v>1</v>
      </c>
      <c r="BX93" s="63">
        <v>0</v>
      </c>
      <c r="BY93" s="63">
        <v>0</v>
      </c>
      <c r="BZ93" s="63">
        <v>0</v>
      </c>
      <c r="CA93" s="63">
        <v>0</v>
      </c>
      <c r="CB93" s="63">
        <v>0</v>
      </c>
      <c r="CC93" s="63">
        <v>0</v>
      </c>
      <c r="CD93" s="63">
        <v>0</v>
      </c>
      <c r="CE93" s="63">
        <v>0</v>
      </c>
      <c r="CF93" s="63">
        <v>0</v>
      </c>
      <c r="CG93" s="63">
        <v>0</v>
      </c>
      <c r="CH93" s="63">
        <v>0</v>
      </c>
      <c r="CI93" s="63">
        <v>0</v>
      </c>
      <c r="CJ93" s="63">
        <v>0</v>
      </c>
      <c r="CK93" s="63">
        <v>0</v>
      </c>
      <c r="CL93" s="63">
        <v>0</v>
      </c>
      <c r="CM93" s="63">
        <v>0</v>
      </c>
      <c r="CN93" s="63">
        <v>0</v>
      </c>
      <c r="CO93" s="63">
        <v>1</v>
      </c>
      <c r="CP93" s="63">
        <v>1</v>
      </c>
      <c r="CQ93" s="63">
        <v>0</v>
      </c>
      <c r="CR93" s="63">
        <v>0</v>
      </c>
      <c r="CS93" s="63">
        <v>0</v>
      </c>
      <c r="CT93" s="61">
        <f t="shared" si="0"/>
        <v>6</v>
      </c>
      <c r="CU93" s="61"/>
    </row>
    <row r="94" spans="1:99" ht="12.75">
      <c r="A94" s="61" t="s">
        <v>303</v>
      </c>
      <c r="B94" s="63">
        <v>0</v>
      </c>
      <c r="C94" s="63">
        <v>0</v>
      </c>
      <c r="D94" s="63">
        <v>0</v>
      </c>
      <c r="E94" s="63">
        <v>0</v>
      </c>
      <c r="F94" s="63">
        <v>0</v>
      </c>
      <c r="G94" s="63">
        <v>0</v>
      </c>
      <c r="H94" s="63">
        <v>0</v>
      </c>
      <c r="I94" s="63">
        <v>0</v>
      </c>
      <c r="J94" s="63">
        <v>0</v>
      </c>
      <c r="K94" s="63">
        <v>0</v>
      </c>
      <c r="L94" s="63">
        <v>0</v>
      </c>
      <c r="M94" s="63">
        <v>0</v>
      </c>
      <c r="N94" s="63">
        <v>0</v>
      </c>
      <c r="O94" s="63">
        <v>0</v>
      </c>
      <c r="P94" s="63">
        <v>0</v>
      </c>
      <c r="Q94" s="63">
        <v>0</v>
      </c>
      <c r="R94" s="63">
        <v>0</v>
      </c>
      <c r="S94" s="63">
        <v>0</v>
      </c>
      <c r="T94" s="63">
        <v>0</v>
      </c>
      <c r="U94" s="63">
        <v>0</v>
      </c>
      <c r="V94" s="63">
        <v>0</v>
      </c>
      <c r="W94" s="63">
        <v>0</v>
      </c>
      <c r="X94" s="63">
        <v>0</v>
      </c>
      <c r="Y94" s="63">
        <v>0</v>
      </c>
      <c r="Z94" s="63">
        <v>0</v>
      </c>
      <c r="AA94" s="63">
        <v>0</v>
      </c>
      <c r="AB94" s="63">
        <v>0</v>
      </c>
      <c r="AC94" s="63">
        <v>0</v>
      </c>
      <c r="AD94" s="63">
        <v>0</v>
      </c>
      <c r="AE94" s="63">
        <v>0</v>
      </c>
      <c r="AF94" s="63">
        <v>0</v>
      </c>
      <c r="AG94" s="63">
        <v>0</v>
      </c>
      <c r="AH94" s="63">
        <v>0</v>
      </c>
      <c r="AI94" s="63">
        <v>0</v>
      </c>
      <c r="AJ94" s="63">
        <v>0</v>
      </c>
      <c r="AK94" s="63">
        <v>0</v>
      </c>
      <c r="AL94" s="63">
        <v>0</v>
      </c>
      <c r="AM94" s="63">
        <v>0</v>
      </c>
      <c r="AN94" s="63">
        <v>0</v>
      </c>
      <c r="AO94" s="63">
        <v>1</v>
      </c>
      <c r="AP94" s="63">
        <v>0</v>
      </c>
      <c r="AQ94" s="63">
        <v>0</v>
      </c>
      <c r="AR94" s="63">
        <v>0</v>
      </c>
      <c r="AS94" s="63">
        <v>0</v>
      </c>
      <c r="AT94" s="63">
        <v>0</v>
      </c>
      <c r="AU94" s="63">
        <v>0</v>
      </c>
      <c r="AV94" s="63">
        <v>0</v>
      </c>
      <c r="AW94" s="63">
        <v>0</v>
      </c>
      <c r="AX94" s="63">
        <v>0</v>
      </c>
      <c r="AY94" s="63">
        <v>0</v>
      </c>
      <c r="AZ94" s="63">
        <v>1</v>
      </c>
      <c r="BA94" s="63">
        <v>0</v>
      </c>
      <c r="BB94" s="63">
        <v>0</v>
      </c>
      <c r="BC94" s="63">
        <v>0</v>
      </c>
      <c r="BD94" s="63">
        <v>0</v>
      </c>
      <c r="BE94" s="63">
        <v>0</v>
      </c>
      <c r="BF94" s="63">
        <v>0</v>
      </c>
      <c r="BG94" s="63">
        <v>0</v>
      </c>
      <c r="BH94" s="63">
        <v>1</v>
      </c>
      <c r="BI94" s="63">
        <v>0</v>
      </c>
      <c r="BJ94" s="63">
        <v>0</v>
      </c>
      <c r="BK94" s="63">
        <v>0</v>
      </c>
      <c r="BL94" s="63">
        <v>0</v>
      </c>
      <c r="BM94" s="63">
        <v>0</v>
      </c>
      <c r="BN94" s="63">
        <v>0</v>
      </c>
      <c r="BO94" s="63">
        <v>0</v>
      </c>
      <c r="BP94" s="63">
        <v>0</v>
      </c>
      <c r="BQ94" s="63">
        <v>0</v>
      </c>
      <c r="BR94" s="63">
        <v>0</v>
      </c>
      <c r="BS94" s="63">
        <v>0</v>
      </c>
      <c r="BT94" s="63">
        <v>0</v>
      </c>
      <c r="BU94" s="63">
        <v>0</v>
      </c>
      <c r="BV94" s="63">
        <v>1</v>
      </c>
      <c r="BW94" s="63">
        <v>0</v>
      </c>
      <c r="BX94" s="63">
        <v>0</v>
      </c>
      <c r="BY94" s="63">
        <v>0</v>
      </c>
      <c r="BZ94" s="63">
        <v>0</v>
      </c>
      <c r="CA94" s="63">
        <v>0</v>
      </c>
      <c r="CB94" s="63">
        <v>0</v>
      </c>
      <c r="CC94" s="63">
        <v>0</v>
      </c>
      <c r="CD94" s="63">
        <v>0</v>
      </c>
      <c r="CE94" s="63">
        <v>0</v>
      </c>
      <c r="CF94" s="63">
        <v>0</v>
      </c>
      <c r="CG94" s="63">
        <v>0</v>
      </c>
      <c r="CH94" s="63">
        <v>0</v>
      </c>
      <c r="CI94" s="63">
        <v>0</v>
      </c>
      <c r="CJ94" s="63">
        <v>0</v>
      </c>
      <c r="CK94" s="63">
        <v>0</v>
      </c>
      <c r="CL94" s="63">
        <v>0</v>
      </c>
      <c r="CM94" s="63">
        <v>0</v>
      </c>
      <c r="CN94" s="63">
        <v>0</v>
      </c>
      <c r="CO94" s="63">
        <v>1</v>
      </c>
      <c r="CP94" s="63">
        <v>1</v>
      </c>
      <c r="CQ94" s="63">
        <v>0</v>
      </c>
      <c r="CR94" s="63">
        <v>0</v>
      </c>
      <c r="CS94" s="63">
        <v>0</v>
      </c>
      <c r="CT94" s="61">
        <f t="shared" si="0"/>
        <v>6</v>
      </c>
      <c r="CU94" s="61"/>
    </row>
    <row r="95" spans="1:99" ht="12.75">
      <c r="A95" s="61" t="s">
        <v>376</v>
      </c>
      <c r="B95" s="63">
        <v>0</v>
      </c>
      <c r="C95" s="63">
        <v>0</v>
      </c>
      <c r="D95" s="63">
        <v>0</v>
      </c>
      <c r="E95" s="63">
        <v>0</v>
      </c>
      <c r="F95" s="63">
        <v>0</v>
      </c>
      <c r="G95" s="63">
        <v>0</v>
      </c>
      <c r="H95" s="63">
        <v>0</v>
      </c>
      <c r="I95" s="63">
        <v>0</v>
      </c>
      <c r="J95" s="63">
        <v>0</v>
      </c>
      <c r="K95" s="63">
        <v>0</v>
      </c>
      <c r="L95" s="63">
        <v>0</v>
      </c>
      <c r="M95" s="63">
        <v>0</v>
      </c>
      <c r="N95" s="63">
        <v>0</v>
      </c>
      <c r="O95" s="63">
        <v>0</v>
      </c>
      <c r="P95" s="63">
        <v>0</v>
      </c>
      <c r="Q95" s="63">
        <v>0</v>
      </c>
      <c r="R95" s="63">
        <v>0</v>
      </c>
      <c r="S95" s="63">
        <v>0</v>
      </c>
      <c r="T95" s="63">
        <v>0</v>
      </c>
      <c r="U95" s="63">
        <v>0</v>
      </c>
      <c r="V95" s="63">
        <v>0</v>
      </c>
      <c r="W95" s="63">
        <v>0</v>
      </c>
      <c r="X95" s="63">
        <v>0</v>
      </c>
      <c r="Y95" s="63">
        <v>0</v>
      </c>
      <c r="Z95" s="63">
        <v>0</v>
      </c>
      <c r="AA95" s="63">
        <v>0</v>
      </c>
      <c r="AB95" s="63">
        <v>0</v>
      </c>
      <c r="AC95" s="63">
        <v>0</v>
      </c>
      <c r="AD95" s="63">
        <v>0</v>
      </c>
      <c r="AE95" s="63">
        <v>0</v>
      </c>
      <c r="AF95" s="63">
        <v>0</v>
      </c>
      <c r="AG95" s="63">
        <v>0</v>
      </c>
      <c r="AH95" s="63">
        <v>0</v>
      </c>
      <c r="AI95" s="63">
        <v>0</v>
      </c>
      <c r="AJ95" s="63">
        <v>0</v>
      </c>
      <c r="AK95" s="63">
        <v>0</v>
      </c>
      <c r="AL95" s="63">
        <v>0</v>
      </c>
      <c r="AM95" s="63">
        <v>0</v>
      </c>
      <c r="AN95" s="63">
        <v>0</v>
      </c>
      <c r="AO95" s="63">
        <v>0</v>
      </c>
      <c r="AP95" s="63">
        <v>1</v>
      </c>
      <c r="AQ95" s="63">
        <v>0</v>
      </c>
      <c r="AR95" s="63">
        <v>0</v>
      </c>
      <c r="AS95" s="63">
        <v>0</v>
      </c>
      <c r="AT95" s="63">
        <v>0</v>
      </c>
      <c r="AU95" s="63">
        <v>0</v>
      </c>
      <c r="AV95" s="63">
        <v>0</v>
      </c>
      <c r="AW95" s="63">
        <v>0</v>
      </c>
      <c r="AX95" s="63">
        <v>0</v>
      </c>
      <c r="AY95" s="63">
        <v>0</v>
      </c>
      <c r="AZ95" s="63">
        <v>0</v>
      </c>
      <c r="BA95" s="63">
        <v>0</v>
      </c>
      <c r="BB95" s="63">
        <v>0</v>
      </c>
      <c r="BC95" s="63">
        <v>0</v>
      </c>
      <c r="BD95" s="63">
        <v>0</v>
      </c>
      <c r="BE95" s="63">
        <v>0</v>
      </c>
      <c r="BF95" s="63">
        <v>0</v>
      </c>
      <c r="BG95" s="63">
        <v>0</v>
      </c>
      <c r="BH95" s="63">
        <v>1</v>
      </c>
      <c r="BI95" s="63">
        <v>0</v>
      </c>
      <c r="BJ95" s="63">
        <v>0</v>
      </c>
      <c r="BK95" s="63">
        <v>0</v>
      </c>
      <c r="BL95" s="63">
        <v>1</v>
      </c>
      <c r="BM95" s="63">
        <v>1</v>
      </c>
      <c r="BN95" s="63">
        <v>0</v>
      </c>
      <c r="BO95" s="63">
        <v>0</v>
      </c>
      <c r="BP95" s="63">
        <v>0</v>
      </c>
      <c r="BQ95" s="63">
        <v>0</v>
      </c>
      <c r="BR95" s="63">
        <v>0</v>
      </c>
      <c r="BS95" s="63">
        <v>0</v>
      </c>
      <c r="BT95" s="63">
        <v>0</v>
      </c>
      <c r="BU95" s="63">
        <v>0</v>
      </c>
      <c r="BV95" s="63">
        <v>0</v>
      </c>
      <c r="BW95" s="63">
        <v>0</v>
      </c>
      <c r="BX95" s="63">
        <v>1</v>
      </c>
      <c r="BY95" s="63">
        <v>0</v>
      </c>
      <c r="BZ95" s="63">
        <v>0</v>
      </c>
      <c r="CA95" s="63">
        <v>0</v>
      </c>
      <c r="CB95" s="63">
        <v>0</v>
      </c>
      <c r="CC95" s="63">
        <v>0</v>
      </c>
      <c r="CD95" s="63">
        <v>0</v>
      </c>
      <c r="CE95" s="63">
        <v>0</v>
      </c>
      <c r="CF95" s="63">
        <v>0</v>
      </c>
      <c r="CG95" s="63">
        <v>0</v>
      </c>
      <c r="CH95" s="63">
        <v>0</v>
      </c>
      <c r="CI95" s="63">
        <v>0</v>
      </c>
      <c r="CJ95" s="63">
        <v>1</v>
      </c>
      <c r="CK95" s="63">
        <v>0</v>
      </c>
      <c r="CL95" s="63">
        <v>0</v>
      </c>
      <c r="CM95" s="63">
        <v>0</v>
      </c>
      <c r="CN95" s="63">
        <v>0</v>
      </c>
      <c r="CO95" s="63">
        <v>0</v>
      </c>
      <c r="CP95" s="63">
        <v>0</v>
      </c>
      <c r="CQ95" s="63">
        <v>1</v>
      </c>
      <c r="CR95" s="63">
        <v>0</v>
      </c>
      <c r="CS95" s="63">
        <v>0</v>
      </c>
      <c r="CT95" s="61">
        <f t="shared" si="0"/>
        <v>7</v>
      </c>
      <c r="CU95" s="61"/>
    </row>
    <row r="96" spans="1:99" ht="12.75">
      <c r="A96" s="61" t="s">
        <v>324</v>
      </c>
      <c r="B96" s="63">
        <v>0</v>
      </c>
      <c r="C96" s="63">
        <v>0</v>
      </c>
      <c r="D96" s="63">
        <v>0</v>
      </c>
      <c r="E96" s="63">
        <v>0</v>
      </c>
      <c r="F96" s="63">
        <v>0</v>
      </c>
      <c r="G96" s="63">
        <v>0</v>
      </c>
      <c r="H96" s="63">
        <v>0</v>
      </c>
      <c r="I96" s="63">
        <v>0</v>
      </c>
      <c r="J96" s="63">
        <v>0</v>
      </c>
      <c r="K96" s="63">
        <v>0</v>
      </c>
      <c r="L96" s="63">
        <v>0</v>
      </c>
      <c r="M96" s="63">
        <v>0</v>
      </c>
      <c r="N96" s="63">
        <v>0</v>
      </c>
      <c r="O96" s="63">
        <v>0</v>
      </c>
      <c r="P96" s="63">
        <v>0</v>
      </c>
      <c r="Q96" s="63">
        <v>0</v>
      </c>
      <c r="R96" s="63">
        <v>0</v>
      </c>
      <c r="S96" s="63">
        <v>0</v>
      </c>
      <c r="T96" s="63">
        <v>0</v>
      </c>
      <c r="U96" s="63">
        <v>0</v>
      </c>
      <c r="V96" s="63">
        <v>0</v>
      </c>
      <c r="W96" s="63">
        <v>0</v>
      </c>
      <c r="X96" s="63">
        <v>0</v>
      </c>
      <c r="Y96" s="63">
        <v>0</v>
      </c>
      <c r="Z96" s="63">
        <v>0</v>
      </c>
      <c r="AA96" s="63">
        <v>0</v>
      </c>
      <c r="AB96" s="63">
        <v>0</v>
      </c>
      <c r="AC96" s="63">
        <v>0</v>
      </c>
      <c r="AD96" s="63">
        <v>0</v>
      </c>
      <c r="AE96" s="63">
        <v>0</v>
      </c>
      <c r="AF96" s="63">
        <v>0</v>
      </c>
      <c r="AG96" s="63">
        <v>0</v>
      </c>
      <c r="AH96" s="63">
        <v>0</v>
      </c>
      <c r="AI96" s="63">
        <v>0</v>
      </c>
      <c r="AJ96" s="63">
        <v>0</v>
      </c>
      <c r="AK96" s="63">
        <v>0</v>
      </c>
      <c r="AL96" s="63">
        <v>0</v>
      </c>
      <c r="AM96" s="63">
        <v>0</v>
      </c>
      <c r="AN96" s="63">
        <v>0</v>
      </c>
      <c r="AO96" s="63">
        <v>0</v>
      </c>
      <c r="AP96" s="63">
        <v>0</v>
      </c>
      <c r="AQ96" s="63">
        <v>0</v>
      </c>
      <c r="AR96" s="63">
        <v>1</v>
      </c>
      <c r="AS96" s="63">
        <v>0</v>
      </c>
      <c r="AT96" s="63">
        <v>0</v>
      </c>
      <c r="AU96" s="63">
        <v>0</v>
      </c>
      <c r="AV96" s="63">
        <v>0</v>
      </c>
      <c r="AW96" s="63">
        <v>0</v>
      </c>
      <c r="AX96" s="63">
        <v>0</v>
      </c>
      <c r="AY96" s="63">
        <v>1</v>
      </c>
      <c r="AZ96" s="63">
        <v>0</v>
      </c>
      <c r="BA96" s="63">
        <v>0</v>
      </c>
      <c r="BB96" s="63">
        <v>0</v>
      </c>
      <c r="BC96" s="63">
        <v>0</v>
      </c>
      <c r="BD96" s="63">
        <v>0</v>
      </c>
      <c r="BE96" s="63">
        <v>0</v>
      </c>
      <c r="BF96" s="63">
        <v>0</v>
      </c>
      <c r="BG96" s="63">
        <v>0</v>
      </c>
      <c r="BH96" s="63">
        <v>0</v>
      </c>
      <c r="BI96" s="63">
        <v>0</v>
      </c>
      <c r="BJ96" s="63">
        <v>0</v>
      </c>
      <c r="BK96" s="63">
        <v>0</v>
      </c>
      <c r="BL96" s="63">
        <v>0</v>
      </c>
      <c r="BM96" s="63">
        <v>1</v>
      </c>
      <c r="BN96" s="63">
        <v>0</v>
      </c>
      <c r="BO96" s="63">
        <v>0</v>
      </c>
      <c r="BP96" s="63">
        <v>0</v>
      </c>
      <c r="BQ96" s="63">
        <v>0</v>
      </c>
      <c r="BR96" s="63">
        <v>0</v>
      </c>
      <c r="BS96" s="63">
        <v>0</v>
      </c>
      <c r="BT96" s="63">
        <v>0</v>
      </c>
      <c r="BU96" s="63">
        <v>0</v>
      </c>
      <c r="BV96" s="63">
        <v>0</v>
      </c>
      <c r="BW96" s="63">
        <v>0</v>
      </c>
      <c r="BX96" s="63">
        <v>0</v>
      </c>
      <c r="BY96" s="63">
        <v>0</v>
      </c>
      <c r="BZ96" s="63">
        <v>0</v>
      </c>
      <c r="CA96" s="63">
        <v>0</v>
      </c>
      <c r="CB96" s="63">
        <v>1</v>
      </c>
      <c r="CC96" s="63">
        <v>0</v>
      </c>
      <c r="CD96" s="63">
        <v>0</v>
      </c>
      <c r="CE96" s="63">
        <v>0</v>
      </c>
      <c r="CF96" s="63">
        <v>0</v>
      </c>
      <c r="CG96" s="63">
        <v>0</v>
      </c>
      <c r="CH96" s="63">
        <v>0</v>
      </c>
      <c r="CI96" s="63">
        <v>1</v>
      </c>
      <c r="CJ96" s="63">
        <v>1</v>
      </c>
      <c r="CK96" s="63">
        <v>0</v>
      </c>
      <c r="CL96" s="63">
        <v>0</v>
      </c>
      <c r="CM96" s="63">
        <v>0</v>
      </c>
      <c r="CN96" s="63">
        <v>0</v>
      </c>
      <c r="CO96" s="63">
        <v>0</v>
      </c>
      <c r="CP96" s="63">
        <v>0</v>
      </c>
      <c r="CQ96" s="63">
        <v>0</v>
      </c>
      <c r="CR96" s="63">
        <v>1</v>
      </c>
      <c r="CS96" s="63">
        <v>0</v>
      </c>
      <c r="CT96" s="61">
        <f t="shared" si="0"/>
        <v>7</v>
      </c>
      <c r="CU96" s="61"/>
    </row>
    <row r="97" spans="1:99" ht="12.75">
      <c r="A97" s="61" t="s">
        <v>385</v>
      </c>
      <c r="B97" s="63">
        <v>0</v>
      </c>
      <c r="C97" s="63">
        <v>0</v>
      </c>
      <c r="D97" s="63">
        <v>0</v>
      </c>
      <c r="E97" s="63">
        <v>0</v>
      </c>
      <c r="F97" s="63">
        <v>0</v>
      </c>
      <c r="G97" s="63">
        <v>0</v>
      </c>
      <c r="H97" s="63">
        <v>0</v>
      </c>
      <c r="I97" s="63">
        <v>0</v>
      </c>
      <c r="J97" s="63">
        <v>0</v>
      </c>
      <c r="K97" s="63">
        <v>0</v>
      </c>
      <c r="L97" s="63">
        <v>0</v>
      </c>
      <c r="M97" s="63">
        <v>0</v>
      </c>
      <c r="N97" s="63">
        <v>0</v>
      </c>
      <c r="O97" s="63">
        <v>0</v>
      </c>
      <c r="P97" s="63">
        <v>0</v>
      </c>
      <c r="Q97" s="63">
        <v>0</v>
      </c>
      <c r="R97" s="63">
        <v>0</v>
      </c>
      <c r="S97" s="63">
        <v>0</v>
      </c>
      <c r="T97" s="63">
        <v>0</v>
      </c>
      <c r="U97" s="63">
        <v>0</v>
      </c>
      <c r="V97" s="63">
        <v>0</v>
      </c>
      <c r="W97" s="63">
        <v>0</v>
      </c>
      <c r="X97" s="63">
        <v>0</v>
      </c>
      <c r="Y97" s="63">
        <v>0</v>
      </c>
      <c r="Z97" s="63">
        <v>0</v>
      </c>
      <c r="AA97" s="63">
        <v>0</v>
      </c>
      <c r="AB97" s="63">
        <v>0</v>
      </c>
      <c r="AC97" s="63">
        <v>0</v>
      </c>
      <c r="AD97" s="63">
        <v>0</v>
      </c>
      <c r="AE97" s="63">
        <v>0</v>
      </c>
      <c r="AF97" s="63">
        <v>0</v>
      </c>
      <c r="AG97" s="63">
        <v>0</v>
      </c>
      <c r="AH97" s="63">
        <v>0</v>
      </c>
      <c r="AI97" s="63">
        <v>0</v>
      </c>
      <c r="AJ97" s="63">
        <v>0</v>
      </c>
      <c r="AK97" s="63">
        <v>0</v>
      </c>
      <c r="AL97" s="63">
        <v>0</v>
      </c>
      <c r="AM97" s="63">
        <v>0</v>
      </c>
      <c r="AN97" s="63">
        <v>0</v>
      </c>
      <c r="AO97" s="63">
        <v>0</v>
      </c>
      <c r="AP97" s="63">
        <v>0</v>
      </c>
      <c r="AQ97" s="63">
        <v>0</v>
      </c>
      <c r="AR97" s="63">
        <v>0</v>
      </c>
      <c r="AS97" s="63">
        <v>0</v>
      </c>
      <c r="AT97" s="63">
        <v>0</v>
      </c>
      <c r="AU97" s="63">
        <v>0</v>
      </c>
      <c r="AV97" s="63">
        <v>0</v>
      </c>
      <c r="AW97" s="63">
        <v>0</v>
      </c>
      <c r="AX97" s="63">
        <v>0</v>
      </c>
      <c r="AY97" s="63">
        <v>0</v>
      </c>
      <c r="AZ97" s="63">
        <v>0</v>
      </c>
      <c r="BA97" s="63">
        <v>0</v>
      </c>
      <c r="BB97" s="63">
        <v>0</v>
      </c>
      <c r="BC97" s="63">
        <v>0</v>
      </c>
      <c r="BD97" s="63">
        <v>0</v>
      </c>
      <c r="BE97" s="63">
        <v>0</v>
      </c>
      <c r="BF97" s="63">
        <v>0</v>
      </c>
      <c r="BG97" s="63">
        <v>0</v>
      </c>
      <c r="BH97" s="63">
        <v>0</v>
      </c>
      <c r="BI97" s="63">
        <v>0</v>
      </c>
      <c r="BJ97" s="63">
        <v>0</v>
      </c>
      <c r="BK97" s="63">
        <v>0</v>
      </c>
      <c r="BL97" s="63">
        <v>0</v>
      </c>
      <c r="BM97" s="63">
        <v>0</v>
      </c>
      <c r="BN97" s="63">
        <v>0</v>
      </c>
      <c r="BO97" s="63">
        <v>0</v>
      </c>
      <c r="BP97" s="63">
        <v>0</v>
      </c>
      <c r="BQ97" s="63">
        <v>0</v>
      </c>
      <c r="BR97" s="63">
        <v>0</v>
      </c>
      <c r="BS97" s="63">
        <v>0</v>
      </c>
      <c r="BT97" s="63">
        <v>0</v>
      </c>
      <c r="BU97" s="63">
        <v>0</v>
      </c>
      <c r="BV97" s="63">
        <v>1</v>
      </c>
      <c r="BW97" s="63">
        <v>1</v>
      </c>
      <c r="BX97" s="63">
        <v>0</v>
      </c>
      <c r="BY97" s="63">
        <v>0</v>
      </c>
      <c r="BZ97" s="63">
        <v>1</v>
      </c>
      <c r="CA97" s="63">
        <v>0</v>
      </c>
      <c r="CB97" s="63">
        <v>0</v>
      </c>
      <c r="CC97" s="63">
        <v>0</v>
      </c>
      <c r="CD97" s="63">
        <v>0</v>
      </c>
      <c r="CE97" s="63">
        <v>0</v>
      </c>
      <c r="CF97" s="63">
        <v>0</v>
      </c>
      <c r="CG97" s="63">
        <v>0</v>
      </c>
      <c r="CH97" s="63">
        <v>0</v>
      </c>
      <c r="CI97" s="63">
        <v>0</v>
      </c>
      <c r="CJ97" s="63">
        <v>0</v>
      </c>
      <c r="CK97" s="63">
        <v>0</v>
      </c>
      <c r="CL97" s="63">
        <v>0</v>
      </c>
      <c r="CM97" s="63">
        <v>0</v>
      </c>
      <c r="CN97" s="63">
        <v>0</v>
      </c>
      <c r="CO97" s="63">
        <v>0</v>
      </c>
      <c r="CP97" s="63">
        <v>0</v>
      </c>
      <c r="CQ97" s="63">
        <v>0</v>
      </c>
      <c r="CR97" s="63">
        <v>0</v>
      </c>
      <c r="CS97" s="63">
        <v>1</v>
      </c>
      <c r="CT97" s="61">
        <f t="shared" si="0"/>
        <v>4</v>
      </c>
      <c r="CU97" s="61"/>
    </row>
    <row r="98" spans="1:99" ht="12.75">
      <c r="B98">
        <f t="shared" ref="B98:CS98" si="1">SUM(B2:B97)</f>
        <v>3</v>
      </c>
      <c r="C98">
        <f t="shared" si="1"/>
        <v>6</v>
      </c>
      <c r="D98">
        <f t="shared" si="1"/>
        <v>8</v>
      </c>
      <c r="E98">
        <f t="shared" si="1"/>
        <v>4</v>
      </c>
      <c r="F98">
        <f t="shared" si="1"/>
        <v>6</v>
      </c>
      <c r="G98">
        <f t="shared" si="1"/>
        <v>5</v>
      </c>
      <c r="H98">
        <f t="shared" si="1"/>
        <v>3</v>
      </c>
      <c r="I98">
        <f t="shared" si="1"/>
        <v>6</v>
      </c>
      <c r="J98">
        <f t="shared" si="1"/>
        <v>6</v>
      </c>
      <c r="K98">
        <f t="shared" si="1"/>
        <v>6</v>
      </c>
      <c r="L98">
        <f t="shared" si="1"/>
        <v>9</v>
      </c>
      <c r="M98">
        <f t="shared" si="1"/>
        <v>7</v>
      </c>
      <c r="N98">
        <f t="shared" si="1"/>
        <v>10</v>
      </c>
      <c r="O98">
        <f t="shared" si="1"/>
        <v>7</v>
      </c>
      <c r="P98">
        <f t="shared" si="1"/>
        <v>5</v>
      </c>
      <c r="Q98">
        <f t="shared" si="1"/>
        <v>3</v>
      </c>
      <c r="R98">
        <f t="shared" si="1"/>
        <v>6</v>
      </c>
      <c r="S98">
        <f t="shared" si="1"/>
        <v>5</v>
      </c>
      <c r="T98">
        <f t="shared" si="1"/>
        <v>5</v>
      </c>
      <c r="U98">
        <f t="shared" si="1"/>
        <v>7</v>
      </c>
      <c r="V98">
        <f t="shared" si="1"/>
        <v>8</v>
      </c>
      <c r="W98">
        <f t="shared" si="1"/>
        <v>7</v>
      </c>
      <c r="X98">
        <f t="shared" si="1"/>
        <v>6</v>
      </c>
      <c r="Y98">
        <f t="shared" si="1"/>
        <v>7</v>
      </c>
      <c r="Z98">
        <f t="shared" si="1"/>
        <v>4</v>
      </c>
      <c r="AA98">
        <f t="shared" si="1"/>
        <v>7</v>
      </c>
      <c r="AB98">
        <f t="shared" si="1"/>
        <v>4</v>
      </c>
      <c r="AC98">
        <f t="shared" si="1"/>
        <v>7</v>
      </c>
      <c r="AD98">
        <f t="shared" si="1"/>
        <v>5</v>
      </c>
      <c r="AE98">
        <f t="shared" si="1"/>
        <v>9</v>
      </c>
      <c r="AF98">
        <f t="shared" si="1"/>
        <v>5</v>
      </c>
      <c r="AG98">
        <f t="shared" si="1"/>
        <v>6</v>
      </c>
      <c r="AH98">
        <f t="shared" si="1"/>
        <v>7</v>
      </c>
      <c r="AI98">
        <f t="shared" si="1"/>
        <v>6</v>
      </c>
      <c r="AJ98">
        <f t="shared" si="1"/>
        <v>4</v>
      </c>
      <c r="AK98">
        <f t="shared" si="1"/>
        <v>5</v>
      </c>
      <c r="AL98">
        <f t="shared" si="1"/>
        <v>4</v>
      </c>
      <c r="AM98">
        <f t="shared" si="1"/>
        <v>6</v>
      </c>
      <c r="AN98">
        <f t="shared" si="1"/>
        <v>10</v>
      </c>
      <c r="AO98">
        <f t="shared" si="1"/>
        <v>9</v>
      </c>
      <c r="AP98">
        <f t="shared" si="1"/>
        <v>7</v>
      </c>
      <c r="AQ98">
        <f t="shared" si="1"/>
        <v>7</v>
      </c>
      <c r="AR98">
        <f t="shared" si="1"/>
        <v>6</v>
      </c>
      <c r="AS98">
        <f t="shared" si="1"/>
        <v>8</v>
      </c>
      <c r="AT98">
        <f t="shared" si="1"/>
        <v>8</v>
      </c>
      <c r="AU98">
        <f t="shared" si="1"/>
        <v>10</v>
      </c>
      <c r="AV98">
        <f t="shared" si="1"/>
        <v>7</v>
      </c>
      <c r="AW98">
        <f t="shared" si="1"/>
        <v>6</v>
      </c>
      <c r="AX98">
        <f t="shared" si="1"/>
        <v>9</v>
      </c>
      <c r="AY98">
        <f t="shared" si="1"/>
        <v>8</v>
      </c>
      <c r="AZ98">
        <f t="shared" si="1"/>
        <v>7</v>
      </c>
      <c r="BA98">
        <f t="shared" si="1"/>
        <v>5</v>
      </c>
      <c r="BB98">
        <f t="shared" si="1"/>
        <v>7</v>
      </c>
      <c r="BC98">
        <f t="shared" si="1"/>
        <v>6</v>
      </c>
      <c r="BD98">
        <f t="shared" si="1"/>
        <v>7</v>
      </c>
      <c r="BE98">
        <f t="shared" si="1"/>
        <v>9</v>
      </c>
      <c r="BF98">
        <f t="shared" si="1"/>
        <v>4</v>
      </c>
      <c r="BG98">
        <f t="shared" si="1"/>
        <v>8</v>
      </c>
      <c r="BH98">
        <f t="shared" si="1"/>
        <v>10</v>
      </c>
      <c r="BI98">
        <f t="shared" si="1"/>
        <v>5</v>
      </c>
      <c r="BJ98">
        <f t="shared" si="1"/>
        <v>4</v>
      </c>
      <c r="BK98">
        <f t="shared" si="1"/>
        <v>8</v>
      </c>
      <c r="BL98">
        <f t="shared" si="1"/>
        <v>9</v>
      </c>
      <c r="BM98">
        <f t="shared" si="1"/>
        <v>7</v>
      </c>
      <c r="BN98">
        <f t="shared" si="1"/>
        <v>4</v>
      </c>
      <c r="BO98">
        <f t="shared" si="1"/>
        <v>5</v>
      </c>
      <c r="BP98">
        <f t="shared" si="1"/>
        <v>9</v>
      </c>
      <c r="BQ98">
        <f t="shared" si="1"/>
        <v>6</v>
      </c>
      <c r="BR98">
        <f t="shared" si="1"/>
        <v>5</v>
      </c>
      <c r="BS98">
        <f t="shared" si="1"/>
        <v>9</v>
      </c>
      <c r="BT98">
        <f t="shared" si="1"/>
        <v>7</v>
      </c>
      <c r="BU98">
        <f t="shared" si="1"/>
        <v>7</v>
      </c>
      <c r="BV98">
        <f t="shared" si="1"/>
        <v>7</v>
      </c>
      <c r="BW98">
        <f t="shared" si="1"/>
        <v>6</v>
      </c>
      <c r="BX98">
        <f t="shared" si="1"/>
        <v>10</v>
      </c>
      <c r="BY98">
        <f t="shared" si="1"/>
        <v>10</v>
      </c>
      <c r="BZ98">
        <f t="shared" si="1"/>
        <v>7</v>
      </c>
      <c r="CA98">
        <f t="shared" si="1"/>
        <v>6</v>
      </c>
      <c r="CB98">
        <f t="shared" si="1"/>
        <v>4</v>
      </c>
      <c r="CC98">
        <f t="shared" si="1"/>
        <v>4</v>
      </c>
      <c r="CD98">
        <f t="shared" si="1"/>
        <v>10</v>
      </c>
      <c r="CE98">
        <f t="shared" si="1"/>
        <v>8</v>
      </c>
      <c r="CF98">
        <f t="shared" si="1"/>
        <v>9</v>
      </c>
      <c r="CG98">
        <f t="shared" si="1"/>
        <v>7</v>
      </c>
      <c r="CH98">
        <f t="shared" si="1"/>
        <v>9</v>
      </c>
      <c r="CI98">
        <f t="shared" si="1"/>
        <v>5</v>
      </c>
      <c r="CJ98">
        <f t="shared" si="1"/>
        <v>9</v>
      </c>
      <c r="CK98">
        <f t="shared" si="1"/>
        <v>6</v>
      </c>
      <c r="CL98">
        <f t="shared" si="1"/>
        <v>6</v>
      </c>
      <c r="CM98">
        <f t="shared" si="1"/>
        <v>6</v>
      </c>
      <c r="CN98">
        <f t="shared" si="1"/>
        <v>7</v>
      </c>
      <c r="CO98">
        <f t="shared" si="1"/>
        <v>6</v>
      </c>
      <c r="CP98">
        <f t="shared" si="1"/>
        <v>6</v>
      </c>
      <c r="CQ98">
        <f t="shared" si="1"/>
        <v>7</v>
      </c>
      <c r="CR98">
        <f t="shared" si="1"/>
        <v>7</v>
      </c>
      <c r="CS98">
        <f t="shared" si="1"/>
        <v>4</v>
      </c>
      <c r="CT98" s="61"/>
      <c r="CU98" s="61"/>
    </row>
    <row r="99" spans="1:99" ht="12.75">
      <c r="C99" s="1">
        <v>1</v>
      </c>
      <c r="D99" s="1">
        <v>2</v>
      </c>
      <c r="E99" s="1">
        <v>3</v>
      </c>
      <c r="F99" s="1">
        <v>4</v>
      </c>
      <c r="G99" s="1">
        <v>5</v>
      </c>
      <c r="H99" s="1">
        <v>6</v>
      </c>
      <c r="I99" s="1">
        <v>7</v>
      </c>
      <c r="J99" s="1">
        <v>8</v>
      </c>
      <c r="K99" s="1">
        <v>9</v>
      </c>
      <c r="L99" s="1">
        <v>10</v>
      </c>
      <c r="M99" s="1">
        <v>11</v>
      </c>
      <c r="N99" s="1">
        <v>12</v>
      </c>
      <c r="O99" s="1">
        <v>13</v>
      </c>
      <c r="P99" s="1">
        <v>14</v>
      </c>
      <c r="Q99" s="1">
        <v>15</v>
      </c>
      <c r="R99" s="1">
        <v>16</v>
      </c>
      <c r="S99" s="1">
        <v>17</v>
      </c>
      <c r="T99" s="1">
        <v>18</v>
      </c>
      <c r="U99" s="1">
        <v>19</v>
      </c>
      <c r="V99" s="1">
        <v>20</v>
      </c>
      <c r="W99" s="1">
        <v>21</v>
      </c>
      <c r="X99" s="1">
        <v>22</v>
      </c>
      <c r="Y99" s="1">
        <v>23</v>
      </c>
      <c r="Z99" s="1">
        <v>24</v>
      </c>
      <c r="AA99" s="1">
        <v>25</v>
      </c>
      <c r="AB99" s="1">
        <v>26</v>
      </c>
      <c r="AC99" s="1">
        <v>27</v>
      </c>
      <c r="AD99" s="1">
        <v>28</v>
      </c>
      <c r="AE99" s="1">
        <v>29</v>
      </c>
      <c r="AF99" s="1">
        <v>30</v>
      </c>
      <c r="AG99" s="1">
        <v>31</v>
      </c>
      <c r="AH99" s="1">
        <v>32</v>
      </c>
      <c r="AI99" s="1">
        <v>33</v>
      </c>
      <c r="AJ99" s="1">
        <v>34</v>
      </c>
      <c r="AK99" s="1">
        <v>35</v>
      </c>
      <c r="AL99" s="1">
        <v>36</v>
      </c>
      <c r="AM99" s="1">
        <v>37</v>
      </c>
      <c r="AN99" s="1">
        <v>38</v>
      </c>
      <c r="AO99" s="1">
        <v>39</v>
      </c>
      <c r="AP99" s="1">
        <v>40</v>
      </c>
      <c r="AQ99" s="1">
        <v>41</v>
      </c>
      <c r="AR99" s="1">
        <v>42</v>
      </c>
      <c r="AS99" s="1">
        <v>43</v>
      </c>
      <c r="AT99" s="1">
        <v>44</v>
      </c>
      <c r="AU99" s="1">
        <v>45</v>
      </c>
      <c r="AV99" s="1">
        <v>46</v>
      </c>
      <c r="AW99" s="1">
        <v>47</v>
      </c>
      <c r="AX99" s="1">
        <v>48</v>
      </c>
      <c r="AY99" s="1">
        <v>49</v>
      </c>
      <c r="AZ99" s="1">
        <v>50</v>
      </c>
      <c r="BA99" s="1">
        <v>51</v>
      </c>
      <c r="BB99" s="1">
        <v>52</v>
      </c>
      <c r="BC99" s="1">
        <v>53</v>
      </c>
      <c r="BD99" s="1">
        <v>54</v>
      </c>
      <c r="BE99" s="1">
        <v>55</v>
      </c>
      <c r="BF99" s="1">
        <v>56</v>
      </c>
      <c r="BG99" s="1">
        <v>57</v>
      </c>
      <c r="BH99" s="1">
        <v>58</v>
      </c>
      <c r="BI99" s="1">
        <v>59</v>
      </c>
      <c r="BJ99" s="1">
        <v>60</v>
      </c>
      <c r="BK99" s="1">
        <v>61</v>
      </c>
      <c r="BL99" s="1">
        <v>62</v>
      </c>
      <c r="BM99" s="1">
        <v>63</v>
      </c>
      <c r="BN99" s="1">
        <v>64</v>
      </c>
      <c r="BO99" s="1">
        <v>65</v>
      </c>
      <c r="BP99" s="1">
        <v>66</v>
      </c>
      <c r="BQ99" s="1">
        <v>67</v>
      </c>
      <c r="BR99" s="1">
        <v>68</v>
      </c>
      <c r="BS99" s="1">
        <v>69</v>
      </c>
      <c r="BT99" s="1">
        <v>70</v>
      </c>
      <c r="BU99" s="1">
        <v>71</v>
      </c>
      <c r="BV99" s="1">
        <v>72</v>
      </c>
      <c r="BW99" s="1">
        <v>73</v>
      </c>
      <c r="BX99" s="1">
        <v>74</v>
      </c>
      <c r="BY99" s="1">
        <v>75</v>
      </c>
      <c r="BZ99" s="1">
        <v>76</v>
      </c>
      <c r="CA99" s="1">
        <v>77</v>
      </c>
      <c r="CB99" s="1">
        <v>78</v>
      </c>
      <c r="CC99" s="1">
        <v>79</v>
      </c>
      <c r="CD99" s="1">
        <v>80</v>
      </c>
      <c r="CE99" s="1">
        <v>81</v>
      </c>
      <c r="CF99" s="1">
        <v>82</v>
      </c>
      <c r="CG99" s="1">
        <v>83</v>
      </c>
      <c r="CH99" s="1">
        <v>84</v>
      </c>
      <c r="CI99" s="1">
        <v>85</v>
      </c>
      <c r="CJ99" s="1">
        <v>86</v>
      </c>
      <c r="CK99" s="1">
        <v>87</v>
      </c>
      <c r="CL99" s="1">
        <v>88</v>
      </c>
      <c r="CM99" s="1">
        <v>89</v>
      </c>
      <c r="CN99" s="1">
        <v>90</v>
      </c>
      <c r="CO99" s="1">
        <v>91</v>
      </c>
      <c r="CP99" s="1">
        <v>92</v>
      </c>
      <c r="CQ99" s="1">
        <v>93</v>
      </c>
      <c r="CR99" s="1">
        <v>94</v>
      </c>
      <c r="CS99" s="1">
        <v>95</v>
      </c>
      <c r="CT99" s="1">
        <v>105</v>
      </c>
      <c r="CU99" s="61"/>
    </row>
    <row r="100" spans="1:99" ht="12.75">
      <c r="B100" s="1">
        <v>1</v>
      </c>
      <c r="C100" s="63">
        <v>1</v>
      </c>
      <c r="D100" s="63">
        <v>0</v>
      </c>
      <c r="E100" s="63">
        <v>0</v>
      </c>
      <c r="F100" s="63">
        <v>0</v>
      </c>
      <c r="G100" s="63">
        <v>0</v>
      </c>
      <c r="H100" s="63">
        <v>1</v>
      </c>
      <c r="I100" s="63">
        <v>0</v>
      </c>
      <c r="J100" s="63">
        <v>0</v>
      </c>
      <c r="K100" s="63">
        <v>0</v>
      </c>
      <c r="L100" s="63">
        <v>0</v>
      </c>
      <c r="M100" s="63">
        <v>0</v>
      </c>
      <c r="N100" s="63">
        <v>0</v>
      </c>
      <c r="O100" s="63">
        <v>0</v>
      </c>
      <c r="P100" s="63">
        <v>0</v>
      </c>
      <c r="Q100" s="63">
        <v>0</v>
      </c>
      <c r="R100" s="63">
        <v>0</v>
      </c>
      <c r="S100" s="63">
        <v>0</v>
      </c>
      <c r="T100" s="63">
        <v>0</v>
      </c>
      <c r="U100" s="63">
        <v>0</v>
      </c>
      <c r="V100" s="63">
        <v>0</v>
      </c>
      <c r="W100" s="63">
        <v>0</v>
      </c>
      <c r="X100" s="63">
        <v>0</v>
      </c>
      <c r="Y100" s="63">
        <v>0</v>
      </c>
      <c r="Z100" s="63">
        <v>0</v>
      </c>
      <c r="AA100" s="63">
        <v>0</v>
      </c>
      <c r="AB100" s="63">
        <v>0</v>
      </c>
      <c r="AC100" s="63">
        <v>0</v>
      </c>
      <c r="AD100" s="63">
        <v>0</v>
      </c>
      <c r="AE100" s="63">
        <v>0</v>
      </c>
      <c r="AF100" s="63">
        <v>0</v>
      </c>
      <c r="AG100" s="63">
        <v>0</v>
      </c>
      <c r="AH100" s="63">
        <v>0</v>
      </c>
      <c r="AI100" s="63">
        <v>0</v>
      </c>
      <c r="AJ100" s="63">
        <v>0</v>
      </c>
      <c r="AK100" s="63">
        <v>0</v>
      </c>
      <c r="AL100" s="63">
        <v>0</v>
      </c>
      <c r="AM100" s="63">
        <v>0</v>
      </c>
      <c r="AN100" s="63">
        <v>0</v>
      </c>
      <c r="AO100" s="63">
        <v>0</v>
      </c>
      <c r="AP100" s="63">
        <v>0</v>
      </c>
      <c r="AQ100" s="63">
        <v>0</v>
      </c>
      <c r="AR100" s="63">
        <v>0</v>
      </c>
      <c r="AS100" s="63">
        <v>0</v>
      </c>
      <c r="AT100" s="63">
        <v>0</v>
      </c>
      <c r="AU100" s="63">
        <v>0</v>
      </c>
      <c r="AV100" s="63">
        <v>0</v>
      </c>
      <c r="AW100" s="63">
        <v>0</v>
      </c>
      <c r="AX100" s="63">
        <v>0</v>
      </c>
      <c r="AY100" s="63">
        <v>0</v>
      </c>
      <c r="AZ100" s="63">
        <v>0</v>
      </c>
      <c r="BA100" s="63">
        <v>0</v>
      </c>
      <c r="BB100" s="63">
        <v>0</v>
      </c>
      <c r="BC100" s="63">
        <v>0</v>
      </c>
      <c r="BD100" s="63">
        <v>0</v>
      </c>
      <c r="BE100" s="63">
        <v>0</v>
      </c>
      <c r="BF100" s="63">
        <v>0</v>
      </c>
      <c r="BG100" s="63">
        <v>0</v>
      </c>
      <c r="BH100" s="63">
        <v>0</v>
      </c>
      <c r="BI100" s="63">
        <v>0</v>
      </c>
      <c r="BJ100" s="63">
        <v>0</v>
      </c>
      <c r="BK100" s="63">
        <v>0</v>
      </c>
      <c r="BL100" s="63">
        <v>0</v>
      </c>
      <c r="BM100" s="63">
        <v>0</v>
      </c>
      <c r="BN100" s="63">
        <v>0</v>
      </c>
      <c r="BO100" s="63">
        <v>0</v>
      </c>
      <c r="BP100" s="63">
        <v>0</v>
      </c>
      <c r="BQ100" s="63">
        <v>0</v>
      </c>
      <c r="BR100" s="63">
        <v>0</v>
      </c>
      <c r="BS100" s="63">
        <v>0</v>
      </c>
      <c r="BT100" s="63">
        <v>0</v>
      </c>
      <c r="BU100" s="63">
        <v>0</v>
      </c>
      <c r="BV100" s="63">
        <v>0</v>
      </c>
      <c r="BW100" s="63">
        <v>0</v>
      </c>
      <c r="BX100" s="63">
        <v>0</v>
      </c>
      <c r="BY100" s="63">
        <v>0</v>
      </c>
      <c r="BZ100" s="63">
        <v>0</v>
      </c>
      <c r="CA100" s="63">
        <v>0</v>
      </c>
      <c r="CB100" s="63">
        <v>0</v>
      </c>
      <c r="CC100" s="63">
        <v>0</v>
      </c>
      <c r="CD100" s="63">
        <v>0</v>
      </c>
      <c r="CE100" s="63">
        <v>0</v>
      </c>
      <c r="CF100" s="63">
        <v>1</v>
      </c>
      <c r="CG100" s="63">
        <v>0</v>
      </c>
      <c r="CH100" s="63">
        <v>0</v>
      </c>
      <c r="CI100" s="63">
        <v>0</v>
      </c>
      <c r="CJ100" s="63">
        <v>0</v>
      </c>
      <c r="CK100" s="63">
        <v>0</v>
      </c>
      <c r="CL100" s="63">
        <v>0</v>
      </c>
      <c r="CM100" s="63">
        <v>0</v>
      </c>
      <c r="CN100" s="63">
        <v>0</v>
      </c>
      <c r="CO100" s="63">
        <v>0</v>
      </c>
      <c r="CP100" s="63">
        <v>0</v>
      </c>
      <c r="CQ100" s="63">
        <v>0</v>
      </c>
      <c r="CR100" s="63">
        <v>0</v>
      </c>
      <c r="CS100" s="63">
        <v>0</v>
      </c>
      <c r="CT100" s="63">
        <v>0</v>
      </c>
      <c r="CU100" s="61"/>
    </row>
    <row r="101" spans="1:99" ht="12.75">
      <c r="B101" s="1">
        <v>2</v>
      </c>
      <c r="C101" s="63">
        <v>0</v>
      </c>
      <c r="D101" s="63">
        <v>1</v>
      </c>
      <c r="E101" s="63">
        <v>1</v>
      </c>
      <c r="F101" s="63">
        <v>0</v>
      </c>
      <c r="G101" s="63">
        <v>0</v>
      </c>
      <c r="H101" s="63">
        <v>0</v>
      </c>
      <c r="I101" s="63">
        <v>0</v>
      </c>
      <c r="J101" s="63">
        <v>0</v>
      </c>
      <c r="K101" s="63">
        <v>0</v>
      </c>
      <c r="L101" s="63">
        <v>0</v>
      </c>
      <c r="M101" s="63">
        <v>0</v>
      </c>
      <c r="N101" s="63">
        <v>0</v>
      </c>
      <c r="O101" s="63">
        <v>0</v>
      </c>
      <c r="P101" s="63">
        <v>0</v>
      </c>
      <c r="Q101" s="63">
        <v>0</v>
      </c>
      <c r="R101" s="63">
        <v>0</v>
      </c>
      <c r="S101" s="63">
        <v>0</v>
      </c>
      <c r="T101" s="63">
        <v>1</v>
      </c>
      <c r="U101" s="63">
        <v>0</v>
      </c>
      <c r="V101" s="63">
        <v>0</v>
      </c>
      <c r="W101" s="63">
        <v>0</v>
      </c>
      <c r="X101" s="63">
        <v>0</v>
      </c>
      <c r="Y101" s="63">
        <v>0</v>
      </c>
      <c r="Z101" s="63">
        <v>0</v>
      </c>
      <c r="AA101" s="63">
        <v>0</v>
      </c>
      <c r="AB101" s="63">
        <v>0</v>
      </c>
      <c r="AC101" s="63">
        <v>0</v>
      </c>
      <c r="AD101" s="63">
        <v>0</v>
      </c>
      <c r="AE101" s="63">
        <v>0</v>
      </c>
      <c r="AF101" s="63">
        <v>0</v>
      </c>
      <c r="AG101" s="63">
        <v>0</v>
      </c>
      <c r="AH101" s="63">
        <v>0</v>
      </c>
      <c r="AI101" s="63">
        <v>0</v>
      </c>
      <c r="AJ101" s="63">
        <v>0</v>
      </c>
      <c r="AK101" s="63">
        <v>0</v>
      </c>
      <c r="AL101" s="63">
        <v>0</v>
      </c>
      <c r="AM101" s="63">
        <v>0</v>
      </c>
      <c r="AN101" s="63">
        <v>0</v>
      </c>
      <c r="AO101" s="63">
        <v>0</v>
      </c>
      <c r="AP101" s="63">
        <v>0</v>
      </c>
      <c r="AQ101" s="63">
        <v>0</v>
      </c>
      <c r="AR101" s="63">
        <v>0</v>
      </c>
      <c r="AS101" s="63">
        <v>0</v>
      </c>
      <c r="AT101" s="63">
        <v>0</v>
      </c>
      <c r="AU101" s="63">
        <v>0</v>
      </c>
      <c r="AV101" s="63">
        <v>0</v>
      </c>
      <c r="AW101" s="63">
        <v>0</v>
      </c>
      <c r="AX101" s="63">
        <v>0</v>
      </c>
      <c r="AY101" s="63">
        <v>1</v>
      </c>
      <c r="AZ101" s="63">
        <v>0</v>
      </c>
      <c r="BA101" s="63">
        <v>0</v>
      </c>
      <c r="BB101" s="63">
        <v>0</v>
      </c>
      <c r="BC101" s="63">
        <v>0</v>
      </c>
      <c r="BD101" s="63">
        <v>0</v>
      </c>
      <c r="BE101" s="63">
        <v>0</v>
      </c>
      <c r="BF101" s="63">
        <v>0</v>
      </c>
      <c r="BG101" s="63">
        <v>0</v>
      </c>
      <c r="BH101" s="63">
        <v>1</v>
      </c>
      <c r="BI101" s="63">
        <v>0</v>
      </c>
      <c r="BJ101" s="63">
        <v>0</v>
      </c>
      <c r="BK101" s="63">
        <v>0</v>
      </c>
      <c r="BL101" s="63">
        <v>0</v>
      </c>
      <c r="BM101" s="63">
        <v>0</v>
      </c>
      <c r="BN101" s="63">
        <v>0</v>
      </c>
      <c r="BO101" s="63">
        <v>0</v>
      </c>
      <c r="BP101" s="63">
        <v>0</v>
      </c>
      <c r="BQ101" s="63">
        <v>1</v>
      </c>
      <c r="BR101" s="63">
        <v>0</v>
      </c>
      <c r="BS101" s="63">
        <v>0</v>
      </c>
      <c r="BT101" s="63">
        <v>0</v>
      </c>
      <c r="BU101" s="63">
        <v>0</v>
      </c>
      <c r="BV101" s="63">
        <v>0</v>
      </c>
      <c r="BW101" s="63">
        <v>0</v>
      </c>
      <c r="BX101" s="63">
        <v>0</v>
      </c>
      <c r="BY101" s="63">
        <v>0</v>
      </c>
      <c r="BZ101" s="63">
        <v>0</v>
      </c>
      <c r="CA101" s="63">
        <v>0</v>
      </c>
      <c r="CB101" s="63">
        <v>0</v>
      </c>
      <c r="CC101" s="63">
        <v>0</v>
      </c>
      <c r="CD101" s="63">
        <v>0</v>
      </c>
      <c r="CE101" s="63">
        <v>0</v>
      </c>
      <c r="CF101" s="63">
        <v>0</v>
      </c>
      <c r="CG101" s="63">
        <v>0</v>
      </c>
      <c r="CH101" s="63">
        <v>0</v>
      </c>
      <c r="CI101" s="63">
        <v>0</v>
      </c>
      <c r="CJ101" s="63">
        <v>0</v>
      </c>
      <c r="CK101" s="63">
        <v>0</v>
      </c>
      <c r="CL101" s="63">
        <v>0</v>
      </c>
      <c r="CM101" s="63">
        <v>0</v>
      </c>
      <c r="CN101" s="63">
        <v>0</v>
      </c>
      <c r="CO101" s="63">
        <v>0</v>
      </c>
      <c r="CP101" s="63">
        <v>0</v>
      </c>
      <c r="CQ101" s="63">
        <v>0</v>
      </c>
      <c r="CR101" s="63">
        <v>0</v>
      </c>
      <c r="CS101" s="63">
        <v>0</v>
      </c>
      <c r="CT101" s="63">
        <v>0</v>
      </c>
      <c r="CU101" s="61"/>
    </row>
    <row r="102" spans="1:99" ht="12.75">
      <c r="B102" s="1">
        <v>3</v>
      </c>
      <c r="C102" s="63">
        <v>0</v>
      </c>
      <c r="D102" s="63">
        <v>1</v>
      </c>
      <c r="E102" s="63">
        <v>1</v>
      </c>
      <c r="F102" s="63">
        <v>0</v>
      </c>
      <c r="G102" s="63">
        <v>0</v>
      </c>
      <c r="H102" s="63">
        <v>0</v>
      </c>
      <c r="I102" s="63">
        <v>0</v>
      </c>
      <c r="J102" s="63">
        <v>0</v>
      </c>
      <c r="K102" s="63">
        <v>0</v>
      </c>
      <c r="L102" s="63">
        <v>0</v>
      </c>
      <c r="M102" s="63">
        <v>1</v>
      </c>
      <c r="N102" s="63">
        <v>0</v>
      </c>
      <c r="O102" s="63">
        <v>1</v>
      </c>
      <c r="P102" s="63">
        <v>0</v>
      </c>
      <c r="Q102" s="63">
        <v>0</v>
      </c>
      <c r="R102" s="63">
        <v>0</v>
      </c>
      <c r="S102" s="63">
        <v>0</v>
      </c>
      <c r="T102" s="63">
        <v>1</v>
      </c>
      <c r="U102" s="63">
        <v>0</v>
      </c>
      <c r="V102" s="63">
        <v>0</v>
      </c>
      <c r="W102" s="63">
        <v>0</v>
      </c>
      <c r="X102" s="63">
        <v>0</v>
      </c>
      <c r="Y102" s="63">
        <v>0</v>
      </c>
      <c r="Z102" s="63">
        <v>0</v>
      </c>
      <c r="AA102" s="63">
        <v>0</v>
      </c>
      <c r="AB102" s="63">
        <v>0</v>
      </c>
      <c r="AC102" s="63">
        <v>0</v>
      </c>
      <c r="AD102" s="63">
        <v>0</v>
      </c>
      <c r="AE102" s="63">
        <v>0</v>
      </c>
      <c r="AF102" s="63">
        <v>0</v>
      </c>
      <c r="AG102" s="63">
        <v>0</v>
      </c>
      <c r="AH102" s="63">
        <v>0</v>
      </c>
      <c r="AI102" s="63">
        <v>0</v>
      </c>
      <c r="AJ102" s="63">
        <v>0</v>
      </c>
      <c r="AK102" s="63">
        <v>0</v>
      </c>
      <c r="AL102" s="63">
        <v>0</v>
      </c>
      <c r="AM102" s="63">
        <v>0</v>
      </c>
      <c r="AN102" s="63">
        <v>0</v>
      </c>
      <c r="AO102" s="63">
        <v>0</v>
      </c>
      <c r="AP102" s="63">
        <v>0</v>
      </c>
      <c r="AQ102" s="63">
        <v>0</v>
      </c>
      <c r="AR102" s="63">
        <v>0</v>
      </c>
      <c r="AS102" s="63">
        <v>1</v>
      </c>
      <c r="AT102" s="63">
        <v>0</v>
      </c>
      <c r="AU102" s="63">
        <v>0</v>
      </c>
      <c r="AV102" s="63">
        <v>0</v>
      </c>
      <c r="AW102" s="63">
        <v>0</v>
      </c>
      <c r="AX102" s="63">
        <v>0</v>
      </c>
      <c r="AY102" s="63">
        <v>1</v>
      </c>
      <c r="AZ102" s="63">
        <v>0</v>
      </c>
      <c r="BA102" s="63">
        <v>0</v>
      </c>
      <c r="BB102" s="63">
        <v>0</v>
      </c>
      <c r="BC102" s="63">
        <v>0</v>
      </c>
      <c r="BD102" s="63">
        <v>0</v>
      </c>
      <c r="BE102" s="63">
        <v>0</v>
      </c>
      <c r="BF102" s="63">
        <v>0</v>
      </c>
      <c r="BG102" s="63">
        <v>0</v>
      </c>
      <c r="BH102" s="63">
        <v>1</v>
      </c>
      <c r="BI102" s="63">
        <v>0</v>
      </c>
      <c r="BJ102" s="63">
        <v>0</v>
      </c>
      <c r="BK102" s="63">
        <v>0</v>
      </c>
      <c r="BL102" s="63">
        <v>0</v>
      </c>
      <c r="BM102" s="63">
        <v>0</v>
      </c>
      <c r="BN102" s="63">
        <v>0</v>
      </c>
      <c r="BO102" s="63">
        <v>0</v>
      </c>
      <c r="BP102" s="63">
        <v>0</v>
      </c>
      <c r="BQ102" s="63">
        <v>1</v>
      </c>
      <c r="BR102" s="63">
        <v>0</v>
      </c>
      <c r="BS102" s="63">
        <v>0</v>
      </c>
      <c r="BT102" s="63">
        <v>0</v>
      </c>
      <c r="BU102" s="63">
        <v>0</v>
      </c>
      <c r="BV102" s="63">
        <v>0</v>
      </c>
      <c r="BW102" s="63">
        <v>0</v>
      </c>
      <c r="BX102" s="63">
        <v>0</v>
      </c>
      <c r="BY102" s="63">
        <v>0</v>
      </c>
      <c r="BZ102" s="63">
        <v>0</v>
      </c>
      <c r="CA102" s="63">
        <v>0</v>
      </c>
      <c r="CB102" s="63">
        <v>0</v>
      </c>
      <c r="CC102" s="63">
        <v>0</v>
      </c>
      <c r="CD102" s="63">
        <v>0</v>
      </c>
      <c r="CE102" s="63">
        <v>0</v>
      </c>
      <c r="CF102" s="63">
        <v>0</v>
      </c>
      <c r="CG102" s="63">
        <v>0</v>
      </c>
      <c r="CH102" s="63">
        <v>0</v>
      </c>
      <c r="CI102" s="63">
        <v>0</v>
      </c>
      <c r="CJ102" s="63">
        <v>0</v>
      </c>
      <c r="CK102" s="63">
        <v>0</v>
      </c>
      <c r="CL102" s="63">
        <v>0</v>
      </c>
      <c r="CM102" s="63">
        <v>0</v>
      </c>
      <c r="CN102" s="63">
        <v>0</v>
      </c>
      <c r="CO102" s="63">
        <v>0</v>
      </c>
      <c r="CP102" s="63">
        <v>0</v>
      </c>
      <c r="CQ102" s="63">
        <v>0</v>
      </c>
      <c r="CR102" s="63">
        <v>0</v>
      </c>
      <c r="CS102" s="63">
        <v>0</v>
      </c>
      <c r="CT102" s="63">
        <v>0</v>
      </c>
      <c r="CU102" s="61"/>
    </row>
    <row r="103" spans="1:99" ht="12.75">
      <c r="B103" s="1">
        <v>4</v>
      </c>
      <c r="C103" s="63">
        <v>0</v>
      </c>
      <c r="D103" s="63">
        <v>0</v>
      </c>
      <c r="E103" s="63">
        <v>0</v>
      </c>
      <c r="F103" s="63">
        <v>1</v>
      </c>
      <c r="G103" s="63">
        <v>0</v>
      </c>
      <c r="H103" s="63">
        <v>0</v>
      </c>
      <c r="I103" s="63">
        <v>0</v>
      </c>
      <c r="J103" s="63">
        <v>0</v>
      </c>
      <c r="K103" s="63">
        <v>0</v>
      </c>
      <c r="L103" s="63">
        <v>0</v>
      </c>
      <c r="M103" s="63">
        <v>0</v>
      </c>
      <c r="N103" s="63">
        <v>0</v>
      </c>
      <c r="O103" s="63">
        <v>0</v>
      </c>
      <c r="P103" s="63">
        <v>0</v>
      </c>
      <c r="Q103" s="63">
        <v>0</v>
      </c>
      <c r="R103" s="63">
        <v>0</v>
      </c>
      <c r="S103" s="63">
        <v>0</v>
      </c>
      <c r="T103" s="63">
        <v>0</v>
      </c>
      <c r="U103" s="63">
        <v>0</v>
      </c>
      <c r="V103" s="63">
        <v>0</v>
      </c>
      <c r="W103" s="63">
        <v>0</v>
      </c>
      <c r="X103" s="63">
        <v>0</v>
      </c>
      <c r="Y103" s="63">
        <v>0</v>
      </c>
      <c r="Z103" s="63">
        <v>0</v>
      </c>
      <c r="AA103" s="63">
        <v>0</v>
      </c>
      <c r="AB103" s="63">
        <v>1</v>
      </c>
      <c r="AC103" s="63">
        <v>0</v>
      </c>
      <c r="AD103" s="63">
        <v>0</v>
      </c>
      <c r="AE103" s="63">
        <v>0</v>
      </c>
      <c r="AF103" s="63">
        <v>0</v>
      </c>
      <c r="AG103" s="63">
        <v>0</v>
      </c>
      <c r="AH103" s="63">
        <v>0</v>
      </c>
      <c r="AI103" s="63">
        <v>0</v>
      </c>
      <c r="AJ103" s="63">
        <v>0</v>
      </c>
      <c r="AK103" s="63">
        <v>0</v>
      </c>
      <c r="AL103" s="63">
        <v>0</v>
      </c>
      <c r="AM103" s="63">
        <v>0</v>
      </c>
      <c r="AN103" s="63">
        <v>0</v>
      </c>
      <c r="AO103" s="63">
        <v>1</v>
      </c>
      <c r="AP103" s="63">
        <v>0</v>
      </c>
      <c r="AQ103" s="63">
        <v>0</v>
      </c>
      <c r="AR103" s="63">
        <v>0</v>
      </c>
      <c r="AS103" s="63">
        <v>0</v>
      </c>
      <c r="AT103" s="63">
        <v>0</v>
      </c>
      <c r="AU103" s="63">
        <v>0</v>
      </c>
      <c r="AV103" s="63">
        <v>0</v>
      </c>
      <c r="AW103" s="63">
        <v>0</v>
      </c>
      <c r="AX103" s="63">
        <v>0</v>
      </c>
      <c r="AY103" s="63">
        <v>0</v>
      </c>
      <c r="AZ103" s="63">
        <v>0</v>
      </c>
      <c r="BA103" s="63">
        <v>0</v>
      </c>
      <c r="BB103" s="63">
        <v>0</v>
      </c>
      <c r="BC103" s="63">
        <v>0</v>
      </c>
      <c r="BD103" s="63">
        <v>0</v>
      </c>
      <c r="BE103" s="63">
        <v>0</v>
      </c>
      <c r="BF103" s="63">
        <v>0</v>
      </c>
      <c r="BG103" s="63">
        <v>0</v>
      </c>
      <c r="BH103" s="63">
        <v>0</v>
      </c>
      <c r="BI103" s="63">
        <v>0</v>
      </c>
      <c r="BJ103" s="63">
        <v>0</v>
      </c>
      <c r="BK103" s="63">
        <v>0</v>
      </c>
      <c r="BL103" s="63">
        <v>0</v>
      </c>
      <c r="BM103" s="63">
        <v>0</v>
      </c>
      <c r="BN103" s="63">
        <v>0</v>
      </c>
      <c r="BO103" s="63">
        <v>0</v>
      </c>
      <c r="BP103" s="63">
        <v>0</v>
      </c>
      <c r="BQ103" s="63">
        <v>0</v>
      </c>
      <c r="BR103" s="63">
        <v>0</v>
      </c>
      <c r="BS103" s="63">
        <v>0</v>
      </c>
      <c r="BT103" s="63">
        <v>0</v>
      </c>
      <c r="BU103" s="63">
        <v>0</v>
      </c>
      <c r="BV103" s="63">
        <v>0</v>
      </c>
      <c r="BW103" s="63">
        <v>0</v>
      </c>
      <c r="BX103" s="63">
        <v>0</v>
      </c>
      <c r="BY103" s="63">
        <v>0</v>
      </c>
      <c r="BZ103" s="63">
        <v>0</v>
      </c>
      <c r="CA103" s="63">
        <v>0</v>
      </c>
      <c r="CB103" s="63">
        <v>0</v>
      </c>
      <c r="CC103" s="63">
        <v>0</v>
      </c>
      <c r="CD103" s="63">
        <v>0</v>
      </c>
      <c r="CE103" s="63">
        <v>0</v>
      </c>
      <c r="CF103" s="63">
        <v>0</v>
      </c>
      <c r="CG103" s="63">
        <v>1</v>
      </c>
      <c r="CH103" s="63">
        <v>0</v>
      </c>
      <c r="CI103" s="63">
        <v>0</v>
      </c>
      <c r="CJ103" s="63">
        <v>0</v>
      </c>
      <c r="CK103" s="63">
        <v>0</v>
      </c>
      <c r="CL103" s="63">
        <v>0</v>
      </c>
      <c r="CM103" s="63">
        <v>0</v>
      </c>
      <c r="CN103" s="63">
        <v>0</v>
      </c>
      <c r="CO103" s="63">
        <v>0</v>
      </c>
      <c r="CP103" s="63">
        <v>0</v>
      </c>
      <c r="CQ103" s="63">
        <v>0</v>
      </c>
      <c r="CR103" s="63">
        <v>0</v>
      </c>
      <c r="CS103" s="63">
        <v>0</v>
      </c>
      <c r="CT103" s="63">
        <v>0</v>
      </c>
      <c r="CU103" s="61"/>
    </row>
    <row r="104" spans="1:99" ht="12.75">
      <c r="B104" s="1">
        <v>5</v>
      </c>
      <c r="C104" s="63">
        <v>0</v>
      </c>
      <c r="D104" s="63">
        <v>0</v>
      </c>
      <c r="E104" s="63">
        <v>0</v>
      </c>
      <c r="F104" s="63">
        <v>0</v>
      </c>
      <c r="G104" s="63">
        <v>1</v>
      </c>
      <c r="H104" s="63">
        <v>1</v>
      </c>
      <c r="I104" s="63">
        <v>0</v>
      </c>
      <c r="J104" s="63">
        <v>0</v>
      </c>
      <c r="K104" s="63">
        <v>0</v>
      </c>
      <c r="L104" s="63">
        <v>0</v>
      </c>
      <c r="M104" s="63">
        <v>0</v>
      </c>
      <c r="N104" s="63">
        <v>0</v>
      </c>
      <c r="O104" s="63">
        <v>0</v>
      </c>
      <c r="P104" s="63">
        <v>1</v>
      </c>
      <c r="Q104" s="63">
        <v>0</v>
      </c>
      <c r="R104" s="63">
        <v>0</v>
      </c>
      <c r="S104" s="63">
        <v>0</v>
      </c>
      <c r="T104" s="63">
        <v>0</v>
      </c>
      <c r="U104" s="63">
        <v>0</v>
      </c>
      <c r="V104" s="63">
        <v>0</v>
      </c>
      <c r="W104" s="63">
        <v>0</v>
      </c>
      <c r="X104" s="63">
        <v>0</v>
      </c>
      <c r="Y104" s="63">
        <v>0</v>
      </c>
      <c r="Z104" s="63">
        <v>1</v>
      </c>
      <c r="AA104" s="63">
        <v>0</v>
      </c>
      <c r="AB104" s="63">
        <v>0</v>
      </c>
      <c r="AC104" s="63">
        <v>0</v>
      </c>
      <c r="AD104" s="63">
        <v>0</v>
      </c>
      <c r="AE104" s="63">
        <v>0</v>
      </c>
      <c r="AF104" s="63">
        <v>0</v>
      </c>
      <c r="AG104" s="63">
        <v>0</v>
      </c>
      <c r="AH104" s="63">
        <v>0</v>
      </c>
      <c r="AI104" s="63">
        <v>0</v>
      </c>
      <c r="AJ104" s="63">
        <v>0</v>
      </c>
      <c r="AK104" s="63">
        <v>0</v>
      </c>
      <c r="AL104" s="63">
        <v>0</v>
      </c>
      <c r="AM104" s="63">
        <v>0</v>
      </c>
      <c r="AN104" s="63">
        <v>0</v>
      </c>
      <c r="AO104" s="63">
        <v>0</v>
      </c>
      <c r="AP104" s="63">
        <v>0</v>
      </c>
      <c r="AQ104" s="63">
        <v>0</v>
      </c>
      <c r="AR104" s="63">
        <v>1</v>
      </c>
      <c r="AS104" s="63">
        <v>0</v>
      </c>
      <c r="AT104" s="63">
        <v>0</v>
      </c>
      <c r="AU104" s="63">
        <v>0</v>
      </c>
      <c r="AV104" s="63">
        <v>0</v>
      </c>
      <c r="AW104" s="63">
        <v>0</v>
      </c>
      <c r="AX104" s="63">
        <v>0</v>
      </c>
      <c r="AY104" s="63">
        <v>0</v>
      </c>
      <c r="AZ104" s="63">
        <v>0</v>
      </c>
      <c r="BA104" s="63">
        <v>0</v>
      </c>
      <c r="BB104" s="63">
        <v>0</v>
      </c>
      <c r="BC104" s="63">
        <v>0</v>
      </c>
      <c r="BD104" s="63">
        <v>0</v>
      </c>
      <c r="BE104" s="63">
        <v>0</v>
      </c>
      <c r="BF104" s="63">
        <v>0</v>
      </c>
      <c r="BG104" s="63">
        <v>0</v>
      </c>
      <c r="BH104" s="63">
        <v>0</v>
      </c>
      <c r="BI104" s="63">
        <v>0</v>
      </c>
      <c r="BJ104" s="63">
        <v>0</v>
      </c>
      <c r="BK104" s="63">
        <v>0</v>
      </c>
      <c r="BL104" s="63">
        <v>0</v>
      </c>
      <c r="BM104" s="63">
        <v>0</v>
      </c>
      <c r="BN104" s="63">
        <v>0</v>
      </c>
      <c r="BO104" s="63">
        <v>0</v>
      </c>
      <c r="BP104" s="63">
        <v>0</v>
      </c>
      <c r="BQ104" s="63">
        <v>0</v>
      </c>
      <c r="BR104" s="63">
        <v>0</v>
      </c>
      <c r="BS104" s="63">
        <v>0</v>
      </c>
      <c r="BT104" s="63">
        <v>0</v>
      </c>
      <c r="BU104" s="63">
        <v>0</v>
      </c>
      <c r="BV104" s="63">
        <v>0</v>
      </c>
      <c r="BW104" s="63">
        <v>0</v>
      </c>
      <c r="BX104" s="63">
        <v>0</v>
      </c>
      <c r="BY104" s="63">
        <v>0</v>
      </c>
      <c r="BZ104" s="63">
        <v>0</v>
      </c>
      <c r="CA104" s="63">
        <v>0</v>
      </c>
      <c r="CB104" s="63">
        <v>0</v>
      </c>
      <c r="CC104" s="63">
        <v>0</v>
      </c>
      <c r="CD104" s="63">
        <v>0</v>
      </c>
      <c r="CE104" s="63">
        <v>0</v>
      </c>
      <c r="CF104" s="63">
        <v>1</v>
      </c>
      <c r="CG104" s="63">
        <v>0</v>
      </c>
      <c r="CH104" s="63">
        <v>0</v>
      </c>
      <c r="CI104" s="63">
        <v>0</v>
      </c>
      <c r="CJ104" s="63">
        <v>0</v>
      </c>
      <c r="CK104" s="63">
        <v>0</v>
      </c>
      <c r="CL104" s="63">
        <v>0</v>
      </c>
      <c r="CM104" s="63">
        <v>0</v>
      </c>
      <c r="CN104" s="63">
        <v>0</v>
      </c>
      <c r="CO104" s="63">
        <v>0</v>
      </c>
      <c r="CP104" s="63">
        <v>0</v>
      </c>
      <c r="CQ104" s="63">
        <v>0</v>
      </c>
      <c r="CR104" s="63">
        <v>0</v>
      </c>
      <c r="CS104" s="63">
        <v>0</v>
      </c>
      <c r="CT104" s="63">
        <v>1</v>
      </c>
      <c r="CU104" s="61"/>
    </row>
    <row r="105" spans="1:99" ht="12.75">
      <c r="B105" s="1">
        <v>6</v>
      </c>
      <c r="C105" s="63">
        <v>1</v>
      </c>
      <c r="D105" s="63">
        <v>0</v>
      </c>
      <c r="E105" s="63">
        <v>0</v>
      </c>
      <c r="F105" s="63">
        <v>0</v>
      </c>
      <c r="G105" s="63">
        <v>1</v>
      </c>
      <c r="H105" s="63">
        <v>1</v>
      </c>
      <c r="I105" s="63">
        <v>0</v>
      </c>
      <c r="J105" s="63">
        <v>0</v>
      </c>
      <c r="K105" s="63">
        <v>0</v>
      </c>
      <c r="L105" s="63">
        <v>0</v>
      </c>
      <c r="M105" s="63">
        <v>0</v>
      </c>
      <c r="N105" s="63">
        <v>0</v>
      </c>
      <c r="O105" s="63">
        <v>0</v>
      </c>
      <c r="P105" s="63">
        <v>1</v>
      </c>
      <c r="Q105" s="63">
        <v>0</v>
      </c>
      <c r="R105" s="63">
        <v>0</v>
      </c>
      <c r="S105" s="63">
        <v>0</v>
      </c>
      <c r="T105" s="63">
        <v>0</v>
      </c>
      <c r="U105" s="63">
        <v>0</v>
      </c>
      <c r="V105" s="63">
        <v>0</v>
      </c>
      <c r="W105" s="63">
        <v>0</v>
      </c>
      <c r="X105" s="63">
        <v>0</v>
      </c>
      <c r="Y105" s="63">
        <v>0</v>
      </c>
      <c r="Z105" s="63">
        <v>0</v>
      </c>
      <c r="AA105" s="63">
        <v>0</v>
      </c>
      <c r="AB105" s="63">
        <v>0</v>
      </c>
      <c r="AC105" s="63">
        <v>0</v>
      </c>
      <c r="AD105" s="63">
        <v>0</v>
      </c>
      <c r="AE105" s="63">
        <v>0</v>
      </c>
      <c r="AF105" s="63">
        <v>0</v>
      </c>
      <c r="AG105" s="63">
        <v>0</v>
      </c>
      <c r="AH105" s="63">
        <v>0</v>
      </c>
      <c r="AI105" s="63">
        <v>0</v>
      </c>
      <c r="AJ105" s="63">
        <v>0</v>
      </c>
      <c r="AK105" s="63">
        <v>0</v>
      </c>
      <c r="AL105" s="63">
        <v>0</v>
      </c>
      <c r="AM105" s="63">
        <v>0</v>
      </c>
      <c r="AN105" s="63">
        <v>0</v>
      </c>
      <c r="AO105" s="63">
        <v>0</v>
      </c>
      <c r="AP105" s="63">
        <v>0</v>
      </c>
      <c r="AQ105" s="63">
        <v>0</v>
      </c>
      <c r="AR105" s="63">
        <v>0</v>
      </c>
      <c r="AS105" s="63">
        <v>0</v>
      </c>
      <c r="AT105" s="63">
        <v>0</v>
      </c>
      <c r="AU105" s="63">
        <v>0</v>
      </c>
      <c r="AV105" s="63">
        <v>0</v>
      </c>
      <c r="AW105" s="63">
        <v>0</v>
      </c>
      <c r="AX105" s="63">
        <v>0</v>
      </c>
      <c r="AY105" s="63">
        <v>0</v>
      </c>
      <c r="AZ105" s="63">
        <v>0</v>
      </c>
      <c r="BA105" s="63">
        <v>0</v>
      </c>
      <c r="BB105" s="63">
        <v>0</v>
      </c>
      <c r="BC105" s="63">
        <v>0</v>
      </c>
      <c r="BD105" s="63">
        <v>0</v>
      </c>
      <c r="BE105" s="63">
        <v>0</v>
      </c>
      <c r="BF105" s="63">
        <v>0</v>
      </c>
      <c r="BG105" s="63">
        <v>0</v>
      </c>
      <c r="BH105" s="63">
        <v>0</v>
      </c>
      <c r="BI105" s="63">
        <v>0</v>
      </c>
      <c r="BJ105" s="63">
        <v>0</v>
      </c>
      <c r="BK105" s="63">
        <v>0</v>
      </c>
      <c r="BL105" s="63">
        <v>0</v>
      </c>
      <c r="BM105" s="63">
        <v>0</v>
      </c>
      <c r="BN105" s="63">
        <v>0</v>
      </c>
      <c r="BO105" s="63">
        <v>0</v>
      </c>
      <c r="BP105" s="63">
        <v>0</v>
      </c>
      <c r="BQ105" s="63">
        <v>0</v>
      </c>
      <c r="BR105" s="63">
        <v>0</v>
      </c>
      <c r="BS105" s="63">
        <v>0</v>
      </c>
      <c r="BT105" s="63">
        <v>0</v>
      </c>
      <c r="BU105" s="63">
        <v>0</v>
      </c>
      <c r="BV105" s="63">
        <v>0</v>
      </c>
      <c r="BW105" s="63">
        <v>0</v>
      </c>
      <c r="BX105" s="63">
        <v>0</v>
      </c>
      <c r="BY105" s="63">
        <v>0</v>
      </c>
      <c r="BZ105" s="63">
        <v>0</v>
      </c>
      <c r="CA105" s="63">
        <v>0</v>
      </c>
      <c r="CB105" s="63">
        <v>0</v>
      </c>
      <c r="CC105" s="63">
        <v>0</v>
      </c>
      <c r="CD105" s="63">
        <v>0</v>
      </c>
      <c r="CE105" s="63">
        <v>0</v>
      </c>
      <c r="CF105" s="63">
        <v>1</v>
      </c>
      <c r="CG105" s="63">
        <v>0</v>
      </c>
      <c r="CH105" s="63">
        <v>0</v>
      </c>
      <c r="CI105" s="63">
        <v>0</v>
      </c>
      <c r="CJ105" s="63">
        <v>0</v>
      </c>
      <c r="CK105" s="63">
        <v>0</v>
      </c>
      <c r="CL105" s="63">
        <v>0</v>
      </c>
      <c r="CM105" s="63">
        <v>0</v>
      </c>
      <c r="CN105" s="63">
        <v>0</v>
      </c>
      <c r="CO105" s="63">
        <v>0</v>
      </c>
      <c r="CP105" s="63">
        <v>0</v>
      </c>
      <c r="CQ105" s="63">
        <v>0</v>
      </c>
      <c r="CR105" s="63">
        <v>0</v>
      </c>
      <c r="CS105" s="63">
        <v>0</v>
      </c>
      <c r="CT105" s="63">
        <v>1</v>
      </c>
      <c r="CU105" s="61"/>
    </row>
    <row r="106" spans="1:99" ht="12.75">
      <c r="B106" s="1">
        <v>7</v>
      </c>
      <c r="C106" s="63">
        <v>0</v>
      </c>
      <c r="D106" s="63">
        <v>0</v>
      </c>
      <c r="E106" s="63">
        <v>0</v>
      </c>
      <c r="F106" s="63">
        <v>0</v>
      </c>
      <c r="G106" s="63">
        <v>0</v>
      </c>
      <c r="H106" s="63">
        <v>0</v>
      </c>
      <c r="I106" s="63">
        <v>1</v>
      </c>
      <c r="J106" s="63">
        <v>0</v>
      </c>
      <c r="K106" s="63">
        <v>0</v>
      </c>
      <c r="L106" s="63">
        <v>0</v>
      </c>
      <c r="M106" s="63">
        <v>0</v>
      </c>
      <c r="N106" s="63">
        <v>0</v>
      </c>
      <c r="O106" s="63">
        <v>0</v>
      </c>
      <c r="P106" s="63">
        <v>0</v>
      </c>
      <c r="Q106" s="63">
        <v>0</v>
      </c>
      <c r="R106" s="63">
        <v>0</v>
      </c>
      <c r="S106" s="63">
        <v>0</v>
      </c>
      <c r="T106" s="63">
        <v>0</v>
      </c>
      <c r="U106" s="63">
        <v>0</v>
      </c>
      <c r="V106" s="63">
        <v>0</v>
      </c>
      <c r="W106" s="63">
        <v>0</v>
      </c>
      <c r="X106" s="63">
        <v>0</v>
      </c>
      <c r="Y106" s="63">
        <v>1</v>
      </c>
      <c r="Z106" s="63">
        <v>0</v>
      </c>
      <c r="AA106" s="63">
        <v>0</v>
      </c>
      <c r="AB106" s="63">
        <v>0</v>
      </c>
      <c r="AC106" s="63">
        <v>0</v>
      </c>
      <c r="AD106" s="63">
        <v>0</v>
      </c>
      <c r="AE106" s="63">
        <v>0</v>
      </c>
      <c r="AF106" s="63">
        <v>0</v>
      </c>
      <c r="AG106" s="63">
        <v>0</v>
      </c>
      <c r="AH106" s="63">
        <v>0</v>
      </c>
      <c r="AI106" s="63">
        <v>0</v>
      </c>
      <c r="AJ106" s="63">
        <v>0</v>
      </c>
      <c r="AK106" s="63">
        <v>0</v>
      </c>
      <c r="AL106" s="63">
        <v>0</v>
      </c>
      <c r="AM106" s="63">
        <v>0</v>
      </c>
      <c r="AN106" s="63">
        <v>0</v>
      </c>
      <c r="AO106" s="63">
        <v>0</v>
      </c>
      <c r="AP106" s="63">
        <v>0</v>
      </c>
      <c r="AQ106" s="63">
        <v>0</v>
      </c>
      <c r="AR106" s="63">
        <v>0</v>
      </c>
      <c r="AS106" s="63">
        <v>0</v>
      </c>
      <c r="AT106" s="63">
        <v>0</v>
      </c>
      <c r="AU106" s="63">
        <v>0</v>
      </c>
      <c r="AV106" s="63">
        <v>0</v>
      </c>
      <c r="AW106" s="63">
        <v>0</v>
      </c>
      <c r="AX106" s="63">
        <v>0</v>
      </c>
      <c r="AY106" s="63">
        <v>0</v>
      </c>
      <c r="AZ106" s="63">
        <v>0</v>
      </c>
      <c r="BA106" s="63">
        <v>0</v>
      </c>
      <c r="BB106" s="63">
        <v>0</v>
      </c>
      <c r="BC106" s="63">
        <v>0</v>
      </c>
      <c r="BD106" s="63">
        <v>0</v>
      </c>
      <c r="BE106" s="63">
        <v>0</v>
      </c>
      <c r="BF106" s="63">
        <v>0</v>
      </c>
      <c r="BG106" s="63">
        <v>0</v>
      </c>
      <c r="BH106" s="63">
        <v>0</v>
      </c>
      <c r="BI106" s="63">
        <v>0</v>
      </c>
      <c r="BJ106" s="63">
        <v>0</v>
      </c>
      <c r="BK106" s="63">
        <v>0</v>
      </c>
      <c r="BL106" s="63">
        <v>0</v>
      </c>
      <c r="BM106" s="63">
        <v>0</v>
      </c>
      <c r="BN106" s="63">
        <v>0</v>
      </c>
      <c r="BO106" s="63">
        <v>0</v>
      </c>
      <c r="BP106" s="63">
        <v>0</v>
      </c>
      <c r="BQ106" s="63">
        <v>0</v>
      </c>
      <c r="BR106" s="63">
        <v>0</v>
      </c>
      <c r="BS106" s="63">
        <v>0</v>
      </c>
      <c r="BT106" s="63">
        <v>0</v>
      </c>
      <c r="BU106" s="63">
        <v>0</v>
      </c>
      <c r="BV106" s="63">
        <v>0</v>
      </c>
      <c r="BW106" s="63">
        <v>0</v>
      </c>
      <c r="BX106" s="63">
        <v>0</v>
      </c>
      <c r="BY106" s="63">
        <v>0</v>
      </c>
      <c r="BZ106" s="63">
        <v>0</v>
      </c>
      <c r="CA106" s="63">
        <v>0</v>
      </c>
      <c r="CB106" s="63">
        <v>0</v>
      </c>
      <c r="CC106" s="63">
        <v>0</v>
      </c>
      <c r="CD106" s="63">
        <v>0</v>
      </c>
      <c r="CE106" s="63">
        <v>0</v>
      </c>
      <c r="CF106" s="63">
        <v>0</v>
      </c>
      <c r="CG106" s="63">
        <v>0</v>
      </c>
      <c r="CH106" s="63">
        <v>1</v>
      </c>
      <c r="CI106" s="63">
        <v>0</v>
      </c>
      <c r="CJ106" s="63">
        <v>0</v>
      </c>
      <c r="CK106" s="63">
        <v>0</v>
      </c>
      <c r="CL106" s="63">
        <v>0</v>
      </c>
      <c r="CM106" s="63">
        <v>0</v>
      </c>
      <c r="CN106" s="63">
        <v>0</v>
      </c>
      <c r="CO106" s="63">
        <v>0</v>
      </c>
      <c r="CP106" s="63">
        <v>0</v>
      </c>
      <c r="CQ106" s="63">
        <v>0</v>
      </c>
      <c r="CR106" s="63">
        <v>0</v>
      </c>
      <c r="CS106" s="63">
        <v>0</v>
      </c>
      <c r="CT106" s="63">
        <v>0</v>
      </c>
      <c r="CU106" s="61"/>
    </row>
    <row r="107" spans="1:99" ht="12.75">
      <c r="B107" s="1">
        <v>8</v>
      </c>
      <c r="C107" s="63">
        <v>0</v>
      </c>
      <c r="D107" s="63">
        <v>0</v>
      </c>
      <c r="E107" s="63">
        <v>0</v>
      </c>
      <c r="F107" s="63">
        <v>0</v>
      </c>
      <c r="G107" s="63">
        <v>0</v>
      </c>
      <c r="H107" s="63">
        <v>0</v>
      </c>
      <c r="I107" s="63">
        <v>0</v>
      </c>
      <c r="J107" s="63">
        <v>1</v>
      </c>
      <c r="K107" s="63">
        <v>0</v>
      </c>
      <c r="L107" s="63">
        <v>0</v>
      </c>
      <c r="M107" s="63">
        <v>0</v>
      </c>
      <c r="N107" s="63">
        <v>0</v>
      </c>
      <c r="O107" s="63">
        <v>0</v>
      </c>
      <c r="P107" s="63">
        <v>0</v>
      </c>
      <c r="Q107" s="63">
        <v>0</v>
      </c>
      <c r="R107" s="63">
        <v>0</v>
      </c>
      <c r="S107" s="63">
        <v>0</v>
      </c>
      <c r="T107" s="63">
        <v>0</v>
      </c>
      <c r="U107" s="63">
        <v>0</v>
      </c>
      <c r="V107" s="63">
        <v>0</v>
      </c>
      <c r="W107" s="63">
        <v>0</v>
      </c>
      <c r="X107" s="63">
        <v>0</v>
      </c>
      <c r="Y107" s="63">
        <v>0</v>
      </c>
      <c r="Z107" s="63">
        <v>0</v>
      </c>
      <c r="AA107" s="63">
        <v>0</v>
      </c>
      <c r="AB107" s="63">
        <v>0</v>
      </c>
      <c r="AC107" s="63">
        <v>0</v>
      </c>
      <c r="AD107" s="63">
        <v>0</v>
      </c>
      <c r="AE107" s="63">
        <v>0</v>
      </c>
      <c r="AF107" s="63">
        <v>0</v>
      </c>
      <c r="AG107" s="63">
        <v>0</v>
      </c>
      <c r="AH107" s="63">
        <v>0</v>
      </c>
      <c r="AI107" s="63">
        <v>0</v>
      </c>
      <c r="AJ107" s="63">
        <v>0</v>
      </c>
      <c r="AK107" s="63">
        <v>0</v>
      </c>
      <c r="AL107" s="63">
        <v>0</v>
      </c>
      <c r="AM107" s="63">
        <v>0</v>
      </c>
      <c r="AN107" s="63">
        <v>0</v>
      </c>
      <c r="AO107" s="63">
        <v>0</v>
      </c>
      <c r="AP107" s="63">
        <v>0</v>
      </c>
      <c r="AQ107" s="63">
        <v>0</v>
      </c>
      <c r="AR107" s="63">
        <v>0</v>
      </c>
      <c r="AS107" s="63">
        <v>0</v>
      </c>
      <c r="AT107" s="63">
        <v>0</v>
      </c>
      <c r="AU107" s="63">
        <v>0</v>
      </c>
      <c r="AV107" s="63">
        <v>0</v>
      </c>
      <c r="AW107" s="63">
        <v>0</v>
      </c>
      <c r="AX107" s="63">
        <v>1</v>
      </c>
      <c r="AY107" s="63">
        <v>0</v>
      </c>
      <c r="AZ107" s="63">
        <v>1</v>
      </c>
      <c r="BA107" s="63">
        <v>0</v>
      </c>
      <c r="BB107" s="63">
        <v>0</v>
      </c>
      <c r="BC107" s="63">
        <v>1</v>
      </c>
      <c r="BD107" s="63">
        <v>0</v>
      </c>
      <c r="BE107" s="63">
        <v>0</v>
      </c>
      <c r="BF107" s="63">
        <v>0</v>
      </c>
      <c r="BG107" s="63">
        <v>0</v>
      </c>
      <c r="BH107" s="63">
        <v>1</v>
      </c>
      <c r="BI107" s="63">
        <v>0</v>
      </c>
      <c r="BJ107" s="63">
        <v>0</v>
      </c>
      <c r="BK107" s="63">
        <v>0</v>
      </c>
      <c r="BL107" s="63">
        <v>0</v>
      </c>
      <c r="BM107" s="63">
        <v>0</v>
      </c>
      <c r="BN107" s="63">
        <v>0</v>
      </c>
      <c r="BO107" s="63">
        <v>0</v>
      </c>
      <c r="BP107" s="63">
        <v>0</v>
      </c>
      <c r="BQ107" s="63">
        <v>1</v>
      </c>
      <c r="BR107" s="63">
        <v>0</v>
      </c>
      <c r="BS107" s="63">
        <v>0</v>
      </c>
      <c r="BT107" s="63">
        <v>0</v>
      </c>
      <c r="BU107" s="63">
        <v>0</v>
      </c>
      <c r="BV107" s="63">
        <v>0</v>
      </c>
      <c r="BW107" s="63">
        <v>0</v>
      </c>
      <c r="BX107" s="63">
        <v>0</v>
      </c>
      <c r="BY107" s="63">
        <v>0</v>
      </c>
      <c r="BZ107" s="63">
        <v>0</v>
      </c>
      <c r="CA107" s="63">
        <v>0</v>
      </c>
      <c r="CB107" s="63">
        <v>0</v>
      </c>
      <c r="CC107" s="63">
        <v>0</v>
      </c>
      <c r="CD107" s="63">
        <v>0</v>
      </c>
      <c r="CE107" s="63">
        <v>0</v>
      </c>
      <c r="CF107" s="63">
        <v>0</v>
      </c>
      <c r="CG107" s="63">
        <v>0</v>
      </c>
      <c r="CH107" s="63">
        <v>0</v>
      </c>
      <c r="CI107" s="63">
        <v>0</v>
      </c>
      <c r="CJ107" s="63">
        <v>0</v>
      </c>
      <c r="CK107" s="63">
        <v>0</v>
      </c>
      <c r="CL107" s="63">
        <v>0</v>
      </c>
      <c r="CM107" s="63">
        <v>0</v>
      </c>
      <c r="CN107" s="63">
        <v>0</v>
      </c>
      <c r="CO107" s="63">
        <v>0</v>
      </c>
      <c r="CP107" s="63">
        <v>0</v>
      </c>
      <c r="CQ107" s="63">
        <v>0</v>
      </c>
      <c r="CR107" s="63">
        <v>0</v>
      </c>
      <c r="CS107" s="63">
        <v>0</v>
      </c>
      <c r="CT107" s="63">
        <v>0</v>
      </c>
      <c r="CU107" s="61"/>
    </row>
    <row r="108" spans="1:99" ht="12.75">
      <c r="B108" s="1">
        <v>9</v>
      </c>
      <c r="C108" s="63">
        <v>0</v>
      </c>
      <c r="D108" s="63">
        <v>0</v>
      </c>
      <c r="E108" s="63">
        <v>0</v>
      </c>
      <c r="F108" s="63">
        <v>0</v>
      </c>
      <c r="G108" s="63">
        <v>0</v>
      </c>
      <c r="H108" s="63">
        <v>0</v>
      </c>
      <c r="I108" s="63">
        <v>0</v>
      </c>
      <c r="J108" s="63">
        <v>0</v>
      </c>
      <c r="K108" s="63">
        <v>1</v>
      </c>
      <c r="L108" s="63">
        <v>1</v>
      </c>
      <c r="M108" s="63">
        <v>0</v>
      </c>
      <c r="N108" s="63">
        <v>0</v>
      </c>
      <c r="O108" s="63">
        <v>0</v>
      </c>
      <c r="P108" s="63">
        <v>0</v>
      </c>
      <c r="Q108" s="63">
        <v>0</v>
      </c>
      <c r="R108" s="63">
        <v>0</v>
      </c>
      <c r="S108" s="63">
        <v>0</v>
      </c>
      <c r="T108" s="63">
        <v>0</v>
      </c>
      <c r="U108" s="63">
        <v>0</v>
      </c>
      <c r="V108" s="63">
        <v>0</v>
      </c>
      <c r="W108" s="63">
        <v>0</v>
      </c>
      <c r="X108" s="63">
        <v>0</v>
      </c>
      <c r="Y108" s="63">
        <v>0</v>
      </c>
      <c r="Z108" s="63">
        <v>0</v>
      </c>
      <c r="AA108" s="63">
        <v>0</v>
      </c>
      <c r="AB108" s="63">
        <v>0</v>
      </c>
      <c r="AC108" s="63">
        <v>0</v>
      </c>
      <c r="AD108" s="63">
        <v>0</v>
      </c>
      <c r="AE108" s="63">
        <v>0</v>
      </c>
      <c r="AF108" s="63">
        <v>1</v>
      </c>
      <c r="AG108" s="63">
        <v>0</v>
      </c>
      <c r="AH108" s="63">
        <v>0</v>
      </c>
      <c r="AI108" s="63">
        <v>0</v>
      </c>
      <c r="AJ108" s="63">
        <v>0</v>
      </c>
      <c r="AK108" s="63">
        <v>0</v>
      </c>
      <c r="AL108" s="63">
        <v>0</v>
      </c>
      <c r="AM108" s="63">
        <v>0</v>
      </c>
      <c r="AN108" s="63">
        <v>0</v>
      </c>
      <c r="AO108" s="63">
        <v>0</v>
      </c>
      <c r="AP108" s="63">
        <v>0</v>
      </c>
      <c r="AQ108" s="63">
        <v>0</v>
      </c>
      <c r="AR108" s="63">
        <v>0</v>
      </c>
      <c r="AS108" s="63">
        <v>0</v>
      </c>
      <c r="AT108" s="63">
        <v>0</v>
      </c>
      <c r="AU108" s="63">
        <v>0</v>
      </c>
      <c r="AV108" s="63">
        <v>0</v>
      </c>
      <c r="AW108" s="63">
        <v>1</v>
      </c>
      <c r="AX108" s="63">
        <v>0</v>
      </c>
      <c r="AY108" s="63">
        <v>0</v>
      </c>
      <c r="AZ108" s="63">
        <v>0</v>
      </c>
      <c r="BA108" s="63">
        <v>0</v>
      </c>
      <c r="BB108" s="63">
        <v>0</v>
      </c>
      <c r="BC108" s="63">
        <v>0</v>
      </c>
      <c r="BD108" s="63">
        <v>0</v>
      </c>
      <c r="BE108" s="63">
        <v>1</v>
      </c>
      <c r="BF108" s="63">
        <v>0</v>
      </c>
      <c r="BG108" s="63">
        <v>0</v>
      </c>
      <c r="BH108" s="63">
        <v>0</v>
      </c>
      <c r="BI108" s="63">
        <v>0</v>
      </c>
      <c r="BJ108" s="63">
        <v>0</v>
      </c>
      <c r="BK108" s="63">
        <v>0</v>
      </c>
      <c r="BL108" s="63">
        <v>0</v>
      </c>
      <c r="BM108" s="63">
        <v>0</v>
      </c>
      <c r="BN108" s="63">
        <v>0</v>
      </c>
      <c r="BO108" s="63">
        <v>0</v>
      </c>
      <c r="BP108" s="63">
        <v>0</v>
      </c>
      <c r="BQ108" s="63">
        <v>0</v>
      </c>
      <c r="BR108" s="63">
        <v>0</v>
      </c>
      <c r="BS108" s="63">
        <v>0</v>
      </c>
      <c r="BT108" s="63">
        <v>0</v>
      </c>
      <c r="BU108" s="63">
        <v>0</v>
      </c>
      <c r="BV108" s="63">
        <v>0</v>
      </c>
      <c r="BW108" s="63">
        <v>0</v>
      </c>
      <c r="BX108" s="63">
        <v>0</v>
      </c>
      <c r="BY108" s="63">
        <v>0</v>
      </c>
      <c r="BZ108" s="63">
        <v>0</v>
      </c>
      <c r="CA108" s="63">
        <v>0</v>
      </c>
      <c r="CB108" s="63">
        <v>0</v>
      </c>
      <c r="CC108" s="63">
        <v>0</v>
      </c>
      <c r="CD108" s="63">
        <v>0</v>
      </c>
      <c r="CE108" s="63">
        <v>1</v>
      </c>
      <c r="CF108" s="63">
        <v>0</v>
      </c>
      <c r="CG108" s="63">
        <v>0</v>
      </c>
      <c r="CH108" s="63">
        <v>0</v>
      </c>
      <c r="CI108" s="63">
        <v>0</v>
      </c>
      <c r="CJ108" s="63">
        <v>0</v>
      </c>
      <c r="CK108" s="63">
        <v>0</v>
      </c>
      <c r="CL108" s="63">
        <v>0</v>
      </c>
      <c r="CM108" s="63">
        <v>0</v>
      </c>
      <c r="CN108" s="63">
        <v>0</v>
      </c>
      <c r="CO108" s="63">
        <v>0</v>
      </c>
      <c r="CP108" s="63">
        <v>0</v>
      </c>
      <c r="CQ108" s="63">
        <v>0</v>
      </c>
      <c r="CR108" s="63">
        <v>0</v>
      </c>
      <c r="CS108" s="63">
        <v>0</v>
      </c>
      <c r="CT108" s="63">
        <v>0</v>
      </c>
      <c r="CU108" s="61"/>
    </row>
    <row r="109" spans="1:99" ht="12.75">
      <c r="B109" s="1">
        <v>10</v>
      </c>
      <c r="C109" s="63">
        <v>0</v>
      </c>
      <c r="D109" s="63">
        <v>0</v>
      </c>
      <c r="E109" s="63">
        <v>0</v>
      </c>
      <c r="F109" s="63">
        <v>0</v>
      </c>
      <c r="G109" s="63">
        <v>0</v>
      </c>
      <c r="H109" s="63">
        <v>0</v>
      </c>
      <c r="I109" s="63">
        <v>0</v>
      </c>
      <c r="J109" s="63">
        <v>0</v>
      </c>
      <c r="K109" s="63">
        <v>1</v>
      </c>
      <c r="L109" s="63">
        <v>1</v>
      </c>
      <c r="M109" s="63">
        <v>0</v>
      </c>
      <c r="N109" s="63">
        <v>0</v>
      </c>
      <c r="O109" s="63">
        <v>0</v>
      </c>
      <c r="P109" s="63">
        <v>0</v>
      </c>
      <c r="Q109" s="63">
        <v>0</v>
      </c>
      <c r="R109" s="63">
        <v>0</v>
      </c>
      <c r="S109" s="63">
        <v>0</v>
      </c>
      <c r="T109" s="63">
        <v>0</v>
      </c>
      <c r="U109" s="63">
        <v>0</v>
      </c>
      <c r="V109" s="63">
        <v>0</v>
      </c>
      <c r="W109" s="63">
        <v>0</v>
      </c>
      <c r="X109" s="63">
        <v>0</v>
      </c>
      <c r="Y109" s="63">
        <v>0</v>
      </c>
      <c r="Z109" s="63">
        <v>0</v>
      </c>
      <c r="AA109" s="63">
        <v>0</v>
      </c>
      <c r="AB109" s="63">
        <v>0</v>
      </c>
      <c r="AC109" s="63">
        <v>0</v>
      </c>
      <c r="AD109" s="63">
        <v>0</v>
      </c>
      <c r="AE109" s="63">
        <v>0</v>
      </c>
      <c r="AF109" s="63">
        <v>1</v>
      </c>
      <c r="AG109" s="63">
        <v>0</v>
      </c>
      <c r="AH109" s="63">
        <v>0</v>
      </c>
      <c r="AI109" s="63">
        <v>0</v>
      </c>
      <c r="AJ109" s="63">
        <v>0</v>
      </c>
      <c r="AK109" s="63">
        <v>0</v>
      </c>
      <c r="AL109" s="63">
        <v>0</v>
      </c>
      <c r="AM109" s="63">
        <v>0</v>
      </c>
      <c r="AN109" s="63">
        <v>0</v>
      </c>
      <c r="AO109" s="63">
        <v>0</v>
      </c>
      <c r="AP109" s="63">
        <v>0</v>
      </c>
      <c r="AQ109" s="63">
        <v>0</v>
      </c>
      <c r="AR109" s="63">
        <v>0</v>
      </c>
      <c r="AS109" s="63">
        <v>0</v>
      </c>
      <c r="AT109" s="63">
        <v>0</v>
      </c>
      <c r="AU109" s="63">
        <v>0</v>
      </c>
      <c r="AV109" s="63">
        <v>1</v>
      </c>
      <c r="AW109" s="63">
        <v>0</v>
      </c>
      <c r="AX109" s="63">
        <v>0</v>
      </c>
      <c r="AY109" s="63">
        <v>0</v>
      </c>
      <c r="AZ109" s="63">
        <v>0</v>
      </c>
      <c r="BA109" s="63">
        <v>0</v>
      </c>
      <c r="BB109" s="63">
        <v>0</v>
      </c>
      <c r="BC109" s="63">
        <v>0</v>
      </c>
      <c r="BD109" s="63">
        <v>0</v>
      </c>
      <c r="BE109" s="63">
        <v>1</v>
      </c>
      <c r="BF109" s="63">
        <v>0</v>
      </c>
      <c r="BG109" s="63">
        <v>0</v>
      </c>
      <c r="BH109" s="63">
        <v>0</v>
      </c>
      <c r="BI109" s="63">
        <v>0</v>
      </c>
      <c r="BJ109" s="63">
        <v>0</v>
      </c>
      <c r="BK109" s="63">
        <v>0</v>
      </c>
      <c r="BL109" s="63">
        <v>0</v>
      </c>
      <c r="BM109" s="63">
        <v>0</v>
      </c>
      <c r="BN109" s="63">
        <v>0</v>
      </c>
      <c r="BO109" s="63">
        <v>0</v>
      </c>
      <c r="BP109" s="63">
        <v>0</v>
      </c>
      <c r="BQ109" s="63">
        <v>0</v>
      </c>
      <c r="BR109" s="63">
        <v>0</v>
      </c>
      <c r="BS109" s="63">
        <v>0</v>
      </c>
      <c r="BT109" s="63">
        <v>0</v>
      </c>
      <c r="BU109" s="63">
        <v>1</v>
      </c>
      <c r="BV109" s="63">
        <v>0</v>
      </c>
      <c r="BW109" s="63">
        <v>0</v>
      </c>
      <c r="BX109" s="63">
        <v>0</v>
      </c>
      <c r="BY109" s="63">
        <v>0</v>
      </c>
      <c r="BZ109" s="63">
        <v>0</v>
      </c>
      <c r="CA109" s="63">
        <v>0</v>
      </c>
      <c r="CB109" s="63">
        <v>0</v>
      </c>
      <c r="CC109" s="63">
        <v>0</v>
      </c>
      <c r="CD109" s="63">
        <v>0</v>
      </c>
      <c r="CE109" s="63">
        <v>0</v>
      </c>
      <c r="CF109" s="63">
        <v>0</v>
      </c>
      <c r="CG109" s="63">
        <v>0</v>
      </c>
      <c r="CH109" s="63">
        <v>0</v>
      </c>
      <c r="CI109" s="63">
        <v>0</v>
      </c>
      <c r="CJ109" s="63">
        <v>0</v>
      </c>
      <c r="CK109" s="63">
        <v>0</v>
      </c>
      <c r="CL109" s="63">
        <v>0</v>
      </c>
      <c r="CM109" s="63">
        <v>0</v>
      </c>
      <c r="CN109" s="63">
        <v>0</v>
      </c>
      <c r="CO109" s="63">
        <v>0</v>
      </c>
      <c r="CP109" s="63">
        <v>0</v>
      </c>
      <c r="CQ109" s="63">
        <v>0</v>
      </c>
      <c r="CR109" s="63">
        <v>0</v>
      </c>
      <c r="CS109" s="63">
        <v>0</v>
      </c>
      <c r="CT109" s="63">
        <v>0</v>
      </c>
      <c r="CU109" s="61"/>
    </row>
    <row r="110" spans="1:99" ht="12.75">
      <c r="B110" s="1">
        <v>11</v>
      </c>
      <c r="C110" s="63">
        <v>0</v>
      </c>
      <c r="D110" s="63">
        <v>0</v>
      </c>
      <c r="E110" s="63">
        <v>1</v>
      </c>
      <c r="F110" s="63">
        <v>0</v>
      </c>
      <c r="G110" s="63">
        <v>0</v>
      </c>
      <c r="H110" s="63">
        <v>0</v>
      </c>
      <c r="I110" s="63">
        <v>0</v>
      </c>
      <c r="J110" s="63">
        <v>0</v>
      </c>
      <c r="K110" s="63">
        <v>0</v>
      </c>
      <c r="L110" s="63">
        <v>0</v>
      </c>
      <c r="M110" s="63">
        <v>1</v>
      </c>
      <c r="N110" s="63">
        <v>0</v>
      </c>
      <c r="O110" s="63">
        <v>1</v>
      </c>
      <c r="P110" s="63">
        <v>0</v>
      </c>
      <c r="Q110" s="63">
        <v>0</v>
      </c>
      <c r="R110" s="63">
        <v>0</v>
      </c>
      <c r="S110" s="63">
        <v>0</v>
      </c>
      <c r="T110" s="63">
        <v>1</v>
      </c>
      <c r="U110" s="63">
        <v>0</v>
      </c>
      <c r="V110" s="63">
        <v>0</v>
      </c>
      <c r="W110" s="63">
        <v>0</v>
      </c>
      <c r="X110" s="63">
        <v>1</v>
      </c>
      <c r="Y110" s="63">
        <v>0</v>
      </c>
      <c r="Z110" s="63">
        <v>0</v>
      </c>
      <c r="AA110" s="63">
        <v>0</v>
      </c>
      <c r="AB110" s="63">
        <v>0</v>
      </c>
      <c r="AC110" s="63">
        <v>0</v>
      </c>
      <c r="AD110" s="63">
        <v>0</v>
      </c>
      <c r="AE110" s="63">
        <v>0</v>
      </c>
      <c r="AF110" s="63">
        <v>0</v>
      </c>
      <c r="AG110" s="63">
        <v>0</v>
      </c>
      <c r="AH110" s="63">
        <v>0</v>
      </c>
      <c r="AI110" s="63">
        <v>1</v>
      </c>
      <c r="AJ110" s="63">
        <v>0</v>
      </c>
      <c r="AK110" s="63">
        <v>0</v>
      </c>
      <c r="AL110" s="63">
        <v>0</v>
      </c>
      <c r="AM110" s="63">
        <v>0</v>
      </c>
      <c r="AN110" s="63">
        <v>0</v>
      </c>
      <c r="AO110" s="63">
        <v>0</v>
      </c>
      <c r="AP110" s="63">
        <v>0</v>
      </c>
      <c r="AQ110" s="63">
        <v>0</v>
      </c>
      <c r="AR110" s="63">
        <v>0</v>
      </c>
      <c r="AS110" s="63">
        <v>0</v>
      </c>
      <c r="AT110" s="63">
        <v>0</v>
      </c>
      <c r="AU110" s="63">
        <v>0</v>
      </c>
      <c r="AV110" s="63">
        <v>1</v>
      </c>
      <c r="AW110" s="63">
        <v>0</v>
      </c>
      <c r="AX110" s="63">
        <v>0</v>
      </c>
      <c r="AY110" s="63">
        <v>1</v>
      </c>
      <c r="AZ110" s="63">
        <v>0</v>
      </c>
      <c r="BA110" s="63">
        <v>0</v>
      </c>
      <c r="BB110" s="63">
        <v>0</v>
      </c>
      <c r="BC110" s="63">
        <v>0</v>
      </c>
      <c r="BD110" s="63">
        <v>0</v>
      </c>
      <c r="BE110" s="63">
        <v>0</v>
      </c>
      <c r="BF110" s="63">
        <v>0</v>
      </c>
      <c r="BG110" s="63">
        <v>0</v>
      </c>
      <c r="BH110" s="63">
        <v>0</v>
      </c>
      <c r="BI110" s="63">
        <v>0</v>
      </c>
      <c r="BJ110" s="63">
        <v>0</v>
      </c>
      <c r="BK110" s="63">
        <v>0</v>
      </c>
      <c r="BL110" s="63">
        <v>0</v>
      </c>
      <c r="BM110" s="63">
        <v>1</v>
      </c>
      <c r="BN110" s="63">
        <v>0</v>
      </c>
      <c r="BO110" s="63">
        <v>0</v>
      </c>
      <c r="BP110" s="63">
        <v>0</v>
      </c>
      <c r="BQ110" s="63">
        <v>0</v>
      </c>
      <c r="BR110" s="63">
        <v>0</v>
      </c>
      <c r="BS110" s="63">
        <v>0</v>
      </c>
      <c r="BT110" s="63">
        <v>0</v>
      </c>
      <c r="BU110" s="63">
        <v>0</v>
      </c>
      <c r="BV110" s="63">
        <v>0</v>
      </c>
      <c r="BW110" s="63">
        <v>0</v>
      </c>
      <c r="BX110" s="63">
        <v>0</v>
      </c>
      <c r="BY110" s="63">
        <v>0</v>
      </c>
      <c r="BZ110" s="63">
        <v>0</v>
      </c>
      <c r="CA110" s="63">
        <v>0</v>
      </c>
      <c r="CB110" s="63">
        <v>0</v>
      </c>
      <c r="CC110" s="63">
        <v>0</v>
      </c>
      <c r="CD110" s="63">
        <v>0</v>
      </c>
      <c r="CE110" s="63">
        <v>0</v>
      </c>
      <c r="CF110" s="63">
        <v>0</v>
      </c>
      <c r="CG110" s="63">
        <v>0</v>
      </c>
      <c r="CH110" s="63">
        <v>0</v>
      </c>
      <c r="CI110" s="63">
        <v>0</v>
      </c>
      <c r="CJ110" s="63">
        <v>0</v>
      </c>
      <c r="CK110" s="63">
        <v>0</v>
      </c>
      <c r="CL110" s="63">
        <v>0</v>
      </c>
      <c r="CM110" s="63">
        <v>0</v>
      </c>
      <c r="CN110" s="63">
        <v>0</v>
      </c>
      <c r="CO110" s="63">
        <v>0</v>
      </c>
      <c r="CP110" s="63">
        <v>0</v>
      </c>
      <c r="CQ110" s="63">
        <v>0</v>
      </c>
      <c r="CR110" s="63">
        <v>0</v>
      </c>
      <c r="CS110" s="63">
        <v>0</v>
      </c>
      <c r="CT110" s="63">
        <v>0</v>
      </c>
      <c r="CU110" s="61"/>
    </row>
    <row r="111" spans="1:99" ht="12.75">
      <c r="B111" s="1">
        <v>12</v>
      </c>
      <c r="C111" s="63">
        <v>0</v>
      </c>
      <c r="D111" s="63">
        <v>0</v>
      </c>
      <c r="E111" s="63">
        <v>0</v>
      </c>
      <c r="F111" s="63">
        <v>0</v>
      </c>
      <c r="G111" s="63">
        <v>0</v>
      </c>
      <c r="H111" s="63">
        <v>0</v>
      </c>
      <c r="I111" s="63">
        <v>0</v>
      </c>
      <c r="J111" s="63">
        <v>0</v>
      </c>
      <c r="K111" s="63">
        <v>0</v>
      </c>
      <c r="L111" s="63">
        <v>0</v>
      </c>
      <c r="M111" s="63">
        <v>0</v>
      </c>
      <c r="N111" s="63">
        <v>1</v>
      </c>
      <c r="O111" s="63">
        <v>0</v>
      </c>
      <c r="P111" s="63">
        <v>0</v>
      </c>
      <c r="Q111" s="63">
        <v>0</v>
      </c>
      <c r="R111" s="63">
        <v>0</v>
      </c>
      <c r="S111" s="63">
        <v>0</v>
      </c>
      <c r="T111" s="63">
        <v>0</v>
      </c>
      <c r="U111" s="63">
        <v>0</v>
      </c>
      <c r="V111" s="63">
        <v>1</v>
      </c>
      <c r="W111" s="63">
        <v>0</v>
      </c>
      <c r="X111" s="63">
        <v>0</v>
      </c>
      <c r="Y111" s="63">
        <v>0</v>
      </c>
      <c r="Z111" s="63">
        <v>0</v>
      </c>
      <c r="AA111" s="63">
        <v>0</v>
      </c>
      <c r="AB111" s="63">
        <v>0</v>
      </c>
      <c r="AC111" s="63">
        <v>0</v>
      </c>
      <c r="AD111" s="63">
        <v>0</v>
      </c>
      <c r="AE111" s="63">
        <v>0</v>
      </c>
      <c r="AF111" s="63">
        <v>0</v>
      </c>
      <c r="AG111" s="63">
        <v>0</v>
      </c>
      <c r="AH111" s="63">
        <v>0</v>
      </c>
      <c r="AI111" s="63">
        <v>0</v>
      </c>
      <c r="AJ111" s="63">
        <v>0</v>
      </c>
      <c r="AK111" s="63">
        <v>0</v>
      </c>
      <c r="AL111" s="63">
        <v>0</v>
      </c>
      <c r="AM111" s="63">
        <v>0</v>
      </c>
      <c r="AN111" s="63">
        <v>1</v>
      </c>
      <c r="AO111" s="63">
        <v>0</v>
      </c>
      <c r="AP111" s="63">
        <v>0</v>
      </c>
      <c r="AQ111" s="63">
        <v>0</v>
      </c>
      <c r="AR111" s="63">
        <v>0</v>
      </c>
      <c r="AS111" s="63">
        <v>0</v>
      </c>
      <c r="AT111" s="63">
        <v>0</v>
      </c>
      <c r="AU111" s="63">
        <v>0</v>
      </c>
      <c r="AV111" s="63">
        <v>0</v>
      </c>
      <c r="AW111" s="63">
        <v>0</v>
      </c>
      <c r="AX111" s="63">
        <v>0</v>
      </c>
      <c r="AY111" s="63">
        <v>0</v>
      </c>
      <c r="AZ111" s="63">
        <v>0</v>
      </c>
      <c r="BA111" s="63">
        <v>0</v>
      </c>
      <c r="BB111" s="63">
        <v>0</v>
      </c>
      <c r="BC111" s="63">
        <v>0</v>
      </c>
      <c r="BD111" s="63">
        <v>0</v>
      </c>
      <c r="BE111" s="63">
        <v>0</v>
      </c>
      <c r="BF111" s="63">
        <v>0</v>
      </c>
      <c r="BG111" s="63">
        <v>0</v>
      </c>
      <c r="BH111" s="63">
        <v>0</v>
      </c>
      <c r="BI111" s="63">
        <v>0</v>
      </c>
      <c r="BJ111" s="63">
        <v>0</v>
      </c>
      <c r="BK111" s="63">
        <v>1</v>
      </c>
      <c r="BL111" s="63">
        <v>0</v>
      </c>
      <c r="BM111" s="63">
        <v>0</v>
      </c>
      <c r="BN111" s="63">
        <v>0</v>
      </c>
      <c r="BO111" s="63">
        <v>0</v>
      </c>
      <c r="BP111" s="63">
        <v>0</v>
      </c>
      <c r="BQ111" s="63">
        <v>0</v>
      </c>
      <c r="BR111" s="63">
        <v>0</v>
      </c>
      <c r="BS111" s="63">
        <v>0</v>
      </c>
      <c r="BT111" s="63">
        <v>0</v>
      </c>
      <c r="BU111" s="63">
        <v>0</v>
      </c>
      <c r="BV111" s="63">
        <v>0</v>
      </c>
      <c r="BW111" s="63">
        <v>0</v>
      </c>
      <c r="BX111" s="63">
        <v>0</v>
      </c>
      <c r="BY111" s="63">
        <v>0</v>
      </c>
      <c r="BZ111" s="63">
        <v>1</v>
      </c>
      <c r="CA111" s="63">
        <v>1</v>
      </c>
      <c r="CB111" s="63">
        <v>1</v>
      </c>
      <c r="CC111" s="63">
        <v>0</v>
      </c>
      <c r="CD111" s="63">
        <v>0</v>
      </c>
      <c r="CE111" s="63">
        <v>0</v>
      </c>
      <c r="CF111" s="63">
        <v>0</v>
      </c>
      <c r="CG111" s="63">
        <v>0</v>
      </c>
      <c r="CH111" s="63">
        <v>0</v>
      </c>
      <c r="CI111" s="63">
        <v>0</v>
      </c>
      <c r="CJ111" s="63">
        <v>0</v>
      </c>
      <c r="CK111" s="63">
        <v>0</v>
      </c>
      <c r="CL111" s="63">
        <v>0</v>
      </c>
      <c r="CM111" s="63">
        <v>0</v>
      </c>
      <c r="CN111" s="63">
        <v>0</v>
      </c>
      <c r="CO111" s="63">
        <v>0</v>
      </c>
      <c r="CP111" s="63">
        <v>0</v>
      </c>
      <c r="CQ111" s="63">
        <v>0</v>
      </c>
      <c r="CR111" s="63">
        <v>0</v>
      </c>
      <c r="CS111" s="63">
        <v>0</v>
      </c>
      <c r="CT111" s="63">
        <v>0</v>
      </c>
      <c r="CU111" s="61"/>
    </row>
    <row r="112" spans="1:99" ht="12.75">
      <c r="B112" s="1">
        <v>13</v>
      </c>
      <c r="C112" s="63">
        <v>0</v>
      </c>
      <c r="D112" s="63">
        <v>0</v>
      </c>
      <c r="E112" s="63">
        <v>1</v>
      </c>
      <c r="F112" s="63">
        <v>0</v>
      </c>
      <c r="G112" s="63">
        <v>0</v>
      </c>
      <c r="H112" s="63">
        <v>0</v>
      </c>
      <c r="I112" s="63">
        <v>0</v>
      </c>
      <c r="J112" s="63">
        <v>0</v>
      </c>
      <c r="K112" s="63">
        <v>0</v>
      </c>
      <c r="L112" s="63">
        <v>0</v>
      </c>
      <c r="M112" s="63">
        <v>1</v>
      </c>
      <c r="N112" s="63">
        <v>0</v>
      </c>
      <c r="O112" s="63">
        <v>1</v>
      </c>
      <c r="P112" s="63">
        <v>0</v>
      </c>
      <c r="Q112" s="63">
        <v>0</v>
      </c>
      <c r="R112" s="63">
        <v>0</v>
      </c>
      <c r="S112" s="63">
        <v>1</v>
      </c>
      <c r="T112" s="63">
        <v>0</v>
      </c>
      <c r="U112" s="63">
        <v>1</v>
      </c>
      <c r="V112" s="63">
        <v>0</v>
      </c>
      <c r="W112" s="63">
        <v>1</v>
      </c>
      <c r="X112" s="63">
        <v>0</v>
      </c>
      <c r="Y112" s="63">
        <v>0</v>
      </c>
      <c r="Z112" s="63">
        <v>0</v>
      </c>
      <c r="AA112" s="63">
        <v>0</v>
      </c>
      <c r="AB112" s="63">
        <v>0</v>
      </c>
      <c r="AC112" s="63">
        <v>0</v>
      </c>
      <c r="AD112" s="63">
        <v>0</v>
      </c>
      <c r="AE112" s="63">
        <v>0</v>
      </c>
      <c r="AF112" s="63">
        <v>0</v>
      </c>
      <c r="AG112" s="63">
        <v>0</v>
      </c>
      <c r="AH112" s="63">
        <v>0</v>
      </c>
      <c r="AI112" s="63">
        <v>1</v>
      </c>
      <c r="AJ112" s="63">
        <v>0</v>
      </c>
      <c r="AK112" s="63">
        <v>0</v>
      </c>
      <c r="AL112" s="63">
        <v>0</v>
      </c>
      <c r="AM112" s="63">
        <v>0</v>
      </c>
      <c r="AN112" s="63">
        <v>0</v>
      </c>
      <c r="AO112" s="63">
        <v>1</v>
      </c>
      <c r="AP112" s="63">
        <v>0</v>
      </c>
      <c r="AQ112" s="63">
        <v>0</v>
      </c>
      <c r="AR112" s="63">
        <v>0</v>
      </c>
      <c r="AS112" s="63">
        <v>0</v>
      </c>
      <c r="AT112" s="63">
        <v>0</v>
      </c>
      <c r="AU112" s="63">
        <v>1</v>
      </c>
      <c r="AV112" s="63">
        <v>0</v>
      </c>
      <c r="AW112" s="63">
        <v>0</v>
      </c>
      <c r="AX112" s="63">
        <v>0</v>
      </c>
      <c r="AY112" s="63">
        <v>0</v>
      </c>
      <c r="AZ112" s="63">
        <v>0</v>
      </c>
      <c r="BA112" s="63">
        <v>0</v>
      </c>
      <c r="BB112" s="63">
        <v>0</v>
      </c>
      <c r="BC112" s="63">
        <v>0</v>
      </c>
      <c r="BD112" s="63">
        <v>0</v>
      </c>
      <c r="BE112" s="63">
        <v>0</v>
      </c>
      <c r="BF112" s="63">
        <v>0</v>
      </c>
      <c r="BG112" s="63">
        <v>0</v>
      </c>
      <c r="BH112" s="63">
        <v>0</v>
      </c>
      <c r="BI112" s="63">
        <v>0</v>
      </c>
      <c r="BJ112" s="63">
        <v>0</v>
      </c>
      <c r="BK112" s="63">
        <v>0</v>
      </c>
      <c r="BL112" s="63">
        <v>0</v>
      </c>
      <c r="BM112" s="63">
        <v>0</v>
      </c>
      <c r="BN112" s="63">
        <v>0</v>
      </c>
      <c r="BO112" s="63">
        <v>0</v>
      </c>
      <c r="BP112" s="63">
        <v>0</v>
      </c>
      <c r="BQ112" s="63">
        <v>1</v>
      </c>
      <c r="BR112" s="63">
        <v>0</v>
      </c>
      <c r="BS112" s="63">
        <v>0</v>
      </c>
      <c r="BT112" s="63">
        <v>0</v>
      </c>
      <c r="BU112" s="63">
        <v>0</v>
      </c>
      <c r="BV112" s="63">
        <v>0</v>
      </c>
      <c r="BW112" s="63">
        <v>0</v>
      </c>
      <c r="BX112" s="63">
        <v>0</v>
      </c>
      <c r="BY112" s="63">
        <v>0</v>
      </c>
      <c r="BZ112" s="63">
        <v>0</v>
      </c>
      <c r="CA112" s="63">
        <v>0</v>
      </c>
      <c r="CB112" s="63">
        <v>0</v>
      </c>
      <c r="CC112" s="63">
        <v>0</v>
      </c>
      <c r="CD112" s="63">
        <v>0</v>
      </c>
      <c r="CE112" s="63">
        <v>0</v>
      </c>
      <c r="CF112" s="63">
        <v>0</v>
      </c>
      <c r="CG112" s="63">
        <v>0</v>
      </c>
      <c r="CH112" s="63">
        <v>0</v>
      </c>
      <c r="CI112" s="63">
        <v>0</v>
      </c>
      <c r="CJ112" s="63">
        <v>0</v>
      </c>
      <c r="CK112" s="63">
        <v>0</v>
      </c>
      <c r="CL112" s="63">
        <v>0</v>
      </c>
      <c r="CM112" s="63">
        <v>0</v>
      </c>
      <c r="CN112" s="63">
        <v>0</v>
      </c>
      <c r="CO112" s="63">
        <v>0</v>
      </c>
      <c r="CP112" s="63">
        <v>0</v>
      </c>
      <c r="CQ112" s="63">
        <v>0</v>
      </c>
      <c r="CR112" s="63">
        <v>0</v>
      </c>
      <c r="CS112" s="63">
        <v>0</v>
      </c>
      <c r="CT112" s="63">
        <v>0</v>
      </c>
      <c r="CU112" s="61"/>
    </row>
    <row r="113" spans="2:99" ht="12.75">
      <c r="B113" s="1">
        <v>14</v>
      </c>
      <c r="C113" s="63">
        <v>0</v>
      </c>
      <c r="D113" s="63">
        <v>0</v>
      </c>
      <c r="E113" s="63">
        <v>0</v>
      </c>
      <c r="F113" s="63">
        <v>0</v>
      </c>
      <c r="G113" s="63">
        <v>1</v>
      </c>
      <c r="H113" s="63">
        <v>1</v>
      </c>
      <c r="I113" s="63">
        <v>0</v>
      </c>
      <c r="J113" s="63">
        <v>0</v>
      </c>
      <c r="K113" s="63">
        <v>0</v>
      </c>
      <c r="L113" s="63">
        <v>0</v>
      </c>
      <c r="M113" s="63">
        <v>0</v>
      </c>
      <c r="N113" s="63">
        <v>0</v>
      </c>
      <c r="O113" s="63">
        <v>0</v>
      </c>
      <c r="P113" s="63">
        <v>1</v>
      </c>
      <c r="Q113" s="63">
        <v>0</v>
      </c>
      <c r="R113" s="63">
        <v>0</v>
      </c>
      <c r="S113" s="63">
        <v>0</v>
      </c>
      <c r="T113" s="63">
        <v>0</v>
      </c>
      <c r="U113" s="63">
        <v>0</v>
      </c>
      <c r="V113" s="63">
        <v>0</v>
      </c>
      <c r="W113" s="63">
        <v>0</v>
      </c>
      <c r="X113" s="63">
        <v>0</v>
      </c>
      <c r="Y113" s="63">
        <v>0</v>
      </c>
      <c r="Z113" s="63">
        <v>1</v>
      </c>
      <c r="AA113" s="63">
        <v>0</v>
      </c>
      <c r="AB113" s="63">
        <v>0</v>
      </c>
      <c r="AC113" s="63">
        <v>0</v>
      </c>
      <c r="AD113" s="63">
        <v>0</v>
      </c>
      <c r="AE113" s="63">
        <v>0</v>
      </c>
      <c r="AF113" s="63">
        <v>1</v>
      </c>
      <c r="AG113" s="63">
        <v>0</v>
      </c>
      <c r="AH113" s="63">
        <v>0</v>
      </c>
      <c r="AI113" s="63">
        <v>0</v>
      </c>
      <c r="AJ113" s="63">
        <v>0</v>
      </c>
      <c r="AK113" s="63">
        <v>0</v>
      </c>
      <c r="AL113" s="63">
        <v>0</v>
      </c>
      <c r="AM113" s="63">
        <v>0</v>
      </c>
      <c r="AN113" s="63">
        <v>0</v>
      </c>
      <c r="AO113" s="63">
        <v>0</v>
      </c>
      <c r="AP113" s="63">
        <v>0</v>
      </c>
      <c r="AQ113" s="63">
        <v>0</v>
      </c>
      <c r="AR113" s="63">
        <v>0</v>
      </c>
      <c r="AS113" s="63">
        <v>0</v>
      </c>
      <c r="AT113" s="63">
        <v>0</v>
      </c>
      <c r="AU113" s="63">
        <v>0</v>
      </c>
      <c r="AV113" s="63">
        <v>0</v>
      </c>
      <c r="AW113" s="63">
        <v>1</v>
      </c>
      <c r="AX113" s="63">
        <v>0</v>
      </c>
      <c r="AY113" s="63">
        <v>0</v>
      </c>
      <c r="AZ113" s="63">
        <v>0</v>
      </c>
      <c r="BA113" s="63">
        <v>0</v>
      </c>
      <c r="BB113" s="63">
        <v>0</v>
      </c>
      <c r="BC113" s="63">
        <v>0</v>
      </c>
      <c r="BD113" s="63">
        <v>0</v>
      </c>
      <c r="BE113" s="63">
        <v>0</v>
      </c>
      <c r="BF113" s="63">
        <v>0</v>
      </c>
      <c r="BG113" s="63">
        <v>0</v>
      </c>
      <c r="BH113" s="63">
        <v>0</v>
      </c>
      <c r="BI113" s="63">
        <v>0</v>
      </c>
      <c r="BJ113" s="63">
        <v>1</v>
      </c>
      <c r="BK113" s="63">
        <v>0</v>
      </c>
      <c r="BL113" s="63">
        <v>0</v>
      </c>
      <c r="BM113" s="63">
        <v>0</v>
      </c>
      <c r="BN113" s="63">
        <v>0</v>
      </c>
      <c r="BO113" s="63">
        <v>0</v>
      </c>
      <c r="BP113" s="63">
        <v>0</v>
      </c>
      <c r="BQ113" s="63">
        <v>0</v>
      </c>
      <c r="BR113" s="63">
        <v>0</v>
      </c>
      <c r="BS113" s="63">
        <v>0</v>
      </c>
      <c r="BT113" s="63">
        <v>0</v>
      </c>
      <c r="BU113" s="63">
        <v>0</v>
      </c>
      <c r="BV113" s="63">
        <v>0</v>
      </c>
      <c r="BW113" s="63">
        <v>0</v>
      </c>
      <c r="BX113" s="63">
        <v>0</v>
      </c>
      <c r="BY113" s="63">
        <v>0</v>
      </c>
      <c r="BZ113" s="63">
        <v>0</v>
      </c>
      <c r="CA113" s="63">
        <v>0</v>
      </c>
      <c r="CB113" s="63">
        <v>0</v>
      </c>
      <c r="CC113" s="63">
        <v>0</v>
      </c>
      <c r="CD113" s="63">
        <v>0</v>
      </c>
      <c r="CE113" s="63">
        <v>0</v>
      </c>
      <c r="CF113" s="63">
        <v>0</v>
      </c>
      <c r="CG113" s="63">
        <v>0</v>
      </c>
      <c r="CH113" s="63">
        <v>0</v>
      </c>
      <c r="CI113" s="63">
        <v>0</v>
      </c>
      <c r="CJ113" s="63">
        <v>0</v>
      </c>
      <c r="CK113" s="63">
        <v>0</v>
      </c>
      <c r="CL113" s="63">
        <v>0</v>
      </c>
      <c r="CM113" s="63">
        <v>0</v>
      </c>
      <c r="CN113" s="63">
        <v>0</v>
      </c>
      <c r="CO113" s="63">
        <v>0</v>
      </c>
      <c r="CP113" s="63">
        <v>0</v>
      </c>
      <c r="CQ113" s="63">
        <v>0</v>
      </c>
      <c r="CR113" s="63">
        <v>0</v>
      </c>
      <c r="CS113" s="63">
        <v>0</v>
      </c>
      <c r="CT113" s="63">
        <v>1</v>
      </c>
      <c r="CU113" s="61"/>
    </row>
    <row r="114" spans="2:99" ht="12.75">
      <c r="B114" s="1">
        <v>15</v>
      </c>
      <c r="C114" s="63">
        <v>0</v>
      </c>
      <c r="D114" s="63">
        <v>0</v>
      </c>
      <c r="E114" s="63">
        <v>0</v>
      </c>
      <c r="F114" s="63">
        <v>0</v>
      </c>
      <c r="G114" s="63">
        <v>0</v>
      </c>
      <c r="H114" s="63">
        <v>0</v>
      </c>
      <c r="I114" s="63">
        <v>0</v>
      </c>
      <c r="J114" s="63">
        <v>0</v>
      </c>
      <c r="K114" s="63">
        <v>0</v>
      </c>
      <c r="L114" s="63">
        <v>0</v>
      </c>
      <c r="M114" s="63">
        <v>0</v>
      </c>
      <c r="N114" s="63">
        <v>0</v>
      </c>
      <c r="O114" s="63">
        <v>0</v>
      </c>
      <c r="P114" s="63">
        <v>0</v>
      </c>
      <c r="Q114" s="63">
        <v>1</v>
      </c>
      <c r="R114" s="63">
        <v>0</v>
      </c>
      <c r="S114" s="63">
        <v>0</v>
      </c>
      <c r="T114" s="63">
        <v>0</v>
      </c>
      <c r="U114" s="63">
        <v>0</v>
      </c>
      <c r="V114" s="63">
        <v>0</v>
      </c>
      <c r="W114" s="63">
        <v>0</v>
      </c>
      <c r="X114" s="63">
        <v>0</v>
      </c>
      <c r="Y114" s="63">
        <v>0</v>
      </c>
      <c r="Z114" s="63">
        <v>0</v>
      </c>
      <c r="AA114" s="63">
        <v>1</v>
      </c>
      <c r="AB114" s="63">
        <v>1</v>
      </c>
      <c r="AC114" s="63">
        <v>0</v>
      </c>
      <c r="AD114" s="63">
        <v>0</v>
      </c>
      <c r="AE114" s="63">
        <v>0</v>
      </c>
      <c r="AF114" s="63">
        <v>0</v>
      </c>
      <c r="AG114" s="63">
        <v>0</v>
      </c>
      <c r="AH114" s="63">
        <v>0</v>
      </c>
      <c r="AI114" s="63">
        <v>0</v>
      </c>
      <c r="AJ114" s="63">
        <v>0</v>
      </c>
      <c r="AK114" s="63">
        <v>1</v>
      </c>
      <c r="AL114" s="63">
        <v>0</v>
      </c>
      <c r="AM114" s="63">
        <v>0</v>
      </c>
      <c r="AN114" s="63">
        <v>0</v>
      </c>
      <c r="AO114" s="63">
        <v>0</v>
      </c>
      <c r="AP114" s="63">
        <v>0</v>
      </c>
      <c r="AQ114" s="63">
        <v>0</v>
      </c>
      <c r="AR114" s="63">
        <v>0</v>
      </c>
      <c r="AS114" s="63">
        <v>0</v>
      </c>
      <c r="AT114" s="63">
        <v>0</v>
      </c>
      <c r="AU114" s="63">
        <v>0</v>
      </c>
      <c r="AV114" s="63">
        <v>0</v>
      </c>
      <c r="AW114" s="63">
        <v>0</v>
      </c>
      <c r="AX114" s="63">
        <v>0</v>
      </c>
      <c r="AY114" s="63">
        <v>0</v>
      </c>
      <c r="AZ114" s="63">
        <v>0</v>
      </c>
      <c r="BA114" s="63">
        <v>0</v>
      </c>
      <c r="BB114" s="63">
        <v>0</v>
      </c>
      <c r="BC114" s="63">
        <v>0</v>
      </c>
      <c r="BD114" s="63">
        <v>0</v>
      </c>
      <c r="BE114" s="63">
        <v>0</v>
      </c>
      <c r="BF114" s="63">
        <v>0</v>
      </c>
      <c r="BG114" s="63">
        <v>0</v>
      </c>
      <c r="BH114" s="63">
        <v>0</v>
      </c>
      <c r="BI114" s="63">
        <v>0</v>
      </c>
      <c r="BJ114" s="63">
        <v>0</v>
      </c>
      <c r="BK114" s="63">
        <v>0</v>
      </c>
      <c r="BL114" s="63">
        <v>0</v>
      </c>
      <c r="BM114" s="63">
        <v>0</v>
      </c>
      <c r="BN114" s="63">
        <v>0</v>
      </c>
      <c r="BO114" s="63">
        <v>0</v>
      </c>
      <c r="BP114" s="63">
        <v>0</v>
      </c>
      <c r="BQ114" s="63">
        <v>0</v>
      </c>
      <c r="BR114" s="63">
        <v>0</v>
      </c>
      <c r="BS114" s="63">
        <v>0</v>
      </c>
      <c r="BT114" s="63">
        <v>0</v>
      </c>
      <c r="BU114" s="63">
        <v>0</v>
      </c>
      <c r="BV114" s="63">
        <v>0</v>
      </c>
      <c r="BW114" s="63">
        <v>0</v>
      </c>
      <c r="BX114" s="63">
        <v>0</v>
      </c>
      <c r="BY114" s="63">
        <v>0</v>
      </c>
      <c r="BZ114" s="63">
        <v>0</v>
      </c>
      <c r="CA114" s="63">
        <v>0</v>
      </c>
      <c r="CB114" s="63">
        <v>0</v>
      </c>
      <c r="CC114" s="63">
        <v>0</v>
      </c>
      <c r="CD114" s="63">
        <v>0</v>
      </c>
      <c r="CE114" s="63">
        <v>0</v>
      </c>
      <c r="CF114" s="63">
        <v>0</v>
      </c>
      <c r="CG114" s="63">
        <v>1</v>
      </c>
      <c r="CH114" s="63">
        <v>0</v>
      </c>
      <c r="CI114" s="63">
        <v>0</v>
      </c>
      <c r="CJ114" s="63">
        <v>0</v>
      </c>
      <c r="CK114" s="63">
        <v>0</v>
      </c>
      <c r="CL114" s="63">
        <v>0</v>
      </c>
      <c r="CM114" s="63">
        <v>0</v>
      </c>
      <c r="CN114" s="63">
        <v>0</v>
      </c>
      <c r="CO114" s="63">
        <v>0</v>
      </c>
      <c r="CP114" s="63">
        <v>0</v>
      </c>
      <c r="CQ114" s="63">
        <v>0</v>
      </c>
      <c r="CR114" s="63">
        <v>0</v>
      </c>
      <c r="CS114" s="63">
        <v>0</v>
      </c>
      <c r="CT114" s="63">
        <v>0</v>
      </c>
      <c r="CU114" s="61"/>
    </row>
    <row r="115" spans="2:99" ht="12.75">
      <c r="B115" s="1">
        <v>16</v>
      </c>
      <c r="C115" s="63">
        <v>0</v>
      </c>
      <c r="D115" s="63">
        <v>0</v>
      </c>
      <c r="E115" s="63">
        <v>0</v>
      </c>
      <c r="F115" s="63">
        <v>0</v>
      </c>
      <c r="G115" s="63">
        <v>0</v>
      </c>
      <c r="H115" s="63">
        <v>0</v>
      </c>
      <c r="I115" s="63">
        <v>0</v>
      </c>
      <c r="J115" s="63">
        <v>0</v>
      </c>
      <c r="K115" s="63">
        <v>0</v>
      </c>
      <c r="L115" s="63">
        <v>0</v>
      </c>
      <c r="M115" s="63">
        <v>0</v>
      </c>
      <c r="N115" s="63">
        <v>0</v>
      </c>
      <c r="O115" s="63">
        <v>0</v>
      </c>
      <c r="P115" s="63">
        <v>0</v>
      </c>
      <c r="Q115" s="63">
        <v>0</v>
      </c>
      <c r="R115" s="63">
        <v>1</v>
      </c>
      <c r="S115" s="63">
        <v>0</v>
      </c>
      <c r="T115" s="63">
        <v>0</v>
      </c>
      <c r="U115" s="63">
        <v>0</v>
      </c>
      <c r="V115" s="63">
        <v>0</v>
      </c>
      <c r="W115" s="63">
        <v>0</v>
      </c>
      <c r="X115" s="63">
        <v>0</v>
      </c>
      <c r="Y115" s="63">
        <v>0</v>
      </c>
      <c r="Z115" s="63">
        <v>0</v>
      </c>
      <c r="AA115" s="63">
        <v>0</v>
      </c>
      <c r="AB115" s="63">
        <v>0</v>
      </c>
      <c r="AC115" s="63">
        <v>0</v>
      </c>
      <c r="AD115" s="63">
        <v>0</v>
      </c>
      <c r="AE115" s="63">
        <v>0</v>
      </c>
      <c r="AF115" s="63">
        <v>0</v>
      </c>
      <c r="AG115" s="63">
        <v>0</v>
      </c>
      <c r="AH115" s="63">
        <v>0</v>
      </c>
      <c r="AI115" s="63">
        <v>0</v>
      </c>
      <c r="AJ115" s="63">
        <v>0</v>
      </c>
      <c r="AK115" s="63">
        <v>0</v>
      </c>
      <c r="AL115" s="63">
        <v>0</v>
      </c>
      <c r="AM115" s="63">
        <v>0</v>
      </c>
      <c r="AN115" s="63">
        <v>0</v>
      </c>
      <c r="AO115" s="63">
        <v>0</v>
      </c>
      <c r="AP115" s="63">
        <v>0</v>
      </c>
      <c r="AQ115" s="63">
        <v>0</v>
      </c>
      <c r="AR115" s="63">
        <v>0</v>
      </c>
      <c r="AS115" s="63">
        <v>0</v>
      </c>
      <c r="AT115" s="63">
        <v>0</v>
      </c>
      <c r="AU115" s="63">
        <v>0</v>
      </c>
      <c r="AV115" s="63">
        <v>0</v>
      </c>
      <c r="AW115" s="63">
        <v>0</v>
      </c>
      <c r="AX115" s="63">
        <v>0</v>
      </c>
      <c r="AY115" s="63">
        <v>0</v>
      </c>
      <c r="AZ115" s="63">
        <v>0</v>
      </c>
      <c r="BA115" s="63">
        <v>0</v>
      </c>
      <c r="BB115" s="63">
        <v>0</v>
      </c>
      <c r="BC115" s="63">
        <v>0</v>
      </c>
      <c r="BD115" s="63">
        <v>0</v>
      </c>
      <c r="BE115" s="63">
        <v>0</v>
      </c>
      <c r="BF115" s="63">
        <v>0</v>
      </c>
      <c r="BG115" s="63">
        <v>1</v>
      </c>
      <c r="BH115" s="63">
        <v>0</v>
      </c>
      <c r="BI115" s="63">
        <v>0</v>
      </c>
      <c r="BJ115" s="63">
        <v>0</v>
      </c>
      <c r="BK115" s="63">
        <v>0</v>
      </c>
      <c r="BL115" s="63">
        <v>0</v>
      </c>
      <c r="BM115" s="63">
        <v>0</v>
      </c>
      <c r="BN115" s="63">
        <v>0</v>
      </c>
      <c r="BO115" s="63">
        <v>0</v>
      </c>
      <c r="BP115" s="63">
        <v>0</v>
      </c>
      <c r="BQ115" s="63">
        <v>0</v>
      </c>
      <c r="BR115" s="63">
        <v>0</v>
      </c>
      <c r="BS115" s="63">
        <v>1</v>
      </c>
      <c r="BT115" s="63">
        <v>0</v>
      </c>
      <c r="BU115" s="63">
        <v>0</v>
      </c>
      <c r="BV115" s="63">
        <v>0</v>
      </c>
      <c r="BW115" s="63">
        <v>0</v>
      </c>
      <c r="BX115" s="63">
        <v>0</v>
      </c>
      <c r="BY115" s="63">
        <v>0</v>
      </c>
      <c r="BZ115" s="63">
        <v>0</v>
      </c>
      <c r="CA115" s="63">
        <v>0</v>
      </c>
      <c r="CB115" s="63">
        <v>0</v>
      </c>
      <c r="CC115" s="63">
        <v>0</v>
      </c>
      <c r="CD115" s="63">
        <v>0</v>
      </c>
      <c r="CE115" s="63">
        <v>0</v>
      </c>
      <c r="CF115" s="63">
        <v>0</v>
      </c>
      <c r="CG115" s="63">
        <v>0</v>
      </c>
      <c r="CH115" s="63">
        <v>0</v>
      </c>
      <c r="CI115" s="63">
        <v>0</v>
      </c>
      <c r="CJ115" s="63">
        <v>0</v>
      </c>
      <c r="CK115" s="63">
        <v>0</v>
      </c>
      <c r="CL115" s="63">
        <v>0</v>
      </c>
      <c r="CM115" s="63">
        <v>0</v>
      </c>
      <c r="CN115" s="63">
        <v>0</v>
      </c>
      <c r="CO115" s="63">
        <v>0</v>
      </c>
      <c r="CP115" s="63">
        <v>0</v>
      </c>
      <c r="CQ115" s="63">
        <v>0</v>
      </c>
      <c r="CR115" s="63">
        <v>0</v>
      </c>
      <c r="CS115" s="63">
        <v>0</v>
      </c>
      <c r="CT115" s="63">
        <v>0</v>
      </c>
      <c r="CU115" s="61"/>
    </row>
    <row r="116" spans="2:99" ht="12.75">
      <c r="B116" s="1">
        <v>17</v>
      </c>
      <c r="C116" s="63">
        <v>0</v>
      </c>
      <c r="D116" s="63">
        <v>0</v>
      </c>
      <c r="E116" s="63">
        <v>0</v>
      </c>
      <c r="F116" s="63">
        <v>0</v>
      </c>
      <c r="G116" s="63">
        <v>0</v>
      </c>
      <c r="H116" s="63">
        <v>0</v>
      </c>
      <c r="I116" s="63">
        <v>0</v>
      </c>
      <c r="J116" s="63">
        <v>0</v>
      </c>
      <c r="K116" s="63">
        <v>0</v>
      </c>
      <c r="L116" s="63">
        <v>0</v>
      </c>
      <c r="M116" s="63">
        <v>0</v>
      </c>
      <c r="N116" s="63">
        <v>0</v>
      </c>
      <c r="O116" s="63">
        <v>1</v>
      </c>
      <c r="P116" s="63">
        <v>0</v>
      </c>
      <c r="Q116" s="63">
        <v>0</v>
      </c>
      <c r="R116" s="63">
        <v>0</v>
      </c>
      <c r="S116" s="63">
        <v>1</v>
      </c>
      <c r="T116" s="63">
        <v>0</v>
      </c>
      <c r="U116" s="63">
        <v>0</v>
      </c>
      <c r="V116" s="63">
        <v>0</v>
      </c>
      <c r="W116" s="63">
        <v>0</v>
      </c>
      <c r="X116" s="63">
        <v>0</v>
      </c>
      <c r="Y116" s="63">
        <v>0</v>
      </c>
      <c r="Z116" s="63">
        <v>0</v>
      </c>
      <c r="AA116" s="63">
        <v>0</v>
      </c>
      <c r="AB116" s="63">
        <v>0</v>
      </c>
      <c r="AC116" s="63">
        <v>0</v>
      </c>
      <c r="AD116" s="63">
        <v>1</v>
      </c>
      <c r="AE116" s="63">
        <v>0</v>
      </c>
      <c r="AF116" s="63">
        <v>0</v>
      </c>
      <c r="AG116" s="63">
        <v>0</v>
      </c>
      <c r="AH116" s="63">
        <v>0</v>
      </c>
      <c r="AI116" s="63">
        <v>1</v>
      </c>
      <c r="AJ116" s="63">
        <v>0</v>
      </c>
      <c r="AK116" s="63">
        <v>0</v>
      </c>
      <c r="AL116" s="63">
        <v>0</v>
      </c>
      <c r="AM116" s="63">
        <v>0</v>
      </c>
      <c r="AN116" s="63">
        <v>0</v>
      </c>
      <c r="AO116" s="63">
        <v>1</v>
      </c>
      <c r="AP116" s="63">
        <v>0</v>
      </c>
      <c r="AQ116" s="63">
        <v>0</v>
      </c>
      <c r="AR116" s="63">
        <v>0</v>
      </c>
      <c r="AS116" s="63">
        <v>0</v>
      </c>
      <c r="AT116" s="63">
        <v>1</v>
      </c>
      <c r="AU116" s="63">
        <v>0</v>
      </c>
      <c r="AV116" s="63">
        <v>0</v>
      </c>
      <c r="AW116" s="63">
        <v>0</v>
      </c>
      <c r="AX116" s="63">
        <v>0</v>
      </c>
      <c r="AY116" s="63">
        <v>0</v>
      </c>
      <c r="AZ116" s="63">
        <v>0</v>
      </c>
      <c r="BA116" s="63">
        <v>0</v>
      </c>
      <c r="BB116" s="63">
        <v>0</v>
      </c>
      <c r="BC116" s="63">
        <v>0</v>
      </c>
      <c r="BD116" s="63">
        <v>0</v>
      </c>
      <c r="BE116" s="63">
        <v>0</v>
      </c>
      <c r="BF116" s="63">
        <v>0</v>
      </c>
      <c r="BG116" s="63">
        <v>0</v>
      </c>
      <c r="BH116" s="63">
        <v>0</v>
      </c>
      <c r="BI116" s="63">
        <v>0</v>
      </c>
      <c r="BJ116" s="63">
        <v>0</v>
      </c>
      <c r="BK116" s="63">
        <v>0</v>
      </c>
      <c r="BL116" s="63">
        <v>0</v>
      </c>
      <c r="BM116" s="63">
        <v>0</v>
      </c>
      <c r="BN116" s="63">
        <v>0</v>
      </c>
      <c r="BO116" s="63">
        <v>0</v>
      </c>
      <c r="BP116" s="63">
        <v>0</v>
      </c>
      <c r="BQ116" s="63">
        <v>0</v>
      </c>
      <c r="BR116" s="63">
        <v>0</v>
      </c>
      <c r="BS116" s="63">
        <v>0</v>
      </c>
      <c r="BT116" s="63">
        <v>0</v>
      </c>
      <c r="BU116" s="63">
        <v>0</v>
      </c>
      <c r="BV116" s="63">
        <v>0</v>
      </c>
      <c r="BW116" s="63">
        <v>0</v>
      </c>
      <c r="BX116" s="63">
        <v>0</v>
      </c>
      <c r="BY116" s="63">
        <v>0</v>
      </c>
      <c r="BZ116" s="63">
        <v>0</v>
      </c>
      <c r="CA116" s="63">
        <v>0</v>
      </c>
      <c r="CB116" s="63">
        <v>0</v>
      </c>
      <c r="CC116" s="63">
        <v>0</v>
      </c>
      <c r="CD116" s="63">
        <v>0</v>
      </c>
      <c r="CE116" s="63">
        <v>0</v>
      </c>
      <c r="CF116" s="63">
        <v>0</v>
      </c>
      <c r="CG116" s="63">
        <v>0</v>
      </c>
      <c r="CH116" s="63">
        <v>0</v>
      </c>
      <c r="CI116" s="63">
        <v>0</v>
      </c>
      <c r="CJ116" s="63">
        <v>0</v>
      </c>
      <c r="CK116" s="63">
        <v>0</v>
      </c>
      <c r="CL116" s="63">
        <v>0</v>
      </c>
      <c r="CM116" s="63">
        <v>0</v>
      </c>
      <c r="CN116" s="63">
        <v>0</v>
      </c>
      <c r="CO116" s="63">
        <v>0</v>
      </c>
      <c r="CP116" s="63">
        <v>0</v>
      </c>
      <c r="CQ116" s="63">
        <v>0</v>
      </c>
      <c r="CR116" s="63">
        <v>0</v>
      </c>
      <c r="CS116" s="63">
        <v>0</v>
      </c>
      <c r="CT116" s="63">
        <v>0</v>
      </c>
      <c r="CU116" s="61"/>
    </row>
    <row r="117" spans="2:99" ht="12.75">
      <c r="B117" s="1">
        <v>18</v>
      </c>
      <c r="C117" s="63">
        <v>0</v>
      </c>
      <c r="D117" s="63">
        <v>1</v>
      </c>
      <c r="E117" s="63">
        <v>1</v>
      </c>
      <c r="F117" s="63">
        <v>0</v>
      </c>
      <c r="G117" s="63">
        <v>0</v>
      </c>
      <c r="H117" s="63">
        <v>0</v>
      </c>
      <c r="I117" s="63">
        <v>0</v>
      </c>
      <c r="J117" s="63">
        <v>0</v>
      </c>
      <c r="K117" s="63">
        <v>0</v>
      </c>
      <c r="L117" s="63">
        <v>0</v>
      </c>
      <c r="M117" s="63">
        <v>1</v>
      </c>
      <c r="N117" s="63">
        <v>0</v>
      </c>
      <c r="O117" s="63">
        <v>0</v>
      </c>
      <c r="P117" s="63">
        <v>0</v>
      </c>
      <c r="Q117" s="63">
        <v>0</v>
      </c>
      <c r="R117" s="63">
        <v>0</v>
      </c>
      <c r="S117" s="63">
        <v>0</v>
      </c>
      <c r="T117" s="63">
        <v>1</v>
      </c>
      <c r="U117" s="63">
        <v>0</v>
      </c>
      <c r="V117" s="63">
        <v>0</v>
      </c>
      <c r="W117" s="63">
        <v>0</v>
      </c>
      <c r="X117" s="63">
        <v>0</v>
      </c>
      <c r="Y117" s="63">
        <v>0</v>
      </c>
      <c r="Z117" s="63">
        <v>0</v>
      </c>
      <c r="AA117" s="63">
        <v>0</v>
      </c>
      <c r="AB117" s="63">
        <v>0</v>
      </c>
      <c r="AC117" s="63">
        <v>0</v>
      </c>
      <c r="AD117" s="63">
        <v>0</v>
      </c>
      <c r="AE117" s="63">
        <v>0</v>
      </c>
      <c r="AF117" s="63">
        <v>0</v>
      </c>
      <c r="AG117" s="63">
        <v>0</v>
      </c>
      <c r="AH117" s="63">
        <v>0</v>
      </c>
      <c r="AI117" s="63">
        <v>0</v>
      </c>
      <c r="AJ117" s="63">
        <v>0</v>
      </c>
      <c r="AK117" s="63">
        <v>0</v>
      </c>
      <c r="AL117" s="63">
        <v>0</v>
      </c>
      <c r="AM117" s="63">
        <v>0</v>
      </c>
      <c r="AN117" s="63">
        <v>0</v>
      </c>
      <c r="AO117" s="63">
        <v>0</v>
      </c>
      <c r="AP117" s="63">
        <v>0</v>
      </c>
      <c r="AQ117" s="63">
        <v>0</v>
      </c>
      <c r="AR117" s="63">
        <v>0</v>
      </c>
      <c r="AS117" s="63">
        <v>0</v>
      </c>
      <c r="AT117" s="63">
        <v>0</v>
      </c>
      <c r="AU117" s="63">
        <v>0</v>
      </c>
      <c r="AV117" s="63">
        <v>0</v>
      </c>
      <c r="AW117" s="63">
        <v>0</v>
      </c>
      <c r="AX117" s="63">
        <v>0</v>
      </c>
      <c r="AY117" s="63">
        <v>1</v>
      </c>
      <c r="AZ117" s="63">
        <v>0</v>
      </c>
      <c r="BA117" s="63">
        <v>0</v>
      </c>
      <c r="BB117" s="63">
        <v>0</v>
      </c>
      <c r="BC117" s="63">
        <v>0</v>
      </c>
      <c r="BD117" s="63">
        <v>0</v>
      </c>
      <c r="BE117" s="63">
        <v>0</v>
      </c>
      <c r="BF117" s="63">
        <v>0</v>
      </c>
      <c r="BG117" s="63">
        <v>0</v>
      </c>
      <c r="BH117" s="63">
        <v>0</v>
      </c>
      <c r="BI117" s="63">
        <v>0</v>
      </c>
      <c r="BJ117" s="63">
        <v>0</v>
      </c>
      <c r="BK117" s="63">
        <v>0</v>
      </c>
      <c r="BL117" s="63">
        <v>0</v>
      </c>
      <c r="BM117" s="63">
        <v>0</v>
      </c>
      <c r="BN117" s="63">
        <v>0</v>
      </c>
      <c r="BO117" s="63">
        <v>0</v>
      </c>
      <c r="BP117" s="63">
        <v>0</v>
      </c>
      <c r="BQ117" s="63">
        <v>0</v>
      </c>
      <c r="BR117" s="63">
        <v>0</v>
      </c>
      <c r="BS117" s="63">
        <v>0</v>
      </c>
      <c r="BT117" s="63">
        <v>0</v>
      </c>
      <c r="BU117" s="63">
        <v>0</v>
      </c>
      <c r="BV117" s="63">
        <v>0</v>
      </c>
      <c r="BW117" s="63">
        <v>0</v>
      </c>
      <c r="BX117" s="63">
        <v>0</v>
      </c>
      <c r="BY117" s="63">
        <v>0</v>
      </c>
      <c r="BZ117" s="63">
        <v>0</v>
      </c>
      <c r="CA117" s="63">
        <v>0</v>
      </c>
      <c r="CB117" s="63">
        <v>0</v>
      </c>
      <c r="CC117" s="63">
        <v>0</v>
      </c>
      <c r="CD117" s="63">
        <v>0</v>
      </c>
      <c r="CE117" s="63">
        <v>0</v>
      </c>
      <c r="CF117" s="63">
        <v>0</v>
      </c>
      <c r="CG117" s="63">
        <v>0</v>
      </c>
      <c r="CH117" s="63">
        <v>0</v>
      </c>
      <c r="CI117" s="63">
        <v>0</v>
      </c>
      <c r="CJ117" s="63">
        <v>0</v>
      </c>
      <c r="CK117" s="63">
        <v>0</v>
      </c>
      <c r="CL117" s="63">
        <v>0</v>
      </c>
      <c r="CM117" s="63">
        <v>0</v>
      </c>
      <c r="CN117" s="63">
        <v>0</v>
      </c>
      <c r="CO117" s="63">
        <v>0</v>
      </c>
      <c r="CP117" s="63">
        <v>0</v>
      </c>
      <c r="CQ117" s="63">
        <v>0</v>
      </c>
      <c r="CR117" s="63">
        <v>0</v>
      </c>
      <c r="CS117" s="63">
        <v>0</v>
      </c>
      <c r="CT117" s="63">
        <v>0</v>
      </c>
      <c r="CU117" s="61"/>
    </row>
    <row r="118" spans="2:99" ht="12.75">
      <c r="B118" s="1">
        <v>19</v>
      </c>
      <c r="C118" s="63">
        <v>0</v>
      </c>
      <c r="D118" s="63">
        <v>0</v>
      </c>
      <c r="E118" s="63">
        <v>0</v>
      </c>
      <c r="F118" s="63">
        <v>0</v>
      </c>
      <c r="G118" s="63">
        <v>0</v>
      </c>
      <c r="H118" s="63">
        <v>0</v>
      </c>
      <c r="I118" s="63">
        <v>0</v>
      </c>
      <c r="J118" s="63">
        <v>0</v>
      </c>
      <c r="K118" s="63">
        <v>0</v>
      </c>
      <c r="L118" s="63">
        <v>0</v>
      </c>
      <c r="M118" s="63">
        <v>0</v>
      </c>
      <c r="N118" s="63">
        <v>0</v>
      </c>
      <c r="O118" s="63">
        <v>1</v>
      </c>
      <c r="P118" s="63">
        <v>0</v>
      </c>
      <c r="Q118" s="63">
        <v>0</v>
      </c>
      <c r="R118" s="63">
        <v>0</v>
      </c>
      <c r="S118" s="63">
        <v>0</v>
      </c>
      <c r="T118" s="63">
        <v>0</v>
      </c>
      <c r="U118" s="63">
        <v>1</v>
      </c>
      <c r="V118" s="63">
        <v>0</v>
      </c>
      <c r="W118" s="63">
        <v>1</v>
      </c>
      <c r="X118" s="63">
        <v>0</v>
      </c>
      <c r="Y118" s="63">
        <v>0</v>
      </c>
      <c r="Z118" s="63">
        <v>0</v>
      </c>
      <c r="AA118" s="63">
        <v>0</v>
      </c>
      <c r="AB118" s="63">
        <v>0</v>
      </c>
      <c r="AC118" s="63">
        <v>0</v>
      </c>
      <c r="AD118" s="63">
        <v>0</v>
      </c>
      <c r="AE118" s="63">
        <v>0</v>
      </c>
      <c r="AF118" s="63">
        <v>0</v>
      </c>
      <c r="AG118" s="63">
        <v>0</v>
      </c>
      <c r="AH118" s="63">
        <v>0</v>
      </c>
      <c r="AI118" s="63">
        <v>0</v>
      </c>
      <c r="AJ118" s="63">
        <v>0</v>
      </c>
      <c r="AK118" s="63">
        <v>0</v>
      </c>
      <c r="AL118" s="63">
        <v>0</v>
      </c>
      <c r="AM118" s="63">
        <v>0</v>
      </c>
      <c r="AN118" s="63">
        <v>0</v>
      </c>
      <c r="AO118" s="63">
        <v>1</v>
      </c>
      <c r="AP118" s="63">
        <v>0</v>
      </c>
      <c r="AQ118" s="63">
        <v>0</v>
      </c>
      <c r="AR118" s="63">
        <v>0</v>
      </c>
      <c r="AS118" s="63">
        <v>0</v>
      </c>
      <c r="AT118" s="63">
        <v>0</v>
      </c>
      <c r="AU118" s="63">
        <v>1</v>
      </c>
      <c r="AV118" s="63">
        <v>0</v>
      </c>
      <c r="AW118" s="63">
        <v>0</v>
      </c>
      <c r="AX118" s="63">
        <v>0</v>
      </c>
      <c r="AY118" s="63">
        <v>0</v>
      </c>
      <c r="AZ118" s="63">
        <v>0</v>
      </c>
      <c r="BA118" s="63">
        <v>0</v>
      </c>
      <c r="BB118" s="63">
        <v>0</v>
      </c>
      <c r="BC118" s="63">
        <v>0</v>
      </c>
      <c r="BD118" s="63">
        <v>0</v>
      </c>
      <c r="BE118" s="63">
        <v>0</v>
      </c>
      <c r="BF118" s="63">
        <v>0</v>
      </c>
      <c r="BG118" s="63">
        <v>0</v>
      </c>
      <c r="BH118" s="63">
        <v>0</v>
      </c>
      <c r="BI118" s="63">
        <v>0</v>
      </c>
      <c r="BJ118" s="63">
        <v>0</v>
      </c>
      <c r="BK118" s="63">
        <v>0</v>
      </c>
      <c r="BL118" s="63">
        <v>0</v>
      </c>
      <c r="BM118" s="63">
        <v>0</v>
      </c>
      <c r="BN118" s="63">
        <v>0</v>
      </c>
      <c r="BO118" s="63">
        <v>0</v>
      </c>
      <c r="BP118" s="63">
        <v>0</v>
      </c>
      <c r="BQ118" s="63">
        <v>0</v>
      </c>
      <c r="BR118" s="63">
        <v>0</v>
      </c>
      <c r="BS118" s="63">
        <v>0</v>
      </c>
      <c r="BT118" s="63">
        <v>0</v>
      </c>
      <c r="BU118" s="63">
        <v>0</v>
      </c>
      <c r="BV118" s="63">
        <v>0</v>
      </c>
      <c r="BW118" s="63">
        <v>0</v>
      </c>
      <c r="BX118" s="63">
        <v>0</v>
      </c>
      <c r="BY118" s="63">
        <v>0</v>
      </c>
      <c r="BZ118" s="63">
        <v>0</v>
      </c>
      <c r="CA118" s="63">
        <v>0</v>
      </c>
      <c r="CB118" s="63">
        <v>0</v>
      </c>
      <c r="CC118" s="63">
        <v>0</v>
      </c>
      <c r="CD118" s="63">
        <v>0</v>
      </c>
      <c r="CE118" s="63">
        <v>0</v>
      </c>
      <c r="CF118" s="63">
        <v>0</v>
      </c>
      <c r="CG118" s="63">
        <v>0</v>
      </c>
      <c r="CH118" s="63">
        <v>0</v>
      </c>
      <c r="CI118" s="63">
        <v>0</v>
      </c>
      <c r="CJ118" s="63">
        <v>0</v>
      </c>
      <c r="CK118" s="63">
        <v>0</v>
      </c>
      <c r="CL118" s="63">
        <v>0</v>
      </c>
      <c r="CM118" s="63">
        <v>0</v>
      </c>
      <c r="CN118" s="63">
        <v>0</v>
      </c>
      <c r="CO118" s="63">
        <v>0</v>
      </c>
      <c r="CP118" s="63">
        <v>0</v>
      </c>
      <c r="CQ118" s="63">
        <v>0</v>
      </c>
      <c r="CR118" s="63">
        <v>0</v>
      </c>
      <c r="CS118" s="63">
        <v>0</v>
      </c>
      <c r="CT118" s="63">
        <v>0</v>
      </c>
      <c r="CU118" s="61"/>
    </row>
    <row r="119" spans="2:99" ht="12.75">
      <c r="B119" s="1">
        <v>20</v>
      </c>
      <c r="C119" s="63">
        <v>0</v>
      </c>
      <c r="D119" s="63">
        <v>0</v>
      </c>
      <c r="E119" s="63">
        <v>0</v>
      </c>
      <c r="F119" s="63">
        <v>0</v>
      </c>
      <c r="G119" s="63">
        <v>0</v>
      </c>
      <c r="H119" s="63">
        <v>0</v>
      </c>
      <c r="I119" s="63">
        <v>0</v>
      </c>
      <c r="J119" s="63">
        <v>0</v>
      </c>
      <c r="K119" s="63">
        <v>0</v>
      </c>
      <c r="L119" s="63">
        <v>0</v>
      </c>
      <c r="M119" s="63">
        <v>0</v>
      </c>
      <c r="N119" s="63">
        <v>1</v>
      </c>
      <c r="O119" s="63">
        <v>0</v>
      </c>
      <c r="P119" s="63">
        <v>0</v>
      </c>
      <c r="Q119" s="63">
        <v>0</v>
      </c>
      <c r="R119" s="63">
        <v>0</v>
      </c>
      <c r="S119" s="63">
        <v>0</v>
      </c>
      <c r="T119" s="63">
        <v>0</v>
      </c>
      <c r="U119" s="63">
        <v>0</v>
      </c>
      <c r="V119" s="63">
        <v>1</v>
      </c>
      <c r="W119" s="63">
        <v>0</v>
      </c>
      <c r="X119" s="63">
        <v>0</v>
      </c>
      <c r="Y119" s="63">
        <v>0</v>
      </c>
      <c r="Z119" s="63">
        <v>0</v>
      </c>
      <c r="AA119" s="63">
        <v>0</v>
      </c>
      <c r="AB119" s="63">
        <v>0</v>
      </c>
      <c r="AC119" s="63">
        <v>0</v>
      </c>
      <c r="AD119" s="63">
        <v>0</v>
      </c>
      <c r="AE119" s="63">
        <v>0</v>
      </c>
      <c r="AF119" s="63">
        <v>0</v>
      </c>
      <c r="AG119" s="63">
        <v>0</v>
      </c>
      <c r="AH119" s="63">
        <v>0</v>
      </c>
      <c r="AI119" s="63">
        <v>0</v>
      </c>
      <c r="AJ119" s="63">
        <v>0</v>
      </c>
      <c r="AK119" s="63">
        <v>0</v>
      </c>
      <c r="AL119" s="63">
        <v>0</v>
      </c>
      <c r="AM119" s="63">
        <v>0</v>
      </c>
      <c r="AN119" s="63">
        <v>1</v>
      </c>
      <c r="AO119" s="63">
        <v>0</v>
      </c>
      <c r="AP119" s="63">
        <v>1</v>
      </c>
      <c r="AQ119" s="63">
        <v>0</v>
      </c>
      <c r="AR119" s="63">
        <v>0</v>
      </c>
      <c r="AS119" s="63">
        <v>0</v>
      </c>
      <c r="AT119" s="63">
        <v>0</v>
      </c>
      <c r="AU119" s="63">
        <v>0</v>
      </c>
      <c r="AV119" s="63">
        <v>0</v>
      </c>
      <c r="AW119" s="63">
        <v>0</v>
      </c>
      <c r="AX119" s="63">
        <v>0</v>
      </c>
      <c r="AY119" s="63">
        <v>0</v>
      </c>
      <c r="AZ119" s="63">
        <v>0</v>
      </c>
      <c r="BA119" s="63">
        <v>0</v>
      </c>
      <c r="BB119" s="63">
        <v>0</v>
      </c>
      <c r="BC119" s="63">
        <v>0</v>
      </c>
      <c r="BD119" s="63">
        <v>0</v>
      </c>
      <c r="BE119" s="63">
        <v>0</v>
      </c>
      <c r="BF119" s="63">
        <v>1</v>
      </c>
      <c r="BG119" s="63">
        <v>0</v>
      </c>
      <c r="BH119" s="63">
        <v>0</v>
      </c>
      <c r="BI119" s="63">
        <v>0</v>
      </c>
      <c r="BJ119" s="63">
        <v>0</v>
      </c>
      <c r="BK119" s="63">
        <v>0</v>
      </c>
      <c r="BL119" s="63">
        <v>0</v>
      </c>
      <c r="BM119" s="63">
        <v>0</v>
      </c>
      <c r="BN119" s="63">
        <v>0</v>
      </c>
      <c r="BO119" s="63">
        <v>0</v>
      </c>
      <c r="BP119" s="63">
        <v>0</v>
      </c>
      <c r="BQ119" s="63">
        <v>0</v>
      </c>
      <c r="BR119" s="63">
        <v>0</v>
      </c>
      <c r="BS119" s="63">
        <v>0</v>
      </c>
      <c r="BT119" s="63">
        <v>0</v>
      </c>
      <c r="BU119" s="63">
        <v>0</v>
      </c>
      <c r="BV119" s="63">
        <v>0</v>
      </c>
      <c r="BW119" s="63">
        <v>0</v>
      </c>
      <c r="BX119" s="63">
        <v>0</v>
      </c>
      <c r="BY119" s="63">
        <v>0</v>
      </c>
      <c r="BZ119" s="63">
        <v>1</v>
      </c>
      <c r="CA119" s="63">
        <v>1</v>
      </c>
      <c r="CB119" s="63">
        <v>0</v>
      </c>
      <c r="CC119" s="63">
        <v>0</v>
      </c>
      <c r="CD119" s="63">
        <v>0</v>
      </c>
      <c r="CE119" s="63">
        <v>0</v>
      </c>
      <c r="CF119" s="63">
        <v>0</v>
      </c>
      <c r="CG119" s="63">
        <v>0</v>
      </c>
      <c r="CH119" s="63">
        <v>0</v>
      </c>
      <c r="CI119" s="63">
        <v>0</v>
      </c>
      <c r="CJ119" s="63">
        <v>0</v>
      </c>
      <c r="CK119" s="63">
        <v>0</v>
      </c>
      <c r="CL119" s="63">
        <v>0</v>
      </c>
      <c r="CM119" s="63">
        <v>0</v>
      </c>
      <c r="CN119" s="63">
        <v>0</v>
      </c>
      <c r="CO119" s="63">
        <v>0</v>
      </c>
      <c r="CP119" s="63">
        <v>0</v>
      </c>
      <c r="CQ119" s="63">
        <v>0</v>
      </c>
      <c r="CR119" s="63">
        <v>0</v>
      </c>
      <c r="CS119" s="63">
        <v>0</v>
      </c>
      <c r="CT119" s="63">
        <v>0</v>
      </c>
      <c r="CU119" s="61"/>
    </row>
    <row r="120" spans="2:99" ht="12.75">
      <c r="B120" s="1">
        <v>21</v>
      </c>
      <c r="C120" s="63">
        <v>0</v>
      </c>
      <c r="D120" s="63">
        <v>0</v>
      </c>
      <c r="E120" s="63">
        <v>0</v>
      </c>
      <c r="F120" s="63">
        <v>0</v>
      </c>
      <c r="G120" s="63">
        <v>0</v>
      </c>
      <c r="H120" s="63">
        <v>0</v>
      </c>
      <c r="I120" s="63">
        <v>0</v>
      </c>
      <c r="J120" s="63">
        <v>0</v>
      </c>
      <c r="K120" s="63">
        <v>0</v>
      </c>
      <c r="L120" s="63">
        <v>0</v>
      </c>
      <c r="M120" s="63">
        <v>0</v>
      </c>
      <c r="N120" s="63">
        <v>0</v>
      </c>
      <c r="O120" s="63">
        <v>1</v>
      </c>
      <c r="P120" s="63">
        <v>0</v>
      </c>
      <c r="Q120" s="63">
        <v>0</v>
      </c>
      <c r="R120" s="63">
        <v>0</v>
      </c>
      <c r="S120" s="63">
        <v>0</v>
      </c>
      <c r="T120" s="63">
        <v>0</v>
      </c>
      <c r="U120" s="63">
        <v>1</v>
      </c>
      <c r="V120" s="63">
        <v>0</v>
      </c>
      <c r="W120" s="63">
        <v>1</v>
      </c>
      <c r="X120" s="63">
        <v>0</v>
      </c>
      <c r="Y120" s="63">
        <v>0</v>
      </c>
      <c r="Z120" s="63">
        <v>0</v>
      </c>
      <c r="AA120" s="63">
        <v>0</v>
      </c>
      <c r="AB120" s="63">
        <v>0</v>
      </c>
      <c r="AC120" s="63">
        <v>0</v>
      </c>
      <c r="AD120" s="63">
        <v>0</v>
      </c>
      <c r="AE120" s="63">
        <v>1</v>
      </c>
      <c r="AF120" s="63">
        <v>0</v>
      </c>
      <c r="AG120" s="63">
        <v>0</v>
      </c>
      <c r="AH120" s="63">
        <v>0</v>
      </c>
      <c r="AI120" s="63">
        <v>0</v>
      </c>
      <c r="AJ120" s="63">
        <v>0</v>
      </c>
      <c r="AK120" s="63">
        <v>0</v>
      </c>
      <c r="AL120" s="63">
        <v>1</v>
      </c>
      <c r="AM120" s="63">
        <v>0</v>
      </c>
      <c r="AN120" s="63">
        <v>0</v>
      </c>
      <c r="AO120" s="63">
        <v>1</v>
      </c>
      <c r="AP120" s="63">
        <v>0</v>
      </c>
      <c r="AQ120" s="63">
        <v>0</v>
      </c>
      <c r="AR120" s="63">
        <v>0</v>
      </c>
      <c r="AS120" s="63">
        <v>0</v>
      </c>
      <c r="AT120" s="63">
        <v>0</v>
      </c>
      <c r="AU120" s="63">
        <v>1</v>
      </c>
      <c r="AV120" s="63">
        <v>0</v>
      </c>
      <c r="AW120" s="63">
        <v>0</v>
      </c>
      <c r="AX120" s="63">
        <v>0</v>
      </c>
      <c r="AY120" s="63">
        <v>0</v>
      </c>
      <c r="AZ120" s="63">
        <v>0</v>
      </c>
      <c r="BA120" s="63">
        <v>0</v>
      </c>
      <c r="BB120" s="63">
        <v>0</v>
      </c>
      <c r="BC120" s="63">
        <v>0</v>
      </c>
      <c r="BD120" s="63">
        <v>0</v>
      </c>
      <c r="BE120" s="63">
        <v>0</v>
      </c>
      <c r="BF120" s="63">
        <v>0</v>
      </c>
      <c r="BG120" s="63">
        <v>0</v>
      </c>
      <c r="BH120" s="63">
        <v>0</v>
      </c>
      <c r="BI120" s="63">
        <v>0</v>
      </c>
      <c r="BJ120" s="63">
        <v>0</v>
      </c>
      <c r="BK120" s="63">
        <v>0</v>
      </c>
      <c r="BL120" s="63">
        <v>0</v>
      </c>
      <c r="BM120" s="63">
        <v>0</v>
      </c>
      <c r="BN120" s="63">
        <v>0</v>
      </c>
      <c r="BO120" s="63">
        <v>0</v>
      </c>
      <c r="BP120" s="63">
        <v>0</v>
      </c>
      <c r="BQ120" s="63">
        <v>0</v>
      </c>
      <c r="BR120" s="63">
        <v>0</v>
      </c>
      <c r="BS120" s="63">
        <v>0</v>
      </c>
      <c r="BT120" s="63">
        <v>0</v>
      </c>
      <c r="BU120" s="63">
        <v>0</v>
      </c>
      <c r="BV120" s="63">
        <v>0</v>
      </c>
      <c r="BW120" s="63">
        <v>0</v>
      </c>
      <c r="BX120" s="63">
        <v>0</v>
      </c>
      <c r="BY120" s="63">
        <v>0</v>
      </c>
      <c r="BZ120" s="63">
        <v>0</v>
      </c>
      <c r="CA120" s="63">
        <v>0</v>
      </c>
      <c r="CB120" s="63">
        <v>0</v>
      </c>
      <c r="CC120" s="63">
        <v>0</v>
      </c>
      <c r="CD120" s="63">
        <v>0</v>
      </c>
      <c r="CE120" s="63">
        <v>0</v>
      </c>
      <c r="CF120" s="63">
        <v>0</v>
      </c>
      <c r="CG120" s="63">
        <v>1</v>
      </c>
      <c r="CH120" s="63">
        <v>0</v>
      </c>
      <c r="CI120" s="63">
        <v>0</v>
      </c>
      <c r="CJ120" s="63">
        <v>0</v>
      </c>
      <c r="CK120" s="63">
        <v>0</v>
      </c>
      <c r="CL120" s="63">
        <v>0</v>
      </c>
      <c r="CM120" s="63">
        <v>0</v>
      </c>
      <c r="CN120" s="63">
        <v>0</v>
      </c>
      <c r="CO120" s="63">
        <v>0</v>
      </c>
      <c r="CP120" s="63">
        <v>0</v>
      </c>
      <c r="CQ120" s="63">
        <v>0</v>
      </c>
      <c r="CR120" s="63">
        <v>0</v>
      </c>
      <c r="CS120" s="63">
        <v>0</v>
      </c>
      <c r="CT120" s="63">
        <v>0</v>
      </c>
      <c r="CU120" s="61"/>
    </row>
    <row r="121" spans="2:99" ht="12.75">
      <c r="B121" s="1">
        <v>22</v>
      </c>
      <c r="C121" s="63">
        <v>0</v>
      </c>
      <c r="D121" s="63">
        <v>0</v>
      </c>
      <c r="E121" s="63">
        <v>0</v>
      </c>
      <c r="F121" s="63">
        <v>0</v>
      </c>
      <c r="G121" s="63">
        <v>0</v>
      </c>
      <c r="H121" s="63">
        <v>0</v>
      </c>
      <c r="I121" s="63">
        <v>0</v>
      </c>
      <c r="J121" s="63">
        <v>0</v>
      </c>
      <c r="K121" s="63">
        <v>0</v>
      </c>
      <c r="L121" s="63">
        <v>0</v>
      </c>
      <c r="M121" s="63">
        <v>1</v>
      </c>
      <c r="N121" s="63">
        <v>0</v>
      </c>
      <c r="O121" s="63">
        <v>0</v>
      </c>
      <c r="P121" s="63">
        <v>0</v>
      </c>
      <c r="Q121" s="63">
        <v>0</v>
      </c>
      <c r="R121" s="63">
        <v>0</v>
      </c>
      <c r="S121" s="63">
        <v>0</v>
      </c>
      <c r="T121" s="63">
        <v>0</v>
      </c>
      <c r="U121" s="63">
        <v>0</v>
      </c>
      <c r="V121" s="63">
        <v>0</v>
      </c>
      <c r="W121" s="63">
        <v>0</v>
      </c>
      <c r="X121" s="63">
        <v>1</v>
      </c>
      <c r="Y121" s="63">
        <v>0</v>
      </c>
      <c r="Z121" s="63">
        <v>0</v>
      </c>
      <c r="AA121" s="63">
        <v>0</v>
      </c>
      <c r="AB121" s="63">
        <v>0</v>
      </c>
      <c r="AC121" s="63">
        <v>0</v>
      </c>
      <c r="AD121" s="63">
        <v>0</v>
      </c>
      <c r="AE121" s="63">
        <v>0</v>
      </c>
      <c r="AF121" s="63">
        <v>0</v>
      </c>
      <c r="AG121" s="63">
        <v>0</v>
      </c>
      <c r="AH121" s="63">
        <v>0</v>
      </c>
      <c r="AI121" s="63">
        <v>0</v>
      </c>
      <c r="AJ121" s="63">
        <v>0</v>
      </c>
      <c r="AK121" s="63">
        <v>0</v>
      </c>
      <c r="AL121" s="63">
        <v>0</v>
      </c>
      <c r="AM121" s="63">
        <v>0</v>
      </c>
      <c r="AN121" s="63">
        <v>0</v>
      </c>
      <c r="AO121" s="63">
        <v>0</v>
      </c>
      <c r="AP121" s="63">
        <v>0</v>
      </c>
      <c r="AQ121" s="63">
        <v>0</v>
      </c>
      <c r="AR121" s="63">
        <v>0</v>
      </c>
      <c r="AS121" s="63">
        <v>0</v>
      </c>
      <c r="AT121" s="63">
        <v>0</v>
      </c>
      <c r="AU121" s="63">
        <v>0</v>
      </c>
      <c r="AV121" s="63">
        <v>1</v>
      </c>
      <c r="AW121" s="63">
        <v>0</v>
      </c>
      <c r="AX121" s="63">
        <v>0</v>
      </c>
      <c r="AY121" s="63">
        <v>0</v>
      </c>
      <c r="AZ121" s="63">
        <v>0</v>
      </c>
      <c r="BA121" s="63">
        <v>0</v>
      </c>
      <c r="BB121" s="63">
        <v>0</v>
      </c>
      <c r="BC121" s="63">
        <v>0</v>
      </c>
      <c r="BD121" s="63">
        <v>1</v>
      </c>
      <c r="BE121" s="63">
        <v>0</v>
      </c>
      <c r="BF121" s="63">
        <v>0</v>
      </c>
      <c r="BG121" s="63">
        <v>0</v>
      </c>
      <c r="BH121" s="63">
        <v>0</v>
      </c>
      <c r="BI121" s="63">
        <v>0</v>
      </c>
      <c r="BJ121" s="63">
        <v>0</v>
      </c>
      <c r="BK121" s="63">
        <v>0</v>
      </c>
      <c r="BL121" s="63">
        <v>0</v>
      </c>
      <c r="BM121" s="63">
        <v>1</v>
      </c>
      <c r="BN121" s="63">
        <v>0</v>
      </c>
      <c r="BO121" s="63">
        <v>0</v>
      </c>
      <c r="BP121" s="63">
        <v>1</v>
      </c>
      <c r="BQ121" s="63">
        <v>0</v>
      </c>
      <c r="BR121" s="63">
        <v>0</v>
      </c>
      <c r="BS121" s="63">
        <v>0</v>
      </c>
      <c r="BT121" s="63">
        <v>0</v>
      </c>
      <c r="BU121" s="63">
        <v>0</v>
      </c>
      <c r="BV121" s="63">
        <v>0</v>
      </c>
      <c r="BW121" s="63">
        <v>0</v>
      </c>
      <c r="BX121" s="63">
        <v>0</v>
      </c>
      <c r="BY121" s="63">
        <v>0</v>
      </c>
      <c r="BZ121" s="63">
        <v>0</v>
      </c>
      <c r="CA121" s="63">
        <v>0</v>
      </c>
      <c r="CB121" s="63">
        <v>0</v>
      </c>
      <c r="CC121" s="63">
        <v>0</v>
      </c>
      <c r="CD121" s="63">
        <v>0</v>
      </c>
      <c r="CE121" s="63">
        <v>0</v>
      </c>
      <c r="CF121" s="63">
        <v>0</v>
      </c>
      <c r="CG121" s="63">
        <v>0</v>
      </c>
      <c r="CH121" s="63">
        <v>0</v>
      </c>
      <c r="CI121" s="63">
        <v>0</v>
      </c>
      <c r="CJ121" s="63">
        <v>0</v>
      </c>
      <c r="CK121" s="63">
        <v>0</v>
      </c>
      <c r="CL121" s="63">
        <v>0</v>
      </c>
      <c r="CM121" s="63">
        <v>1</v>
      </c>
      <c r="CN121" s="63">
        <v>0</v>
      </c>
      <c r="CO121" s="63">
        <v>0</v>
      </c>
      <c r="CP121" s="63">
        <v>0</v>
      </c>
      <c r="CQ121" s="63">
        <v>0</v>
      </c>
      <c r="CR121" s="63">
        <v>0</v>
      </c>
      <c r="CS121" s="63">
        <v>0</v>
      </c>
      <c r="CT121" s="63">
        <v>0</v>
      </c>
      <c r="CU121" s="61"/>
    </row>
    <row r="122" spans="2:99" ht="12.75">
      <c r="B122" s="1">
        <v>23</v>
      </c>
      <c r="C122" s="63">
        <v>0</v>
      </c>
      <c r="D122" s="63">
        <v>0</v>
      </c>
      <c r="E122" s="63">
        <v>0</v>
      </c>
      <c r="F122" s="63">
        <v>0</v>
      </c>
      <c r="G122" s="63">
        <v>0</v>
      </c>
      <c r="H122" s="63">
        <v>0</v>
      </c>
      <c r="I122" s="63">
        <v>1</v>
      </c>
      <c r="J122" s="63">
        <v>0</v>
      </c>
      <c r="K122" s="63">
        <v>0</v>
      </c>
      <c r="L122" s="63">
        <v>0</v>
      </c>
      <c r="M122" s="63">
        <v>0</v>
      </c>
      <c r="N122" s="63">
        <v>0</v>
      </c>
      <c r="O122" s="63">
        <v>0</v>
      </c>
      <c r="P122" s="63">
        <v>0</v>
      </c>
      <c r="Q122" s="63">
        <v>0</v>
      </c>
      <c r="R122" s="63">
        <v>0</v>
      </c>
      <c r="S122" s="63">
        <v>0</v>
      </c>
      <c r="T122" s="63">
        <v>0</v>
      </c>
      <c r="U122" s="63">
        <v>0</v>
      </c>
      <c r="V122" s="63">
        <v>0</v>
      </c>
      <c r="W122" s="63">
        <v>0</v>
      </c>
      <c r="X122" s="63">
        <v>0</v>
      </c>
      <c r="Y122" s="63">
        <v>1</v>
      </c>
      <c r="Z122" s="63">
        <v>0</v>
      </c>
      <c r="AA122" s="63">
        <v>0</v>
      </c>
      <c r="AB122" s="63">
        <v>0</v>
      </c>
      <c r="AC122" s="63">
        <v>0</v>
      </c>
      <c r="AD122" s="63">
        <v>0</v>
      </c>
      <c r="AE122" s="63">
        <v>0</v>
      </c>
      <c r="AF122" s="63">
        <v>0</v>
      </c>
      <c r="AG122" s="63">
        <v>0</v>
      </c>
      <c r="AH122" s="63">
        <v>0</v>
      </c>
      <c r="AI122" s="63">
        <v>0</v>
      </c>
      <c r="AJ122" s="63">
        <v>0</v>
      </c>
      <c r="AK122" s="63">
        <v>0</v>
      </c>
      <c r="AL122" s="63">
        <v>0</v>
      </c>
      <c r="AM122" s="63">
        <v>0</v>
      </c>
      <c r="AN122" s="63">
        <v>0</v>
      </c>
      <c r="AO122" s="63">
        <v>0</v>
      </c>
      <c r="AP122" s="63">
        <v>0</v>
      </c>
      <c r="AQ122" s="63">
        <v>0</v>
      </c>
      <c r="AR122" s="63">
        <v>0</v>
      </c>
      <c r="AS122" s="63">
        <v>0</v>
      </c>
      <c r="AT122" s="63">
        <v>0</v>
      </c>
      <c r="AU122" s="63">
        <v>0</v>
      </c>
      <c r="AV122" s="63">
        <v>0</v>
      </c>
      <c r="AW122" s="63">
        <v>0</v>
      </c>
      <c r="AX122" s="63">
        <v>0</v>
      </c>
      <c r="AY122" s="63">
        <v>0</v>
      </c>
      <c r="AZ122" s="63">
        <v>0</v>
      </c>
      <c r="BA122" s="63">
        <v>0</v>
      </c>
      <c r="BB122" s="63">
        <v>0</v>
      </c>
      <c r="BC122" s="63">
        <v>0</v>
      </c>
      <c r="BD122" s="63">
        <v>0</v>
      </c>
      <c r="BE122" s="63">
        <v>0</v>
      </c>
      <c r="BF122" s="63">
        <v>0</v>
      </c>
      <c r="BG122" s="63">
        <v>0</v>
      </c>
      <c r="BH122" s="63">
        <v>0</v>
      </c>
      <c r="BI122" s="63">
        <v>0</v>
      </c>
      <c r="BJ122" s="63">
        <v>0</v>
      </c>
      <c r="BK122" s="63">
        <v>0</v>
      </c>
      <c r="BL122" s="63">
        <v>0</v>
      </c>
      <c r="BM122" s="63">
        <v>0</v>
      </c>
      <c r="BN122" s="63">
        <v>0</v>
      </c>
      <c r="BO122" s="63">
        <v>0</v>
      </c>
      <c r="BP122" s="63">
        <v>0</v>
      </c>
      <c r="BQ122" s="63">
        <v>0</v>
      </c>
      <c r="BR122" s="63">
        <v>0</v>
      </c>
      <c r="BS122" s="63">
        <v>0</v>
      </c>
      <c r="BT122" s="63">
        <v>0</v>
      </c>
      <c r="BU122" s="63">
        <v>0</v>
      </c>
      <c r="BV122" s="63">
        <v>0</v>
      </c>
      <c r="BW122" s="63">
        <v>0</v>
      </c>
      <c r="BX122" s="63">
        <v>0</v>
      </c>
      <c r="BY122" s="63">
        <v>0</v>
      </c>
      <c r="BZ122" s="63">
        <v>0</v>
      </c>
      <c r="CA122" s="63">
        <v>0</v>
      </c>
      <c r="CB122" s="63">
        <v>0</v>
      </c>
      <c r="CC122" s="63">
        <v>0</v>
      </c>
      <c r="CD122" s="63">
        <v>1</v>
      </c>
      <c r="CE122" s="63">
        <v>1</v>
      </c>
      <c r="CF122" s="63">
        <v>0</v>
      </c>
      <c r="CG122" s="63">
        <v>0</v>
      </c>
      <c r="CH122" s="63">
        <v>1</v>
      </c>
      <c r="CI122" s="63">
        <v>1</v>
      </c>
      <c r="CJ122" s="63">
        <v>0</v>
      </c>
      <c r="CK122" s="63">
        <v>0</v>
      </c>
      <c r="CL122" s="63">
        <v>0</v>
      </c>
      <c r="CM122" s="63">
        <v>0</v>
      </c>
      <c r="CN122" s="63">
        <v>0</v>
      </c>
      <c r="CO122" s="63">
        <v>0</v>
      </c>
      <c r="CP122" s="63">
        <v>0</v>
      </c>
      <c r="CQ122" s="63">
        <v>0</v>
      </c>
      <c r="CR122" s="63">
        <v>0</v>
      </c>
      <c r="CS122" s="63">
        <v>0</v>
      </c>
      <c r="CT122" s="63">
        <v>0</v>
      </c>
      <c r="CU122" s="61"/>
    </row>
    <row r="123" spans="2:99" ht="12.75">
      <c r="B123" s="1">
        <v>24</v>
      </c>
      <c r="C123" s="63">
        <v>0</v>
      </c>
      <c r="D123" s="63">
        <v>0</v>
      </c>
      <c r="E123" s="63">
        <v>0</v>
      </c>
      <c r="F123" s="63">
        <v>0</v>
      </c>
      <c r="G123" s="63">
        <v>1</v>
      </c>
      <c r="H123" s="63">
        <v>0</v>
      </c>
      <c r="I123" s="63">
        <v>0</v>
      </c>
      <c r="J123" s="63">
        <v>0</v>
      </c>
      <c r="K123" s="63">
        <v>0</v>
      </c>
      <c r="L123" s="63">
        <v>0</v>
      </c>
      <c r="M123" s="63">
        <v>0</v>
      </c>
      <c r="N123" s="63">
        <v>0</v>
      </c>
      <c r="O123" s="63">
        <v>0</v>
      </c>
      <c r="P123" s="63">
        <v>1</v>
      </c>
      <c r="Q123" s="63">
        <v>0</v>
      </c>
      <c r="R123" s="63">
        <v>0</v>
      </c>
      <c r="S123" s="63">
        <v>0</v>
      </c>
      <c r="T123" s="63">
        <v>0</v>
      </c>
      <c r="U123" s="63">
        <v>0</v>
      </c>
      <c r="V123" s="63">
        <v>0</v>
      </c>
      <c r="W123" s="63">
        <v>0</v>
      </c>
      <c r="X123" s="63">
        <v>0</v>
      </c>
      <c r="Y123" s="63">
        <v>0</v>
      </c>
      <c r="Z123" s="63">
        <v>1</v>
      </c>
      <c r="AA123" s="63">
        <v>0</v>
      </c>
      <c r="AB123" s="63">
        <v>0</v>
      </c>
      <c r="AC123" s="63">
        <v>0</v>
      </c>
      <c r="AD123" s="63">
        <v>1</v>
      </c>
      <c r="AE123" s="63">
        <v>0</v>
      </c>
      <c r="AF123" s="63">
        <v>1</v>
      </c>
      <c r="AG123" s="63">
        <v>0</v>
      </c>
      <c r="AH123" s="63">
        <v>0</v>
      </c>
      <c r="AI123" s="63">
        <v>0</v>
      </c>
      <c r="AJ123" s="63">
        <v>0</v>
      </c>
      <c r="AK123" s="63">
        <v>0</v>
      </c>
      <c r="AL123" s="63">
        <v>0</v>
      </c>
      <c r="AM123" s="63">
        <v>0</v>
      </c>
      <c r="AN123" s="63">
        <v>0</v>
      </c>
      <c r="AO123" s="63">
        <v>0</v>
      </c>
      <c r="AP123" s="63">
        <v>0</v>
      </c>
      <c r="AQ123" s="63">
        <v>0</v>
      </c>
      <c r="AR123" s="63">
        <v>1</v>
      </c>
      <c r="AS123" s="63">
        <v>0</v>
      </c>
      <c r="AT123" s="63">
        <v>0</v>
      </c>
      <c r="AU123" s="63">
        <v>0</v>
      </c>
      <c r="AV123" s="63">
        <v>0</v>
      </c>
      <c r="AW123" s="63">
        <v>1</v>
      </c>
      <c r="AX123" s="63">
        <v>0</v>
      </c>
      <c r="AY123" s="63">
        <v>0</v>
      </c>
      <c r="AZ123" s="63">
        <v>0</v>
      </c>
      <c r="BA123" s="63">
        <v>0</v>
      </c>
      <c r="BB123" s="63">
        <v>0</v>
      </c>
      <c r="BC123" s="63">
        <v>0</v>
      </c>
      <c r="BD123" s="63">
        <v>0</v>
      </c>
      <c r="BE123" s="63">
        <v>0</v>
      </c>
      <c r="BF123" s="63">
        <v>0</v>
      </c>
      <c r="BG123" s="63">
        <v>0</v>
      </c>
      <c r="BH123" s="63">
        <v>0</v>
      </c>
      <c r="BI123" s="63">
        <v>0</v>
      </c>
      <c r="BJ123" s="63">
        <v>0</v>
      </c>
      <c r="BK123" s="63">
        <v>0</v>
      </c>
      <c r="BL123" s="63">
        <v>0</v>
      </c>
      <c r="BM123" s="63">
        <v>0</v>
      </c>
      <c r="BN123" s="63">
        <v>0</v>
      </c>
      <c r="BO123" s="63">
        <v>0</v>
      </c>
      <c r="BP123" s="63">
        <v>0</v>
      </c>
      <c r="BQ123" s="63">
        <v>0</v>
      </c>
      <c r="BR123" s="63">
        <v>0</v>
      </c>
      <c r="BS123" s="63">
        <v>0</v>
      </c>
      <c r="BT123" s="63">
        <v>0</v>
      </c>
      <c r="BU123" s="63">
        <v>0</v>
      </c>
      <c r="BV123" s="63">
        <v>0</v>
      </c>
      <c r="BW123" s="63">
        <v>0</v>
      </c>
      <c r="BX123" s="63">
        <v>0</v>
      </c>
      <c r="BY123" s="63">
        <v>0</v>
      </c>
      <c r="BZ123" s="63">
        <v>0</v>
      </c>
      <c r="CA123" s="63">
        <v>0</v>
      </c>
      <c r="CB123" s="63">
        <v>0</v>
      </c>
      <c r="CC123" s="63">
        <v>0</v>
      </c>
      <c r="CD123" s="63">
        <v>0</v>
      </c>
      <c r="CE123" s="63">
        <v>0</v>
      </c>
      <c r="CF123" s="63">
        <v>0</v>
      </c>
      <c r="CG123" s="63">
        <v>0</v>
      </c>
      <c r="CH123" s="63">
        <v>0</v>
      </c>
      <c r="CI123" s="63">
        <v>0</v>
      </c>
      <c r="CJ123" s="63">
        <v>0</v>
      </c>
      <c r="CK123" s="63">
        <v>0</v>
      </c>
      <c r="CL123" s="63">
        <v>0</v>
      </c>
      <c r="CM123" s="63">
        <v>0</v>
      </c>
      <c r="CN123" s="63">
        <v>0</v>
      </c>
      <c r="CO123" s="63">
        <v>0</v>
      </c>
      <c r="CP123" s="63">
        <v>0</v>
      </c>
      <c r="CQ123" s="63">
        <v>0</v>
      </c>
      <c r="CR123" s="63">
        <v>0</v>
      </c>
      <c r="CS123" s="63">
        <v>0</v>
      </c>
      <c r="CT123" s="63">
        <v>1</v>
      </c>
      <c r="CU123" s="61"/>
    </row>
    <row r="124" spans="2:99" ht="12.75">
      <c r="B124" s="1">
        <v>25</v>
      </c>
      <c r="C124" s="63">
        <v>0</v>
      </c>
      <c r="D124" s="63">
        <v>0</v>
      </c>
      <c r="E124" s="63">
        <v>0</v>
      </c>
      <c r="F124" s="63">
        <v>0</v>
      </c>
      <c r="G124" s="63">
        <v>0</v>
      </c>
      <c r="H124" s="63">
        <v>0</v>
      </c>
      <c r="I124" s="63">
        <v>0</v>
      </c>
      <c r="J124" s="63">
        <v>0</v>
      </c>
      <c r="K124" s="63">
        <v>0</v>
      </c>
      <c r="L124" s="63">
        <v>0</v>
      </c>
      <c r="M124" s="63">
        <v>0</v>
      </c>
      <c r="N124" s="63">
        <v>0</v>
      </c>
      <c r="O124" s="63">
        <v>0</v>
      </c>
      <c r="P124" s="63">
        <v>0</v>
      </c>
      <c r="Q124" s="63">
        <v>1</v>
      </c>
      <c r="R124" s="63">
        <v>0</v>
      </c>
      <c r="S124" s="63">
        <v>0</v>
      </c>
      <c r="T124" s="63">
        <v>0</v>
      </c>
      <c r="U124" s="63">
        <v>0</v>
      </c>
      <c r="V124" s="63">
        <v>0</v>
      </c>
      <c r="W124" s="63">
        <v>0</v>
      </c>
      <c r="X124" s="63">
        <v>0</v>
      </c>
      <c r="Y124" s="63">
        <v>0</v>
      </c>
      <c r="Z124" s="63">
        <v>0</v>
      </c>
      <c r="AA124" s="63">
        <v>1</v>
      </c>
      <c r="AB124" s="63">
        <v>1</v>
      </c>
      <c r="AC124" s="63">
        <v>0</v>
      </c>
      <c r="AD124" s="63">
        <v>0</v>
      </c>
      <c r="AE124" s="63">
        <v>0</v>
      </c>
      <c r="AF124" s="63">
        <v>0</v>
      </c>
      <c r="AG124" s="63">
        <v>0</v>
      </c>
      <c r="AH124" s="63">
        <v>0</v>
      </c>
      <c r="AI124" s="63">
        <v>0</v>
      </c>
      <c r="AJ124" s="63">
        <v>0</v>
      </c>
      <c r="AK124" s="63">
        <v>0</v>
      </c>
      <c r="AL124" s="63">
        <v>0</v>
      </c>
      <c r="AM124" s="63">
        <v>0</v>
      </c>
      <c r="AN124" s="63">
        <v>0</v>
      </c>
      <c r="AO124" s="63">
        <v>0</v>
      </c>
      <c r="AP124" s="63">
        <v>0</v>
      </c>
      <c r="AQ124" s="63">
        <v>0</v>
      </c>
      <c r="AR124" s="63">
        <v>0</v>
      </c>
      <c r="AS124" s="63">
        <v>0</v>
      </c>
      <c r="AT124" s="63">
        <v>0</v>
      </c>
      <c r="AU124" s="63">
        <v>0</v>
      </c>
      <c r="AV124" s="63">
        <v>0</v>
      </c>
      <c r="AW124" s="63">
        <v>0</v>
      </c>
      <c r="AX124" s="63">
        <v>0</v>
      </c>
      <c r="AY124" s="63">
        <v>0</v>
      </c>
      <c r="AZ124" s="63">
        <v>0</v>
      </c>
      <c r="BA124" s="63">
        <v>0</v>
      </c>
      <c r="BB124" s="63">
        <v>0</v>
      </c>
      <c r="BC124" s="63">
        <v>0</v>
      </c>
      <c r="BD124" s="63">
        <v>0</v>
      </c>
      <c r="BE124" s="63">
        <v>0</v>
      </c>
      <c r="BF124" s="63">
        <v>0</v>
      </c>
      <c r="BG124" s="63">
        <v>0</v>
      </c>
      <c r="BH124" s="63">
        <v>0</v>
      </c>
      <c r="BI124" s="63">
        <v>0</v>
      </c>
      <c r="BJ124" s="63">
        <v>0</v>
      </c>
      <c r="BK124" s="63">
        <v>0</v>
      </c>
      <c r="BL124" s="63">
        <v>0</v>
      </c>
      <c r="BM124" s="63">
        <v>0</v>
      </c>
      <c r="BN124" s="63">
        <v>0</v>
      </c>
      <c r="BO124" s="63">
        <v>0</v>
      </c>
      <c r="BP124" s="63">
        <v>0</v>
      </c>
      <c r="BQ124" s="63">
        <v>0</v>
      </c>
      <c r="BR124" s="63">
        <v>1</v>
      </c>
      <c r="BS124" s="63">
        <v>0</v>
      </c>
      <c r="BT124" s="63">
        <v>0</v>
      </c>
      <c r="BU124" s="63">
        <v>0</v>
      </c>
      <c r="BV124" s="63">
        <v>0</v>
      </c>
      <c r="BW124" s="63">
        <v>0</v>
      </c>
      <c r="BX124" s="63">
        <v>0</v>
      </c>
      <c r="BY124" s="63">
        <v>0</v>
      </c>
      <c r="BZ124" s="63">
        <v>0</v>
      </c>
      <c r="CA124" s="63">
        <v>0</v>
      </c>
      <c r="CB124" s="63">
        <v>0</v>
      </c>
      <c r="CC124" s="63">
        <v>0</v>
      </c>
      <c r="CD124" s="63">
        <v>0</v>
      </c>
      <c r="CE124" s="63">
        <v>0</v>
      </c>
      <c r="CF124" s="63">
        <v>0</v>
      </c>
      <c r="CG124" s="63">
        <v>0</v>
      </c>
      <c r="CH124" s="63">
        <v>0</v>
      </c>
      <c r="CI124" s="63">
        <v>0</v>
      </c>
      <c r="CJ124" s="63">
        <v>0</v>
      </c>
      <c r="CK124" s="63">
        <v>0</v>
      </c>
      <c r="CL124" s="63">
        <v>0</v>
      </c>
      <c r="CM124" s="63">
        <v>0</v>
      </c>
      <c r="CN124" s="63">
        <v>0</v>
      </c>
      <c r="CO124" s="63">
        <v>0</v>
      </c>
      <c r="CP124" s="63">
        <v>0</v>
      </c>
      <c r="CQ124" s="63">
        <v>0</v>
      </c>
      <c r="CR124" s="63">
        <v>0</v>
      </c>
      <c r="CS124" s="63">
        <v>0</v>
      </c>
      <c r="CT124" s="63">
        <v>0</v>
      </c>
      <c r="CU124" s="61"/>
    </row>
    <row r="125" spans="2:99" ht="12.75">
      <c r="B125" s="1">
        <v>26</v>
      </c>
      <c r="C125" s="63">
        <v>0</v>
      </c>
      <c r="D125" s="63">
        <v>0</v>
      </c>
      <c r="E125" s="63">
        <v>0</v>
      </c>
      <c r="F125" s="63">
        <v>1</v>
      </c>
      <c r="G125" s="63">
        <v>0</v>
      </c>
      <c r="H125" s="63">
        <v>0</v>
      </c>
      <c r="I125" s="63">
        <v>0</v>
      </c>
      <c r="J125" s="63">
        <v>0</v>
      </c>
      <c r="K125" s="63">
        <v>0</v>
      </c>
      <c r="L125" s="63">
        <v>0</v>
      </c>
      <c r="M125" s="63">
        <v>0</v>
      </c>
      <c r="N125" s="63">
        <v>0</v>
      </c>
      <c r="O125" s="63">
        <v>0</v>
      </c>
      <c r="P125" s="63">
        <v>0</v>
      </c>
      <c r="Q125" s="63">
        <v>1</v>
      </c>
      <c r="R125" s="63">
        <v>0</v>
      </c>
      <c r="S125" s="63">
        <v>0</v>
      </c>
      <c r="T125" s="63">
        <v>0</v>
      </c>
      <c r="U125" s="63">
        <v>0</v>
      </c>
      <c r="V125" s="63">
        <v>0</v>
      </c>
      <c r="W125" s="63">
        <v>0</v>
      </c>
      <c r="X125" s="63">
        <v>0</v>
      </c>
      <c r="Y125" s="63">
        <v>0</v>
      </c>
      <c r="Z125" s="63">
        <v>0</v>
      </c>
      <c r="AA125" s="63">
        <v>1</v>
      </c>
      <c r="AB125" s="63">
        <v>1</v>
      </c>
      <c r="AC125" s="63">
        <v>0</v>
      </c>
      <c r="AD125" s="63">
        <v>0</v>
      </c>
      <c r="AE125" s="63">
        <v>0</v>
      </c>
      <c r="AF125" s="63">
        <v>0</v>
      </c>
      <c r="AG125" s="63">
        <v>0</v>
      </c>
      <c r="AH125" s="63">
        <v>0</v>
      </c>
      <c r="AI125" s="63">
        <v>0</v>
      </c>
      <c r="AJ125" s="63">
        <v>0</v>
      </c>
      <c r="AK125" s="63">
        <v>0</v>
      </c>
      <c r="AL125" s="63">
        <v>0</v>
      </c>
      <c r="AM125" s="63">
        <v>0</v>
      </c>
      <c r="AN125" s="63">
        <v>0</v>
      </c>
      <c r="AO125" s="63">
        <v>1</v>
      </c>
      <c r="AP125" s="63">
        <v>0</v>
      </c>
      <c r="AQ125" s="63">
        <v>0</v>
      </c>
      <c r="AR125" s="63">
        <v>0</v>
      </c>
      <c r="AS125" s="63">
        <v>0</v>
      </c>
      <c r="AT125" s="63">
        <v>0</v>
      </c>
      <c r="AU125" s="63">
        <v>0</v>
      </c>
      <c r="AV125" s="63">
        <v>0</v>
      </c>
      <c r="AW125" s="63">
        <v>0</v>
      </c>
      <c r="AX125" s="63">
        <v>0</v>
      </c>
      <c r="AY125" s="63">
        <v>0</v>
      </c>
      <c r="AZ125" s="63">
        <v>0</v>
      </c>
      <c r="BA125" s="63">
        <v>0</v>
      </c>
      <c r="BB125" s="63">
        <v>0</v>
      </c>
      <c r="BC125" s="63">
        <v>0</v>
      </c>
      <c r="BD125" s="63">
        <v>0</v>
      </c>
      <c r="BE125" s="63">
        <v>0</v>
      </c>
      <c r="BF125" s="63">
        <v>0</v>
      </c>
      <c r="BG125" s="63">
        <v>0</v>
      </c>
      <c r="BH125" s="63">
        <v>0</v>
      </c>
      <c r="BI125" s="63">
        <v>0</v>
      </c>
      <c r="BJ125" s="63">
        <v>0</v>
      </c>
      <c r="BK125" s="63">
        <v>0</v>
      </c>
      <c r="BL125" s="63">
        <v>0</v>
      </c>
      <c r="BM125" s="63">
        <v>0</v>
      </c>
      <c r="BN125" s="63">
        <v>0</v>
      </c>
      <c r="BO125" s="63">
        <v>0</v>
      </c>
      <c r="BP125" s="63">
        <v>0</v>
      </c>
      <c r="BQ125" s="63">
        <v>0</v>
      </c>
      <c r="BR125" s="63">
        <v>1</v>
      </c>
      <c r="BS125" s="63">
        <v>0</v>
      </c>
      <c r="BT125" s="63">
        <v>0</v>
      </c>
      <c r="BU125" s="63">
        <v>0</v>
      </c>
      <c r="BV125" s="63">
        <v>0</v>
      </c>
      <c r="BW125" s="63">
        <v>0</v>
      </c>
      <c r="BX125" s="63">
        <v>0</v>
      </c>
      <c r="BY125" s="63">
        <v>0</v>
      </c>
      <c r="BZ125" s="63">
        <v>0</v>
      </c>
      <c r="CA125" s="63">
        <v>0</v>
      </c>
      <c r="CB125" s="63">
        <v>0</v>
      </c>
      <c r="CC125" s="63">
        <v>0</v>
      </c>
      <c r="CD125" s="63">
        <v>0</v>
      </c>
      <c r="CE125" s="63">
        <v>0</v>
      </c>
      <c r="CF125" s="63">
        <v>0</v>
      </c>
      <c r="CG125" s="63">
        <v>1</v>
      </c>
      <c r="CH125" s="63">
        <v>0</v>
      </c>
      <c r="CI125" s="63">
        <v>0</v>
      </c>
      <c r="CJ125" s="63">
        <v>0</v>
      </c>
      <c r="CK125" s="63">
        <v>0</v>
      </c>
      <c r="CL125" s="63">
        <v>0</v>
      </c>
      <c r="CM125" s="63">
        <v>0</v>
      </c>
      <c r="CN125" s="63">
        <v>0</v>
      </c>
      <c r="CO125" s="63">
        <v>0</v>
      </c>
      <c r="CP125" s="63">
        <v>0</v>
      </c>
      <c r="CQ125" s="63">
        <v>0</v>
      </c>
      <c r="CR125" s="63">
        <v>0</v>
      </c>
      <c r="CS125" s="63">
        <v>0</v>
      </c>
      <c r="CT125" s="63">
        <v>0</v>
      </c>
      <c r="CU125" s="61"/>
    </row>
    <row r="126" spans="2:99" ht="12.75">
      <c r="B126" s="1">
        <v>27</v>
      </c>
      <c r="C126" s="63">
        <v>0</v>
      </c>
      <c r="D126" s="63">
        <v>0</v>
      </c>
      <c r="E126" s="63">
        <v>0</v>
      </c>
      <c r="F126" s="63">
        <v>0</v>
      </c>
      <c r="G126" s="63">
        <v>0</v>
      </c>
      <c r="H126" s="63">
        <v>0</v>
      </c>
      <c r="I126" s="63">
        <v>0</v>
      </c>
      <c r="J126" s="63">
        <v>0</v>
      </c>
      <c r="K126" s="63">
        <v>0</v>
      </c>
      <c r="L126" s="63">
        <v>0</v>
      </c>
      <c r="M126" s="63">
        <v>0</v>
      </c>
      <c r="N126" s="63">
        <v>0</v>
      </c>
      <c r="O126" s="63">
        <v>0</v>
      </c>
      <c r="P126" s="63">
        <v>0</v>
      </c>
      <c r="Q126" s="63">
        <v>0</v>
      </c>
      <c r="R126" s="63">
        <v>0</v>
      </c>
      <c r="S126" s="63">
        <v>0</v>
      </c>
      <c r="T126" s="63">
        <v>0</v>
      </c>
      <c r="U126" s="63">
        <v>0</v>
      </c>
      <c r="V126" s="63">
        <v>0</v>
      </c>
      <c r="W126" s="63">
        <v>0</v>
      </c>
      <c r="X126" s="63">
        <v>0</v>
      </c>
      <c r="Y126" s="63">
        <v>0</v>
      </c>
      <c r="Z126" s="63">
        <v>0</v>
      </c>
      <c r="AA126" s="63">
        <v>0</v>
      </c>
      <c r="AB126" s="63">
        <v>0</v>
      </c>
      <c r="AC126" s="63">
        <v>1</v>
      </c>
      <c r="AD126" s="63">
        <v>0</v>
      </c>
      <c r="AE126" s="63">
        <v>1</v>
      </c>
      <c r="AF126" s="63">
        <v>0</v>
      </c>
      <c r="AG126" s="63">
        <v>0</v>
      </c>
      <c r="AH126" s="63">
        <v>0</v>
      </c>
      <c r="AI126" s="63">
        <v>0</v>
      </c>
      <c r="AJ126" s="63">
        <v>0</v>
      </c>
      <c r="AK126" s="63">
        <v>1</v>
      </c>
      <c r="AL126" s="63">
        <v>0</v>
      </c>
      <c r="AM126" s="63">
        <v>0</v>
      </c>
      <c r="AN126" s="63">
        <v>0</v>
      </c>
      <c r="AO126" s="63">
        <v>0</v>
      </c>
      <c r="AP126" s="63">
        <v>0</v>
      </c>
      <c r="AQ126" s="63">
        <v>0</v>
      </c>
      <c r="AR126" s="63">
        <v>0</v>
      </c>
      <c r="AS126" s="63">
        <v>0</v>
      </c>
      <c r="AT126" s="63">
        <v>0</v>
      </c>
      <c r="AU126" s="63">
        <v>0</v>
      </c>
      <c r="AV126" s="63">
        <v>0</v>
      </c>
      <c r="AW126" s="63">
        <v>0</v>
      </c>
      <c r="AX126" s="63">
        <v>0</v>
      </c>
      <c r="AY126" s="63">
        <v>0</v>
      </c>
      <c r="AZ126" s="63">
        <v>0</v>
      </c>
      <c r="BA126" s="63">
        <v>0</v>
      </c>
      <c r="BB126" s="63">
        <v>0</v>
      </c>
      <c r="BC126" s="63">
        <v>0</v>
      </c>
      <c r="BD126" s="63">
        <v>0</v>
      </c>
      <c r="BE126" s="63">
        <v>0</v>
      </c>
      <c r="BF126" s="63">
        <v>0</v>
      </c>
      <c r="BG126" s="63">
        <v>0</v>
      </c>
      <c r="BH126" s="63">
        <v>0</v>
      </c>
      <c r="BI126" s="63">
        <v>0</v>
      </c>
      <c r="BJ126" s="63">
        <v>0</v>
      </c>
      <c r="BK126" s="63">
        <v>0</v>
      </c>
      <c r="BL126" s="63">
        <v>0</v>
      </c>
      <c r="BM126" s="63">
        <v>0</v>
      </c>
      <c r="BN126" s="63">
        <v>0</v>
      </c>
      <c r="BO126" s="63">
        <v>0</v>
      </c>
      <c r="BP126" s="63">
        <v>0</v>
      </c>
      <c r="BQ126" s="63">
        <v>0</v>
      </c>
      <c r="BR126" s="63">
        <v>0</v>
      </c>
      <c r="BS126" s="63">
        <v>0</v>
      </c>
      <c r="BT126" s="63">
        <v>0</v>
      </c>
      <c r="BU126" s="63">
        <v>0</v>
      </c>
      <c r="BV126" s="63">
        <v>0</v>
      </c>
      <c r="BW126" s="63">
        <v>0</v>
      </c>
      <c r="BX126" s="63">
        <v>0</v>
      </c>
      <c r="BY126" s="63">
        <v>0</v>
      </c>
      <c r="BZ126" s="63">
        <v>0</v>
      </c>
      <c r="CA126" s="63">
        <v>0</v>
      </c>
      <c r="CB126" s="63">
        <v>0</v>
      </c>
      <c r="CC126" s="63">
        <v>0</v>
      </c>
      <c r="CD126" s="63">
        <v>0</v>
      </c>
      <c r="CE126" s="63">
        <v>0</v>
      </c>
      <c r="CF126" s="63">
        <v>0</v>
      </c>
      <c r="CG126" s="63">
        <v>1</v>
      </c>
      <c r="CH126" s="63">
        <v>0</v>
      </c>
      <c r="CI126" s="63">
        <v>0</v>
      </c>
      <c r="CJ126" s="63">
        <v>0</v>
      </c>
      <c r="CK126" s="63">
        <v>0</v>
      </c>
      <c r="CL126" s="63">
        <v>0</v>
      </c>
      <c r="CM126" s="63">
        <v>0</v>
      </c>
      <c r="CN126" s="63">
        <v>0</v>
      </c>
      <c r="CO126" s="63">
        <v>0</v>
      </c>
      <c r="CP126" s="63">
        <v>0</v>
      </c>
      <c r="CQ126" s="63">
        <v>0</v>
      </c>
      <c r="CR126" s="63">
        <v>0</v>
      </c>
      <c r="CS126" s="63">
        <v>0</v>
      </c>
      <c r="CT126" s="63">
        <v>0</v>
      </c>
      <c r="CU126" s="61"/>
    </row>
    <row r="127" spans="2:99" ht="12.75">
      <c r="B127" s="1">
        <v>28</v>
      </c>
      <c r="C127" s="63">
        <v>0</v>
      </c>
      <c r="D127" s="63">
        <v>0</v>
      </c>
      <c r="E127" s="63">
        <v>0</v>
      </c>
      <c r="F127" s="63">
        <v>0</v>
      </c>
      <c r="G127" s="63">
        <v>0</v>
      </c>
      <c r="H127" s="63">
        <v>0</v>
      </c>
      <c r="I127" s="63">
        <v>0</v>
      </c>
      <c r="J127" s="63">
        <v>0</v>
      </c>
      <c r="K127" s="63">
        <v>0</v>
      </c>
      <c r="L127" s="63">
        <v>0</v>
      </c>
      <c r="M127" s="63">
        <v>0</v>
      </c>
      <c r="N127" s="63">
        <v>0</v>
      </c>
      <c r="O127" s="63">
        <v>0</v>
      </c>
      <c r="P127" s="63">
        <v>0</v>
      </c>
      <c r="Q127" s="63">
        <v>0</v>
      </c>
      <c r="R127" s="63">
        <v>0</v>
      </c>
      <c r="S127" s="63">
        <v>1</v>
      </c>
      <c r="T127" s="63">
        <v>0</v>
      </c>
      <c r="U127" s="63">
        <v>0</v>
      </c>
      <c r="V127" s="63">
        <v>0</v>
      </c>
      <c r="W127" s="63">
        <v>0</v>
      </c>
      <c r="X127" s="63">
        <v>0</v>
      </c>
      <c r="Y127" s="63">
        <v>0</v>
      </c>
      <c r="Z127" s="63">
        <v>1</v>
      </c>
      <c r="AA127" s="63">
        <v>0</v>
      </c>
      <c r="AB127" s="63">
        <v>0</v>
      </c>
      <c r="AC127" s="63">
        <v>0</v>
      </c>
      <c r="AD127" s="63">
        <v>1</v>
      </c>
      <c r="AE127" s="63">
        <v>0</v>
      </c>
      <c r="AF127" s="63">
        <v>1</v>
      </c>
      <c r="AG127" s="63">
        <v>0</v>
      </c>
      <c r="AH127" s="63">
        <v>0</v>
      </c>
      <c r="AI127" s="63">
        <v>1</v>
      </c>
      <c r="AJ127" s="63">
        <v>0</v>
      </c>
      <c r="AK127" s="63">
        <v>0</v>
      </c>
      <c r="AL127" s="63">
        <v>0</v>
      </c>
      <c r="AM127" s="63">
        <v>0</v>
      </c>
      <c r="AN127" s="63">
        <v>0</v>
      </c>
      <c r="AO127" s="63">
        <v>0</v>
      </c>
      <c r="AP127" s="63">
        <v>0</v>
      </c>
      <c r="AQ127" s="63">
        <v>0</v>
      </c>
      <c r="AR127" s="63">
        <v>1</v>
      </c>
      <c r="AS127" s="63">
        <v>0</v>
      </c>
      <c r="AT127" s="63">
        <v>1</v>
      </c>
      <c r="AU127" s="63">
        <v>0</v>
      </c>
      <c r="AV127" s="63">
        <v>0</v>
      </c>
      <c r="AW127" s="63">
        <v>0</v>
      </c>
      <c r="AX127" s="63">
        <v>0</v>
      </c>
      <c r="AY127" s="63">
        <v>0</v>
      </c>
      <c r="AZ127" s="63">
        <v>0</v>
      </c>
      <c r="BA127" s="63">
        <v>0</v>
      </c>
      <c r="BB127" s="63">
        <v>0</v>
      </c>
      <c r="BC127" s="63">
        <v>0</v>
      </c>
      <c r="BD127" s="63">
        <v>0</v>
      </c>
      <c r="BE127" s="63">
        <v>0</v>
      </c>
      <c r="BF127" s="63">
        <v>0</v>
      </c>
      <c r="BG127" s="63">
        <v>0</v>
      </c>
      <c r="BH127" s="63">
        <v>0</v>
      </c>
      <c r="BI127" s="63">
        <v>0</v>
      </c>
      <c r="BJ127" s="63">
        <v>0</v>
      </c>
      <c r="BK127" s="63">
        <v>0</v>
      </c>
      <c r="BL127" s="63">
        <v>0</v>
      </c>
      <c r="BM127" s="63">
        <v>0</v>
      </c>
      <c r="BN127" s="63">
        <v>0</v>
      </c>
      <c r="BO127" s="63">
        <v>0</v>
      </c>
      <c r="BP127" s="63">
        <v>0</v>
      </c>
      <c r="BQ127" s="63">
        <v>0</v>
      </c>
      <c r="BR127" s="63">
        <v>0</v>
      </c>
      <c r="BS127" s="63">
        <v>0</v>
      </c>
      <c r="BT127" s="63">
        <v>0</v>
      </c>
      <c r="BU127" s="63">
        <v>0</v>
      </c>
      <c r="BV127" s="63">
        <v>0</v>
      </c>
      <c r="BW127" s="63">
        <v>0</v>
      </c>
      <c r="BX127" s="63">
        <v>0</v>
      </c>
      <c r="BY127" s="63">
        <v>0</v>
      </c>
      <c r="BZ127" s="63">
        <v>0</v>
      </c>
      <c r="CA127" s="63">
        <v>0</v>
      </c>
      <c r="CB127" s="63">
        <v>0</v>
      </c>
      <c r="CC127" s="63">
        <v>0</v>
      </c>
      <c r="CD127" s="63">
        <v>0</v>
      </c>
      <c r="CE127" s="63">
        <v>0</v>
      </c>
      <c r="CF127" s="63">
        <v>0</v>
      </c>
      <c r="CG127" s="63">
        <v>0</v>
      </c>
      <c r="CH127" s="63">
        <v>0</v>
      </c>
      <c r="CI127" s="63">
        <v>0</v>
      </c>
      <c r="CJ127" s="63">
        <v>0</v>
      </c>
      <c r="CK127" s="63">
        <v>0</v>
      </c>
      <c r="CL127" s="63">
        <v>0</v>
      </c>
      <c r="CM127" s="63">
        <v>0</v>
      </c>
      <c r="CN127" s="63">
        <v>0</v>
      </c>
      <c r="CO127" s="63">
        <v>0</v>
      </c>
      <c r="CP127" s="63">
        <v>0</v>
      </c>
      <c r="CQ127" s="63">
        <v>0</v>
      </c>
      <c r="CR127" s="63">
        <v>0</v>
      </c>
      <c r="CS127" s="63">
        <v>0</v>
      </c>
      <c r="CT127" s="63">
        <v>0</v>
      </c>
      <c r="CU127" s="61"/>
    </row>
    <row r="128" spans="2:99" ht="12.75">
      <c r="B128" s="1">
        <v>29</v>
      </c>
      <c r="C128" s="63">
        <v>0</v>
      </c>
      <c r="D128" s="63">
        <v>0</v>
      </c>
      <c r="E128" s="63">
        <v>0</v>
      </c>
      <c r="F128" s="63">
        <v>0</v>
      </c>
      <c r="G128" s="63">
        <v>0</v>
      </c>
      <c r="H128" s="63">
        <v>0</v>
      </c>
      <c r="I128" s="63">
        <v>0</v>
      </c>
      <c r="J128" s="63">
        <v>0</v>
      </c>
      <c r="K128" s="63">
        <v>0</v>
      </c>
      <c r="L128" s="63">
        <v>0</v>
      </c>
      <c r="M128" s="63">
        <v>0</v>
      </c>
      <c r="N128" s="63">
        <v>0</v>
      </c>
      <c r="O128" s="63">
        <v>0</v>
      </c>
      <c r="P128" s="63">
        <v>0</v>
      </c>
      <c r="Q128" s="63">
        <v>0</v>
      </c>
      <c r="R128" s="63">
        <v>0</v>
      </c>
      <c r="S128" s="63">
        <v>0</v>
      </c>
      <c r="T128" s="63">
        <v>0</v>
      </c>
      <c r="U128" s="63">
        <v>0</v>
      </c>
      <c r="V128" s="63">
        <v>0</v>
      </c>
      <c r="W128" s="63">
        <v>1</v>
      </c>
      <c r="X128" s="63">
        <v>0</v>
      </c>
      <c r="Y128" s="63">
        <v>0</v>
      </c>
      <c r="Z128" s="63">
        <v>0</v>
      </c>
      <c r="AA128" s="63">
        <v>0</v>
      </c>
      <c r="AB128" s="63">
        <v>0</v>
      </c>
      <c r="AC128" s="63">
        <v>1</v>
      </c>
      <c r="AD128" s="63">
        <v>0</v>
      </c>
      <c r="AE128" s="63">
        <v>1</v>
      </c>
      <c r="AF128" s="63">
        <v>0</v>
      </c>
      <c r="AG128" s="63">
        <v>0</v>
      </c>
      <c r="AH128" s="63">
        <v>0</v>
      </c>
      <c r="AI128" s="63">
        <v>0</v>
      </c>
      <c r="AJ128" s="63">
        <v>0</v>
      </c>
      <c r="AK128" s="63">
        <v>0</v>
      </c>
      <c r="AL128" s="63">
        <v>1</v>
      </c>
      <c r="AM128" s="63">
        <v>0</v>
      </c>
      <c r="AN128" s="63">
        <v>0</v>
      </c>
      <c r="AO128" s="63">
        <v>0</v>
      </c>
      <c r="AP128" s="63">
        <v>0</v>
      </c>
      <c r="AQ128" s="63">
        <v>0</v>
      </c>
      <c r="AR128" s="63">
        <v>0</v>
      </c>
      <c r="AS128" s="63">
        <v>0</v>
      </c>
      <c r="AT128" s="63">
        <v>0</v>
      </c>
      <c r="AU128" s="63">
        <v>0</v>
      </c>
      <c r="AV128" s="63">
        <v>0</v>
      </c>
      <c r="AW128" s="63">
        <v>0</v>
      </c>
      <c r="AX128" s="63">
        <v>0</v>
      </c>
      <c r="AY128" s="63">
        <v>0</v>
      </c>
      <c r="AZ128" s="63">
        <v>0</v>
      </c>
      <c r="BA128" s="63">
        <v>0</v>
      </c>
      <c r="BB128" s="63">
        <v>0</v>
      </c>
      <c r="BC128" s="63">
        <v>0</v>
      </c>
      <c r="BD128" s="63">
        <v>0</v>
      </c>
      <c r="BE128" s="63">
        <v>0</v>
      </c>
      <c r="BF128" s="63">
        <v>0</v>
      </c>
      <c r="BG128" s="63">
        <v>0</v>
      </c>
      <c r="BH128" s="63">
        <v>0</v>
      </c>
      <c r="BI128" s="63">
        <v>0</v>
      </c>
      <c r="BJ128" s="63">
        <v>0</v>
      </c>
      <c r="BK128" s="63">
        <v>0</v>
      </c>
      <c r="BL128" s="63">
        <v>0</v>
      </c>
      <c r="BM128" s="63">
        <v>0</v>
      </c>
      <c r="BN128" s="63">
        <v>0</v>
      </c>
      <c r="BO128" s="63">
        <v>0</v>
      </c>
      <c r="BP128" s="63">
        <v>0</v>
      </c>
      <c r="BQ128" s="63">
        <v>0</v>
      </c>
      <c r="BR128" s="63">
        <v>0</v>
      </c>
      <c r="BS128" s="63">
        <v>0</v>
      </c>
      <c r="BT128" s="63">
        <v>0</v>
      </c>
      <c r="BU128" s="63">
        <v>0</v>
      </c>
      <c r="BV128" s="63">
        <v>0</v>
      </c>
      <c r="BW128" s="63">
        <v>0</v>
      </c>
      <c r="BX128" s="63">
        <v>0</v>
      </c>
      <c r="BY128" s="63">
        <v>0</v>
      </c>
      <c r="BZ128" s="63">
        <v>0</v>
      </c>
      <c r="CA128" s="63">
        <v>0</v>
      </c>
      <c r="CB128" s="63">
        <v>0</v>
      </c>
      <c r="CC128" s="63">
        <v>0</v>
      </c>
      <c r="CD128" s="63">
        <v>0</v>
      </c>
      <c r="CE128" s="63">
        <v>0</v>
      </c>
      <c r="CF128" s="63">
        <v>0</v>
      </c>
      <c r="CG128" s="63">
        <v>1</v>
      </c>
      <c r="CH128" s="63">
        <v>0</v>
      </c>
      <c r="CI128" s="63">
        <v>0</v>
      </c>
      <c r="CJ128" s="63">
        <v>0</v>
      </c>
      <c r="CK128" s="63">
        <v>0</v>
      </c>
      <c r="CL128" s="63">
        <v>0</v>
      </c>
      <c r="CM128" s="63">
        <v>0</v>
      </c>
      <c r="CN128" s="63">
        <v>0</v>
      </c>
      <c r="CO128" s="63">
        <v>0</v>
      </c>
      <c r="CP128" s="63">
        <v>0</v>
      </c>
      <c r="CQ128" s="63">
        <v>0</v>
      </c>
      <c r="CR128" s="63">
        <v>0</v>
      </c>
      <c r="CS128" s="63">
        <v>0</v>
      </c>
      <c r="CT128" s="63">
        <v>0</v>
      </c>
      <c r="CU128" s="61"/>
    </row>
    <row r="129" spans="2:99" ht="12.75">
      <c r="B129" s="1">
        <v>30</v>
      </c>
      <c r="C129" s="63">
        <v>0</v>
      </c>
      <c r="D129" s="63">
        <v>0</v>
      </c>
      <c r="E129" s="63">
        <v>0</v>
      </c>
      <c r="F129" s="63">
        <v>0</v>
      </c>
      <c r="G129" s="63">
        <v>0</v>
      </c>
      <c r="H129" s="63">
        <v>0</v>
      </c>
      <c r="I129" s="63">
        <v>0</v>
      </c>
      <c r="J129" s="63">
        <v>0</v>
      </c>
      <c r="K129" s="63">
        <v>1</v>
      </c>
      <c r="L129" s="63">
        <v>1</v>
      </c>
      <c r="M129" s="63">
        <v>0</v>
      </c>
      <c r="N129" s="63">
        <v>0</v>
      </c>
      <c r="O129" s="63">
        <v>0</v>
      </c>
      <c r="P129" s="63">
        <v>1</v>
      </c>
      <c r="Q129" s="63">
        <v>0</v>
      </c>
      <c r="R129" s="63">
        <v>0</v>
      </c>
      <c r="S129" s="63">
        <v>0</v>
      </c>
      <c r="T129" s="63">
        <v>0</v>
      </c>
      <c r="U129" s="63">
        <v>0</v>
      </c>
      <c r="V129" s="63">
        <v>0</v>
      </c>
      <c r="W129" s="63">
        <v>0</v>
      </c>
      <c r="X129" s="63">
        <v>0</v>
      </c>
      <c r="Y129" s="63">
        <v>0</v>
      </c>
      <c r="Z129" s="63">
        <v>1</v>
      </c>
      <c r="AA129" s="63">
        <v>0</v>
      </c>
      <c r="AB129" s="63">
        <v>0</v>
      </c>
      <c r="AC129" s="63">
        <v>0</v>
      </c>
      <c r="AD129" s="63">
        <v>1</v>
      </c>
      <c r="AE129" s="63">
        <v>0</v>
      </c>
      <c r="AF129" s="63">
        <v>1</v>
      </c>
      <c r="AG129" s="63">
        <v>0</v>
      </c>
      <c r="AH129" s="63">
        <v>0</v>
      </c>
      <c r="AI129" s="63">
        <v>1</v>
      </c>
      <c r="AJ129" s="63">
        <v>0</v>
      </c>
      <c r="AK129" s="63">
        <v>0</v>
      </c>
      <c r="AL129" s="63">
        <v>0</v>
      </c>
      <c r="AM129" s="63">
        <v>0</v>
      </c>
      <c r="AN129" s="63">
        <v>0</v>
      </c>
      <c r="AO129" s="63">
        <v>0</v>
      </c>
      <c r="AP129" s="63">
        <v>0</v>
      </c>
      <c r="AQ129" s="63">
        <v>0</v>
      </c>
      <c r="AR129" s="63">
        <v>0</v>
      </c>
      <c r="AS129" s="63">
        <v>0</v>
      </c>
      <c r="AT129" s="63">
        <v>0</v>
      </c>
      <c r="AU129" s="63">
        <v>0</v>
      </c>
      <c r="AV129" s="63">
        <v>1</v>
      </c>
      <c r="AW129" s="63">
        <v>1</v>
      </c>
      <c r="AX129" s="63">
        <v>0</v>
      </c>
      <c r="AY129" s="63">
        <v>0</v>
      </c>
      <c r="AZ129" s="63">
        <v>0</v>
      </c>
      <c r="BA129" s="63">
        <v>0</v>
      </c>
      <c r="BB129" s="63">
        <v>0</v>
      </c>
      <c r="BC129" s="63">
        <v>0</v>
      </c>
      <c r="BD129" s="63">
        <v>0</v>
      </c>
      <c r="BE129" s="63">
        <v>0</v>
      </c>
      <c r="BF129" s="63">
        <v>0</v>
      </c>
      <c r="BG129" s="63">
        <v>0</v>
      </c>
      <c r="BH129" s="63">
        <v>0</v>
      </c>
      <c r="BI129" s="63">
        <v>0</v>
      </c>
      <c r="BJ129" s="63">
        <v>0</v>
      </c>
      <c r="BK129" s="63">
        <v>0</v>
      </c>
      <c r="BL129" s="63">
        <v>0</v>
      </c>
      <c r="BM129" s="63">
        <v>0</v>
      </c>
      <c r="BN129" s="63">
        <v>0</v>
      </c>
      <c r="BO129" s="63">
        <v>0</v>
      </c>
      <c r="BP129" s="63">
        <v>0</v>
      </c>
      <c r="BQ129" s="63">
        <v>0</v>
      </c>
      <c r="BR129" s="63">
        <v>0</v>
      </c>
      <c r="BS129" s="63">
        <v>0</v>
      </c>
      <c r="BT129" s="63">
        <v>0</v>
      </c>
      <c r="BU129" s="63">
        <v>0</v>
      </c>
      <c r="BV129" s="63">
        <v>0</v>
      </c>
      <c r="BW129" s="63">
        <v>0</v>
      </c>
      <c r="BX129" s="63">
        <v>0</v>
      </c>
      <c r="BY129" s="63">
        <v>0</v>
      </c>
      <c r="BZ129" s="63">
        <v>0</v>
      </c>
      <c r="CA129" s="63">
        <v>0</v>
      </c>
      <c r="CB129" s="63">
        <v>0</v>
      </c>
      <c r="CC129" s="63">
        <v>0</v>
      </c>
      <c r="CD129" s="63">
        <v>0</v>
      </c>
      <c r="CE129" s="63">
        <v>0</v>
      </c>
      <c r="CF129" s="63">
        <v>0</v>
      </c>
      <c r="CG129" s="63">
        <v>0</v>
      </c>
      <c r="CH129" s="63">
        <v>0</v>
      </c>
      <c r="CI129" s="63">
        <v>0</v>
      </c>
      <c r="CJ129" s="63">
        <v>0</v>
      </c>
      <c r="CK129" s="63">
        <v>0</v>
      </c>
      <c r="CL129" s="63">
        <v>0</v>
      </c>
      <c r="CM129" s="63">
        <v>0</v>
      </c>
      <c r="CN129" s="63">
        <v>0</v>
      </c>
      <c r="CO129" s="63">
        <v>0</v>
      </c>
      <c r="CP129" s="63">
        <v>0</v>
      </c>
      <c r="CQ129" s="63">
        <v>0</v>
      </c>
      <c r="CR129" s="63">
        <v>0</v>
      </c>
      <c r="CS129" s="63">
        <v>0</v>
      </c>
      <c r="CT129" s="63">
        <v>1</v>
      </c>
      <c r="CU129" s="61"/>
    </row>
    <row r="130" spans="2:99" ht="12.75">
      <c r="B130" s="1">
        <v>31</v>
      </c>
      <c r="C130" s="63">
        <v>0</v>
      </c>
      <c r="D130" s="63">
        <v>0</v>
      </c>
      <c r="E130" s="63">
        <v>0</v>
      </c>
      <c r="F130" s="63">
        <v>0</v>
      </c>
      <c r="G130" s="63">
        <v>0</v>
      </c>
      <c r="H130" s="63">
        <v>0</v>
      </c>
      <c r="I130" s="63">
        <v>0</v>
      </c>
      <c r="J130" s="63">
        <v>0</v>
      </c>
      <c r="K130" s="63">
        <v>0</v>
      </c>
      <c r="L130" s="63">
        <v>0</v>
      </c>
      <c r="M130" s="63">
        <v>0</v>
      </c>
      <c r="N130" s="63">
        <v>0</v>
      </c>
      <c r="O130" s="63">
        <v>0</v>
      </c>
      <c r="P130" s="63">
        <v>0</v>
      </c>
      <c r="Q130" s="63">
        <v>0</v>
      </c>
      <c r="R130" s="63">
        <v>0</v>
      </c>
      <c r="S130" s="63">
        <v>0</v>
      </c>
      <c r="T130" s="63">
        <v>0</v>
      </c>
      <c r="U130" s="63">
        <v>0</v>
      </c>
      <c r="V130" s="63">
        <v>0</v>
      </c>
      <c r="W130" s="63">
        <v>0</v>
      </c>
      <c r="X130" s="63">
        <v>0</v>
      </c>
      <c r="Y130" s="63">
        <v>0</v>
      </c>
      <c r="Z130" s="63">
        <v>0</v>
      </c>
      <c r="AA130" s="63">
        <v>0</v>
      </c>
      <c r="AB130" s="63">
        <v>0</v>
      </c>
      <c r="AC130" s="63">
        <v>0</v>
      </c>
      <c r="AD130" s="63">
        <v>0</v>
      </c>
      <c r="AE130" s="63">
        <v>0</v>
      </c>
      <c r="AF130" s="63">
        <v>0</v>
      </c>
      <c r="AG130" s="63">
        <v>1</v>
      </c>
      <c r="AH130" s="63">
        <v>1</v>
      </c>
      <c r="AI130" s="63">
        <v>0</v>
      </c>
      <c r="AJ130" s="63">
        <v>1</v>
      </c>
      <c r="AK130" s="63">
        <v>0</v>
      </c>
      <c r="AL130" s="63">
        <v>0</v>
      </c>
      <c r="AM130" s="63">
        <v>0</v>
      </c>
      <c r="AN130" s="63">
        <v>0</v>
      </c>
      <c r="AO130" s="63">
        <v>0</v>
      </c>
      <c r="AP130" s="63">
        <v>0</v>
      </c>
      <c r="AQ130" s="63">
        <v>0</v>
      </c>
      <c r="AR130" s="63">
        <v>0</v>
      </c>
      <c r="AS130" s="63">
        <v>0</v>
      </c>
      <c r="AT130" s="63">
        <v>0</v>
      </c>
      <c r="AU130" s="63">
        <v>0</v>
      </c>
      <c r="AV130" s="63">
        <v>0</v>
      </c>
      <c r="AW130" s="63">
        <v>0</v>
      </c>
      <c r="AX130" s="63">
        <v>0</v>
      </c>
      <c r="AY130" s="63">
        <v>0</v>
      </c>
      <c r="AZ130" s="63">
        <v>0</v>
      </c>
      <c r="BA130" s="63">
        <v>0</v>
      </c>
      <c r="BB130" s="63">
        <v>0</v>
      </c>
      <c r="BC130" s="63">
        <v>0</v>
      </c>
      <c r="BD130" s="63">
        <v>0</v>
      </c>
      <c r="BE130" s="63">
        <v>0</v>
      </c>
      <c r="BF130" s="63">
        <v>0</v>
      </c>
      <c r="BG130" s="63">
        <v>0</v>
      </c>
      <c r="BH130" s="63">
        <v>0</v>
      </c>
      <c r="BI130" s="63">
        <v>0</v>
      </c>
      <c r="BJ130" s="63">
        <v>0</v>
      </c>
      <c r="BK130" s="63">
        <v>0</v>
      </c>
      <c r="BL130" s="63">
        <v>1</v>
      </c>
      <c r="BM130" s="63">
        <v>0</v>
      </c>
      <c r="BN130" s="63">
        <v>0</v>
      </c>
      <c r="BO130" s="63">
        <v>0</v>
      </c>
      <c r="BP130" s="63">
        <v>0</v>
      </c>
      <c r="BQ130" s="63">
        <v>0</v>
      </c>
      <c r="BR130" s="63">
        <v>0</v>
      </c>
      <c r="BS130" s="63">
        <v>0</v>
      </c>
      <c r="BT130" s="63">
        <v>0</v>
      </c>
      <c r="BU130" s="63">
        <v>0</v>
      </c>
      <c r="BV130" s="63">
        <v>0</v>
      </c>
      <c r="BW130" s="63">
        <v>0</v>
      </c>
      <c r="BX130" s="63">
        <v>0</v>
      </c>
      <c r="BY130" s="63">
        <v>0</v>
      </c>
      <c r="BZ130" s="63">
        <v>0</v>
      </c>
      <c r="CA130" s="63">
        <v>0</v>
      </c>
      <c r="CB130" s="63">
        <v>0</v>
      </c>
      <c r="CC130" s="63">
        <v>0</v>
      </c>
      <c r="CD130" s="63">
        <v>0</v>
      </c>
      <c r="CE130" s="63">
        <v>0</v>
      </c>
      <c r="CF130" s="63">
        <v>0</v>
      </c>
      <c r="CG130" s="63">
        <v>0</v>
      </c>
      <c r="CH130" s="63">
        <v>0</v>
      </c>
      <c r="CI130" s="63">
        <v>1</v>
      </c>
      <c r="CJ130" s="63">
        <v>0</v>
      </c>
      <c r="CK130" s="63">
        <v>0</v>
      </c>
      <c r="CL130" s="63">
        <v>0</v>
      </c>
      <c r="CM130" s="63">
        <v>0</v>
      </c>
      <c r="CN130" s="63">
        <v>0</v>
      </c>
      <c r="CO130" s="63">
        <v>0</v>
      </c>
      <c r="CP130" s="63">
        <v>0</v>
      </c>
      <c r="CQ130" s="63">
        <v>0</v>
      </c>
      <c r="CR130" s="63">
        <v>0</v>
      </c>
      <c r="CS130" s="63">
        <v>0</v>
      </c>
      <c r="CT130" s="63">
        <v>0</v>
      </c>
      <c r="CU130" s="61"/>
    </row>
    <row r="131" spans="2:99" ht="12.75">
      <c r="B131" s="1">
        <v>32</v>
      </c>
      <c r="C131" s="63">
        <v>0</v>
      </c>
      <c r="D131" s="63">
        <v>0</v>
      </c>
      <c r="E131" s="63">
        <v>0</v>
      </c>
      <c r="F131" s="63">
        <v>0</v>
      </c>
      <c r="G131" s="63">
        <v>0</v>
      </c>
      <c r="H131" s="63">
        <v>0</v>
      </c>
      <c r="I131" s="63">
        <v>0</v>
      </c>
      <c r="J131" s="63">
        <v>0</v>
      </c>
      <c r="K131" s="63">
        <v>0</v>
      </c>
      <c r="L131" s="63">
        <v>0</v>
      </c>
      <c r="M131" s="63">
        <v>0</v>
      </c>
      <c r="N131" s="63">
        <v>0</v>
      </c>
      <c r="O131" s="63">
        <v>0</v>
      </c>
      <c r="P131" s="63">
        <v>0</v>
      </c>
      <c r="Q131" s="63">
        <v>0</v>
      </c>
      <c r="R131" s="63">
        <v>0</v>
      </c>
      <c r="S131" s="63">
        <v>0</v>
      </c>
      <c r="T131" s="63">
        <v>0</v>
      </c>
      <c r="U131" s="63">
        <v>0</v>
      </c>
      <c r="V131" s="63">
        <v>0</v>
      </c>
      <c r="W131" s="63">
        <v>0</v>
      </c>
      <c r="X131" s="63">
        <v>0</v>
      </c>
      <c r="Y131" s="63">
        <v>0</v>
      </c>
      <c r="Z131" s="63">
        <v>0</v>
      </c>
      <c r="AA131" s="63">
        <v>0</v>
      </c>
      <c r="AB131" s="63">
        <v>0</v>
      </c>
      <c r="AC131" s="63">
        <v>0</v>
      </c>
      <c r="AD131" s="63">
        <v>0</v>
      </c>
      <c r="AE131" s="63">
        <v>0</v>
      </c>
      <c r="AF131" s="63">
        <v>0</v>
      </c>
      <c r="AG131" s="63">
        <v>1</v>
      </c>
      <c r="AH131" s="63">
        <v>1</v>
      </c>
      <c r="AI131" s="63">
        <v>0</v>
      </c>
      <c r="AJ131" s="63">
        <v>0</v>
      </c>
      <c r="AK131" s="63">
        <v>0</v>
      </c>
      <c r="AL131" s="63">
        <v>0</v>
      </c>
      <c r="AM131" s="63">
        <v>0</v>
      </c>
      <c r="AN131" s="63">
        <v>0</v>
      </c>
      <c r="AO131" s="63">
        <v>0</v>
      </c>
      <c r="AP131" s="63">
        <v>0</v>
      </c>
      <c r="AQ131" s="63">
        <v>0</v>
      </c>
      <c r="AR131" s="63">
        <v>0</v>
      </c>
      <c r="AS131" s="63">
        <v>0</v>
      </c>
      <c r="AT131" s="63">
        <v>0</v>
      </c>
      <c r="AU131" s="63">
        <v>0</v>
      </c>
      <c r="AV131" s="63">
        <v>0</v>
      </c>
      <c r="AW131" s="63">
        <v>0</v>
      </c>
      <c r="AX131" s="63">
        <v>0</v>
      </c>
      <c r="AY131" s="63">
        <v>0</v>
      </c>
      <c r="AZ131" s="63">
        <v>0</v>
      </c>
      <c r="BA131" s="63">
        <v>0</v>
      </c>
      <c r="BB131" s="63">
        <v>1</v>
      </c>
      <c r="BC131" s="63">
        <v>0</v>
      </c>
      <c r="BD131" s="63">
        <v>0</v>
      </c>
      <c r="BE131" s="63">
        <v>0</v>
      </c>
      <c r="BF131" s="63">
        <v>0</v>
      </c>
      <c r="BG131" s="63">
        <v>0</v>
      </c>
      <c r="BH131" s="63">
        <v>0</v>
      </c>
      <c r="BI131" s="63">
        <v>0</v>
      </c>
      <c r="BJ131" s="63">
        <v>0</v>
      </c>
      <c r="BK131" s="63">
        <v>0</v>
      </c>
      <c r="BL131" s="63">
        <v>1</v>
      </c>
      <c r="BM131" s="63">
        <v>0</v>
      </c>
      <c r="BN131" s="63">
        <v>0</v>
      </c>
      <c r="BO131" s="63">
        <v>0</v>
      </c>
      <c r="BP131" s="63">
        <v>0</v>
      </c>
      <c r="BQ131" s="63">
        <v>0</v>
      </c>
      <c r="BR131" s="63">
        <v>0</v>
      </c>
      <c r="BS131" s="63">
        <v>0</v>
      </c>
      <c r="BT131" s="63">
        <v>0</v>
      </c>
      <c r="BU131" s="63">
        <v>0</v>
      </c>
      <c r="BV131" s="63">
        <v>0</v>
      </c>
      <c r="BW131" s="63">
        <v>0</v>
      </c>
      <c r="BX131" s="63">
        <v>0</v>
      </c>
      <c r="BY131" s="63">
        <v>0</v>
      </c>
      <c r="BZ131" s="63">
        <v>0</v>
      </c>
      <c r="CA131" s="63">
        <v>0</v>
      </c>
      <c r="CB131" s="63">
        <v>0</v>
      </c>
      <c r="CC131" s="63">
        <v>0</v>
      </c>
      <c r="CD131" s="63">
        <v>0</v>
      </c>
      <c r="CE131" s="63">
        <v>0</v>
      </c>
      <c r="CF131" s="63">
        <v>0</v>
      </c>
      <c r="CG131" s="63">
        <v>0</v>
      </c>
      <c r="CH131" s="63">
        <v>1</v>
      </c>
      <c r="CI131" s="63">
        <v>1</v>
      </c>
      <c r="CJ131" s="63">
        <v>0</v>
      </c>
      <c r="CK131" s="63">
        <v>0</v>
      </c>
      <c r="CL131" s="63">
        <v>0</v>
      </c>
      <c r="CM131" s="63">
        <v>0</v>
      </c>
      <c r="CN131" s="63">
        <v>0</v>
      </c>
      <c r="CO131" s="63">
        <v>0</v>
      </c>
      <c r="CP131" s="63">
        <v>0</v>
      </c>
      <c r="CQ131" s="63">
        <v>0</v>
      </c>
      <c r="CR131" s="63">
        <v>0</v>
      </c>
      <c r="CS131" s="63">
        <v>0</v>
      </c>
      <c r="CT131" s="63">
        <v>0</v>
      </c>
      <c r="CU131" s="61"/>
    </row>
    <row r="132" spans="2:99" ht="12.75">
      <c r="B132" s="1">
        <v>33</v>
      </c>
      <c r="C132" s="63">
        <v>0</v>
      </c>
      <c r="D132" s="63">
        <v>0</v>
      </c>
      <c r="E132" s="63">
        <v>0</v>
      </c>
      <c r="F132" s="63">
        <v>0</v>
      </c>
      <c r="G132" s="63">
        <v>0</v>
      </c>
      <c r="H132" s="63">
        <v>0</v>
      </c>
      <c r="I132" s="63">
        <v>0</v>
      </c>
      <c r="J132" s="63">
        <v>0</v>
      </c>
      <c r="K132" s="63">
        <v>0</v>
      </c>
      <c r="L132" s="63">
        <v>0</v>
      </c>
      <c r="M132" s="63">
        <v>1</v>
      </c>
      <c r="N132" s="63">
        <v>0</v>
      </c>
      <c r="O132" s="63">
        <v>1</v>
      </c>
      <c r="P132" s="63">
        <v>0</v>
      </c>
      <c r="Q132" s="63">
        <v>0</v>
      </c>
      <c r="R132" s="63">
        <v>0</v>
      </c>
      <c r="S132" s="63">
        <v>1</v>
      </c>
      <c r="T132" s="63">
        <v>0</v>
      </c>
      <c r="U132" s="63">
        <v>0</v>
      </c>
      <c r="V132" s="63">
        <v>0</v>
      </c>
      <c r="W132" s="63">
        <v>0</v>
      </c>
      <c r="X132" s="63">
        <v>0</v>
      </c>
      <c r="Y132" s="63">
        <v>0</v>
      </c>
      <c r="Z132" s="63">
        <v>0</v>
      </c>
      <c r="AA132" s="63">
        <v>0</v>
      </c>
      <c r="AB132" s="63">
        <v>0</v>
      </c>
      <c r="AC132" s="63">
        <v>0</v>
      </c>
      <c r="AD132" s="63">
        <v>1</v>
      </c>
      <c r="AE132" s="63">
        <v>0</v>
      </c>
      <c r="AF132" s="63">
        <v>1</v>
      </c>
      <c r="AG132" s="63">
        <v>0</v>
      </c>
      <c r="AH132" s="63">
        <v>0</v>
      </c>
      <c r="AI132" s="63">
        <v>1</v>
      </c>
      <c r="AJ132" s="63">
        <v>0</v>
      </c>
      <c r="AK132" s="63">
        <v>0</v>
      </c>
      <c r="AL132" s="63">
        <v>0</v>
      </c>
      <c r="AM132" s="63">
        <v>0</v>
      </c>
      <c r="AN132" s="63">
        <v>0</v>
      </c>
      <c r="AO132" s="63">
        <v>0</v>
      </c>
      <c r="AP132" s="63">
        <v>0</v>
      </c>
      <c r="AQ132" s="63">
        <v>0</v>
      </c>
      <c r="AR132" s="63">
        <v>0</v>
      </c>
      <c r="AS132" s="63">
        <v>0</v>
      </c>
      <c r="AT132" s="63">
        <v>0</v>
      </c>
      <c r="AU132" s="63">
        <v>0</v>
      </c>
      <c r="AV132" s="63">
        <v>1</v>
      </c>
      <c r="AW132" s="63">
        <v>0</v>
      </c>
      <c r="AX132" s="63">
        <v>0</v>
      </c>
      <c r="AY132" s="63">
        <v>0</v>
      </c>
      <c r="AZ132" s="63">
        <v>0</v>
      </c>
      <c r="BA132" s="63">
        <v>0</v>
      </c>
      <c r="BB132" s="63">
        <v>0</v>
      </c>
      <c r="BC132" s="63">
        <v>0</v>
      </c>
      <c r="BD132" s="63">
        <v>0</v>
      </c>
      <c r="BE132" s="63">
        <v>0</v>
      </c>
      <c r="BF132" s="63">
        <v>0</v>
      </c>
      <c r="BG132" s="63">
        <v>0</v>
      </c>
      <c r="BH132" s="63">
        <v>0</v>
      </c>
      <c r="BI132" s="63">
        <v>0</v>
      </c>
      <c r="BJ132" s="63">
        <v>0</v>
      </c>
      <c r="BK132" s="63">
        <v>0</v>
      </c>
      <c r="BL132" s="63">
        <v>0</v>
      </c>
      <c r="BM132" s="63">
        <v>0</v>
      </c>
      <c r="BN132" s="63">
        <v>0</v>
      </c>
      <c r="BO132" s="63">
        <v>0</v>
      </c>
      <c r="BP132" s="63">
        <v>0</v>
      </c>
      <c r="BQ132" s="63">
        <v>0</v>
      </c>
      <c r="BR132" s="63">
        <v>0</v>
      </c>
      <c r="BS132" s="63">
        <v>0</v>
      </c>
      <c r="BT132" s="63">
        <v>0</v>
      </c>
      <c r="BU132" s="63">
        <v>0</v>
      </c>
      <c r="BV132" s="63">
        <v>0</v>
      </c>
      <c r="BW132" s="63">
        <v>0</v>
      </c>
      <c r="BX132" s="63">
        <v>0</v>
      </c>
      <c r="BY132" s="63">
        <v>0</v>
      </c>
      <c r="BZ132" s="63">
        <v>0</v>
      </c>
      <c r="CA132" s="63">
        <v>0</v>
      </c>
      <c r="CB132" s="63">
        <v>0</v>
      </c>
      <c r="CC132" s="63">
        <v>0</v>
      </c>
      <c r="CD132" s="63">
        <v>0</v>
      </c>
      <c r="CE132" s="63">
        <v>0</v>
      </c>
      <c r="CF132" s="63">
        <v>0</v>
      </c>
      <c r="CG132" s="63">
        <v>0</v>
      </c>
      <c r="CH132" s="63">
        <v>0</v>
      </c>
      <c r="CI132" s="63">
        <v>0</v>
      </c>
      <c r="CJ132" s="63">
        <v>0</v>
      </c>
      <c r="CK132" s="63">
        <v>0</v>
      </c>
      <c r="CL132" s="63">
        <v>0</v>
      </c>
      <c r="CM132" s="63">
        <v>0</v>
      </c>
      <c r="CN132" s="63">
        <v>0</v>
      </c>
      <c r="CO132" s="63">
        <v>0</v>
      </c>
      <c r="CP132" s="63">
        <v>0</v>
      </c>
      <c r="CQ132" s="63">
        <v>0</v>
      </c>
      <c r="CR132" s="63">
        <v>0</v>
      </c>
      <c r="CS132" s="63">
        <v>0</v>
      </c>
      <c r="CT132" s="63">
        <v>0</v>
      </c>
      <c r="CU132" s="61"/>
    </row>
    <row r="133" spans="2:99" ht="12.75">
      <c r="B133" s="1">
        <v>34</v>
      </c>
      <c r="C133" s="63">
        <v>0</v>
      </c>
      <c r="D133" s="63">
        <v>0</v>
      </c>
      <c r="E133" s="63">
        <v>0</v>
      </c>
      <c r="F133" s="63">
        <v>0</v>
      </c>
      <c r="G133" s="63">
        <v>0</v>
      </c>
      <c r="H133" s="63">
        <v>0</v>
      </c>
      <c r="I133" s="63">
        <v>0</v>
      </c>
      <c r="J133" s="63">
        <v>0</v>
      </c>
      <c r="K133" s="63">
        <v>0</v>
      </c>
      <c r="L133" s="63">
        <v>0</v>
      </c>
      <c r="M133" s="63">
        <v>0</v>
      </c>
      <c r="N133" s="63">
        <v>0</v>
      </c>
      <c r="O133" s="63">
        <v>0</v>
      </c>
      <c r="P133" s="63">
        <v>0</v>
      </c>
      <c r="Q133" s="63">
        <v>0</v>
      </c>
      <c r="R133" s="63">
        <v>0</v>
      </c>
      <c r="S133" s="63">
        <v>0</v>
      </c>
      <c r="T133" s="63">
        <v>0</v>
      </c>
      <c r="U133" s="63">
        <v>0</v>
      </c>
      <c r="V133" s="63">
        <v>0</v>
      </c>
      <c r="W133" s="63">
        <v>0</v>
      </c>
      <c r="X133" s="63">
        <v>0</v>
      </c>
      <c r="Y133" s="63">
        <v>0</v>
      </c>
      <c r="Z133" s="63">
        <v>0</v>
      </c>
      <c r="AA133" s="63">
        <v>0</v>
      </c>
      <c r="AB133" s="63">
        <v>0</v>
      </c>
      <c r="AC133" s="63">
        <v>0</v>
      </c>
      <c r="AD133" s="63">
        <v>0</v>
      </c>
      <c r="AE133" s="63">
        <v>0</v>
      </c>
      <c r="AF133" s="63">
        <v>0</v>
      </c>
      <c r="AG133" s="63">
        <v>1</v>
      </c>
      <c r="AH133" s="63">
        <v>0</v>
      </c>
      <c r="AI133" s="63">
        <v>0</v>
      </c>
      <c r="AJ133" s="63">
        <v>1</v>
      </c>
      <c r="AK133" s="63">
        <v>0</v>
      </c>
      <c r="AL133" s="63">
        <v>0</v>
      </c>
      <c r="AM133" s="63">
        <v>0</v>
      </c>
      <c r="AN133" s="63">
        <v>0</v>
      </c>
      <c r="AO133" s="63">
        <v>0</v>
      </c>
      <c r="AP133" s="63">
        <v>0</v>
      </c>
      <c r="AQ133" s="63">
        <v>0</v>
      </c>
      <c r="AR133" s="63">
        <v>0</v>
      </c>
      <c r="AS133" s="63">
        <v>0</v>
      </c>
      <c r="AT133" s="63">
        <v>0</v>
      </c>
      <c r="AU133" s="63">
        <v>0</v>
      </c>
      <c r="AV133" s="63">
        <v>0</v>
      </c>
      <c r="AW133" s="63">
        <v>0</v>
      </c>
      <c r="AX133" s="63">
        <v>0</v>
      </c>
      <c r="AY133" s="63">
        <v>0</v>
      </c>
      <c r="AZ133" s="63">
        <v>0</v>
      </c>
      <c r="BA133" s="63">
        <v>0</v>
      </c>
      <c r="BB133" s="63">
        <v>0</v>
      </c>
      <c r="BC133" s="63">
        <v>0</v>
      </c>
      <c r="BD133" s="63">
        <v>0</v>
      </c>
      <c r="BE133" s="63">
        <v>0</v>
      </c>
      <c r="BF133" s="63">
        <v>0</v>
      </c>
      <c r="BG133" s="63">
        <v>0</v>
      </c>
      <c r="BH133" s="63">
        <v>0</v>
      </c>
      <c r="BI133" s="63">
        <v>0</v>
      </c>
      <c r="BJ133" s="63">
        <v>0</v>
      </c>
      <c r="BK133" s="63">
        <v>0</v>
      </c>
      <c r="BL133" s="63">
        <v>1</v>
      </c>
      <c r="BM133" s="63">
        <v>0</v>
      </c>
      <c r="BN133" s="63">
        <v>0</v>
      </c>
      <c r="BO133" s="63">
        <v>0</v>
      </c>
      <c r="BP133" s="63">
        <v>0</v>
      </c>
      <c r="BQ133" s="63">
        <v>0</v>
      </c>
      <c r="BR133" s="63">
        <v>0</v>
      </c>
      <c r="BS133" s="63">
        <v>0</v>
      </c>
      <c r="BT133" s="63">
        <v>0</v>
      </c>
      <c r="BU133" s="63">
        <v>0</v>
      </c>
      <c r="BV133" s="63">
        <v>1</v>
      </c>
      <c r="BW133" s="63">
        <v>0</v>
      </c>
      <c r="BX133" s="63">
        <v>0</v>
      </c>
      <c r="BY133" s="63">
        <v>0</v>
      </c>
      <c r="BZ133" s="63">
        <v>1</v>
      </c>
      <c r="CA133" s="63">
        <v>0</v>
      </c>
      <c r="CB133" s="63">
        <v>0</v>
      </c>
      <c r="CC133" s="63">
        <v>0</v>
      </c>
      <c r="CD133" s="63">
        <v>0</v>
      </c>
      <c r="CE133" s="63">
        <v>0</v>
      </c>
      <c r="CF133" s="63">
        <v>0</v>
      </c>
      <c r="CG133" s="63">
        <v>0</v>
      </c>
      <c r="CH133" s="63">
        <v>0</v>
      </c>
      <c r="CI133" s="63">
        <v>1</v>
      </c>
      <c r="CJ133" s="63">
        <v>0</v>
      </c>
      <c r="CK133" s="63">
        <v>0</v>
      </c>
      <c r="CL133" s="63">
        <v>0</v>
      </c>
      <c r="CM133" s="63">
        <v>0</v>
      </c>
      <c r="CN133" s="63">
        <v>0</v>
      </c>
      <c r="CO133" s="63">
        <v>0</v>
      </c>
      <c r="CP133" s="63">
        <v>0</v>
      </c>
      <c r="CQ133" s="63">
        <v>0</v>
      </c>
      <c r="CR133" s="63">
        <v>0</v>
      </c>
      <c r="CS133" s="63">
        <v>0</v>
      </c>
      <c r="CT133" s="63">
        <v>0</v>
      </c>
      <c r="CU133" s="61"/>
    </row>
    <row r="134" spans="2:99" ht="12.75">
      <c r="B134" s="1">
        <v>35</v>
      </c>
      <c r="C134" s="63">
        <v>0</v>
      </c>
      <c r="D134" s="63">
        <v>0</v>
      </c>
      <c r="E134" s="63">
        <v>0</v>
      </c>
      <c r="F134" s="63">
        <v>0</v>
      </c>
      <c r="G134" s="63">
        <v>0</v>
      </c>
      <c r="H134" s="63">
        <v>0</v>
      </c>
      <c r="I134" s="63">
        <v>0</v>
      </c>
      <c r="J134" s="63">
        <v>0</v>
      </c>
      <c r="K134" s="63">
        <v>0</v>
      </c>
      <c r="L134" s="63">
        <v>0</v>
      </c>
      <c r="M134" s="63">
        <v>0</v>
      </c>
      <c r="N134" s="63">
        <v>0</v>
      </c>
      <c r="O134" s="63">
        <v>0</v>
      </c>
      <c r="P134" s="63">
        <v>0</v>
      </c>
      <c r="Q134" s="63">
        <v>1</v>
      </c>
      <c r="R134" s="63">
        <v>0</v>
      </c>
      <c r="S134" s="63">
        <v>0</v>
      </c>
      <c r="T134" s="63">
        <v>0</v>
      </c>
      <c r="U134" s="63">
        <v>0</v>
      </c>
      <c r="V134" s="63">
        <v>0</v>
      </c>
      <c r="W134" s="63">
        <v>0</v>
      </c>
      <c r="X134" s="63">
        <v>0</v>
      </c>
      <c r="Y134" s="63">
        <v>0</v>
      </c>
      <c r="Z134" s="63">
        <v>0</v>
      </c>
      <c r="AA134" s="63">
        <v>0</v>
      </c>
      <c r="AB134" s="63">
        <v>0</v>
      </c>
      <c r="AC134" s="63">
        <v>1</v>
      </c>
      <c r="AD134" s="63">
        <v>0</v>
      </c>
      <c r="AE134" s="63">
        <v>0</v>
      </c>
      <c r="AF134" s="63">
        <v>0</v>
      </c>
      <c r="AG134" s="63">
        <v>0</v>
      </c>
      <c r="AH134" s="63">
        <v>0</v>
      </c>
      <c r="AI134" s="63">
        <v>0</v>
      </c>
      <c r="AJ134" s="63">
        <v>0</v>
      </c>
      <c r="AK134" s="63">
        <v>1</v>
      </c>
      <c r="AL134" s="63">
        <v>0</v>
      </c>
      <c r="AM134" s="63">
        <v>0</v>
      </c>
      <c r="AN134" s="63">
        <v>0</v>
      </c>
      <c r="AO134" s="63">
        <v>0</v>
      </c>
      <c r="AP134" s="63">
        <v>0</v>
      </c>
      <c r="AQ134" s="63">
        <v>0</v>
      </c>
      <c r="AR134" s="63">
        <v>0</v>
      </c>
      <c r="AS134" s="63">
        <v>0</v>
      </c>
      <c r="AT134" s="63">
        <v>0</v>
      </c>
      <c r="AU134" s="63">
        <v>0</v>
      </c>
      <c r="AV134" s="63">
        <v>0</v>
      </c>
      <c r="AW134" s="63">
        <v>0</v>
      </c>
      <c r="AX134" s="63">
        <v>0</v>
      </c>
      <c r="AY134" s="63">
        <v>0</v>
      </c>
      <c r="AZ134" s="63">
        <v>0</v>
      </c>
      <c r="BA134" s="63">
        <v>0</v>
      </c>
      <c r="BB134" s="63">
        <v>0</v>
      </c>
      <c r="BC134" s="63">
        <v>0</v>
      </c>
      <c r="BD134" s="63">
        <v>0</v>
      </c>
      <c r="BE134" s="63">
        <v>0</v>
      </c>
      <c r="BF134" s="63">
        <v>0</v>
      </c>
      <c r="BG134" s="63">
        <v>0</v>
      </c>
      <c r="BH134" s="63">
        <v>0</v>
      </c>
      <c r="BI134" s="63">
        <v>0</v>
      </c>
      <c r="BJ134" s="63">
        <v>0</v>
      </c>
      <c r="BK134" s="63">
        <v>0</v>
      </c>
      <c r="BL134" s="63">
        <v>0</v>
      </c>
      <c r="BM134" s="63">
        <v>0</v>
      </c>
      <c r="BN134" s="63">
        <v>0</v>
      </c>
      <c r="BO134" s="63">
        <v>0</v>
      </c>
      <c r="BP134" s="63">
        <v>0</v>
      </c>
      <c r="BQ134" s="63">
        <v>0</v>
      </c>
      <c r="BR134" s="63">
        <v>0</v>
      </c>
      <c r="BS134" s="63">
        <v>0</v>
      </c>
      <c r="BT134" s="63">
        <v>0</v>
      </c>
      <c r="BU134" s="63">
        <v>0</v>
      </c>
      <c r="BV134" s="63">
        <v>0</v>
      </c>
      <c r="BW134" s="63">
        <v>0</v>
      </c>
      <c r="BX134" s="63">
        <v>0</v>
      </c>
      <c r="BY134" s="63">
        <v>0</v>
      </c>
      <c r="BZ134" s="63">
        <v>0</v>
      </c>
      <c r="CA134" s="63">
        <v>0</v>
      </c>
      <c r="CB134" s="63">
        <v>0</v>
      </c>
      <c r="CC134" s="63">
        <v>0</v>
      </c>
      <c r="CD134" s="63">
        <v>0</v>
      </c>
      <c r="CE134" s="63">
        <v>0</v>
      </c>
      <c r="CF134" s="63">
        <v>0</v>
      </c>
      <c r="CG134" s="63">
        <v>1</v>
      </c>
      <c r="CH134" s="63">
        <v>0</v>
      </c>
      <c r="CI134" s="63">
        <v>0</v>
      </c>
      <c r="CJ134" s="63">
        <v>0</v>
      </c>
      <c r="CK134" s="63">
        <v>0</v>
      </c>
      <c r="CL134" s="63">
        <v>0</v>
      </c>
      <c r="CM134" s="63">
        <v>0</v>
      </c>
      <c r="CN134" s="63">
        <v>0</v>
      </c>
      <c r="CO134" s="63">
        <v>0</v>
      </c>
      <c r="CP134" s="63">
        <v>0</v>
      </c>
      <c r="CQ134" s="63">
        <v>0</v>
      </c>
      <c r="CR134" s="63">
        <v>0</v>
      </c>
      <c r="CS134" s="63">
        <v>0</v>
      </c>
      <c r="CT134" s="63">
        <v>0</v>
      </c>
      <c r="CU134" s="61"/>
    </row>
    <row r="135" spans="2:99" ht="12.75">
      <c r="B135" s="1">
        <v>36</v>
      </c>
      <c r="C135" s="63">
        <v>0</v>
      </c>
      <c r="D135" s="63">
        <v>0</v>
      </c>
      <c r="E135" s="63">
        <v>0</v>
      </c>
      <c r="F135" s="63">
        <v>0</v>
      </c>
      <c r="G135" s="63">
        <v>0</v>
      </c>
      <c r="H135" s="63">
        <v>0</v>
      </c>
      <c r="I135" s="63">
        <v>0</v>
      </c>
      <c r="J135" s="63">
        <v>0</v>
      </c>
      <c r="K135" s="63">
        <v>0</v>
      </c>
      <c r="L135" s="63">
        <v>0</v>
      </c>
      <c r="M135" s="63">
        <v>0</v>
      </c>
      <c r="N135" s="63">
        <v>0</v>
      </c>
      <c r="O135" s="63">
        <v>0</v>
      </c>
      <c r="P135" s="63">
        <v>0</v>
      </c>
      <c r="Q135" s="63">
        <v>0</v>
      </c>
      <c r="R135" s="63">
        <v>0</v>
      </c>
      <c r="S135" s="63">
        <v>0</v>
      </c>
      <c r="T135" s="63">
        <v>0</v>
      </c>
      <c r="U135" s="63">
        <v>0</v>
      </c>
      <c r="V135" s="63">
        <v>0</v>
      </c>
      <c r="W135" s="63">
        <v>1</v>
      </c>
      <c r="X135" s="63">
        <v>0</v>
      </c>
      <c r="Y135" s="63">
        <v>0</v>
      </c>
      <c r="Z135" s="63">
        <v>0</v>
      </c>
      <c r="AA135" s="63">
        <v>0</v>
      </c>
      <c r="AB135" s="63">
        <v>0</v>
      </c>
      <c r="AC135" s="63">
        <v>0</v>
      </c>
      <c r="AD135" s="63">
        <v>0</v>
      </c>
      <c r="AE135" s="63">
        <v>1</v>
      </c>
      <c r="AF135" s="63">
        <v>0</v>
      </c>
      <c r="AG135" s="63">
        <v>0</v>
      </c>
      <c r="AH135" s="63">
        <v>0</v>
      </c>
      <c r="AI135" s="63">
        <v>0</v>
      </c>
      <c r="AJ135" s="63">
        <v>0</v>
      </c>
      <c r="AK135" s="63">
        <v>0</v>
      </c>
      <c r="AL135" s="63">
        <v>1</v>
      </c>
      <c r="AM135" s="63">
        <v>0</v>
      </c>
      <c r="AN135" s="63">
        <v>0</v>
      </c>
      <c r="AO135" s="63">
        <v>0</v>
      </c>
      <c r="AP135" s="63">
        <v>0</v>
      </c>
      <c r="AQ135" s="63">
        <v>0</v>
      </c>
      <c r="AR135" s="63">
        <v>0</v>
      </c>
      <c r="AS135" s="63">
        <v>0</v>
      </c>
      <c r="AT135" s="63">
        <v>0</v>
      </c>
      <c r="AU135" s="63">
        <v>1</v>
      </c>
      <c r="AV135" s="63">
        <v>0</v>
      </c>
      <c r="AW135" s="63">
        <v>0</v>
      </c>
      <c r="AX135" s="63">
        <v>0</v>
      </c>
      <c r="AY135" s="63">
        <v>0</v>
      </c>
      <c r="AZ135" s="63">
        <v>0</v>
      </c>
      <c r="BA135" s="63">
        <v>0</v>
      </c>
      <c r="BB135" s="63">
        <v>0</v>
      </c>
      <c r="BC135" s="63">
        <v>0</v>
      </c>
      <c r="BD135" s="63">
        <v>0</v>
      </c>
      <c r="BE135" s="63">
        <v>0</v>
      </c>
      <c r="BF135" s="63">
        <v>0</v>
      </c>
      <c r="BG135" s="63">
        <v>0</v>
      </c>
      <c r="BH135" s="63">
        <v>0</v>
      </c>
      <c r="BI135" s="63">
        <v>0</v>
      </c>
      <c r="BJ135" s="63">
        <v>0</v>
      </c>
      <c r="BK135" s="63">
        <v>0</v>
      </c>
      <c r="BL135" s="63">
        <v>0</v>
      </c>
      <c r="BM135" s="63">
        <v>0</v>
      </c>
      <c r="BN135" s="63">
        <v>0</v>
      </c>
      <c r="BO135" s="63">
        <v>0</v>
      </c>
      <c r="BP135" s="63">
        <v>0</v>
      </c>
      <c r="BQ135" s="63">
        <v>0</v>
      </c>
      <c r="BR135" s="63">
        <v>0</v>
      </c>
      <c r="BS135" s="63">
        <v>1</v>
      </c>
      <c r="BT135" s="63">
        <v>0</v>
      </c>
      <c r="BU135" s="63">
        <v>0</v>
      </c>
      <c r="BV135" s="63">
        <v>0</v>
      </c>
      <c r="BW135" s="63">
        <v>0</v>
      </c>
      <c r="BX135" s="63">
        <v>0</v>
      </c>
      <c r="BY135" s="63">
        <v>0</v>
      </c>
      <c r="BZ135" s="63">
        <v>0</v>
      </c>
      <c r="CA135" s="63">
        <v>0</v>
      </c>
      <c r="CB135" s="63">
        <v>0</v>
      </c>
      <c r="CC135" s="63">
        <v>0</v>
      </c>
      <c r="CD135" s="63">
        <v>0</v>
      </c>
      <c r="CE135" s="63">
        <v>0</v>
      </c>
      <c r="CF135" s="63">
        <v>0</v>
      </c>
      <c r="CG135" s="63">
        <v>0</v>
      </c>
      <c r="CH135" s="63">
        <v>0</v>
      </c>
      <c r="CI135" s="63">
        <v>0</v>
      </c>
      <c r="CJ135" s="63">
        <v>0</v>
      </c>
      <c r="CK135" s="63">
        <v>0</v>
      </c>
      <c r="CL135" s="63">
        <v>0</v>
      </c>
      <c r="CM135" s="63">
        <v>0</v>
      </c>
      <c r="CN135" s="63">
        <v>0</v>
      </c>
      <c r="CO135" s="63">
        <v>0</v>
      </c>
      <c r="CP135" s="63">
        <v>0</v>
      </c>
      <c r="CQ135" s="63">
        <v>0</v>
      </c>
      <c r="CR135" s="63">
        <v>0</v>
      </c>
      <c r="CS135" s="63">
        <v>0</v>
      </c>
      <c r="CT135" s="63">
        <v>0</v>
      </c>
      <c r="CU135" s="61"/>
    </row>
    <row r="136" spans="2:99" ht="12.75">
      <c r="B136" s="1">
        <v>37</v>
      </c>
      <c r="C136" s="63">
        <v>0</v>
      </c>
      <c r="D136" s="63">
        <v>0</v>
      </c>
      <c r="E136" s="63">
        <v>0</v>
      </c>
      <c r="F136" s="63">
        <v>0</v>
      </c>
      <c r="G136" s="63">
        <v>0</v>
      </c>
      <c r="H136" s="63">
        <v>0</v>
      </c>
      <c r="I136" s="63">
        <v>0</v>
      </c>
      <c r="J136" s="63">
        <v>0</v>
      </c>
      <c r="K136" s="63">
        <v>0</v>
      </c>
      <c r="L136" s="63">
        <v>0</v>
      </c>
      <c r="M136" s="63">
        <v>0</v>
      </c>
      <c r="N136" s="63">
        <v>0</v>
      </c>
      <c r="O136" s="63">
        <v>0</v>
      </c>
      <c r="P136" s="63">
        <v>0</v>
      </c>
      <c r="Q136" s="63">
        <v>0</v>
      </c>
      <c r="R136" s="63">
        <v>0</v>
      </c>
      <c r="S136" s="63">
        <v>0</v>
      </c>
      <c r="T136" s="63">
        <v>0</v>
      </c>
      <c r="U136" s="63">
        <v>0</v>
      </c>
      <c r="V136" s="63">
        <v>0</v>
      </c>
      <c r="W136" s="63">
        <v>0</v>
      </c>
      <c r="X136" s="63">
        <v>0</v>
      </c>
      <c r="Y136" s="63">
        <v>0</v>
      </c>
      <c r="Z136" s="63">
        <v>0</v>
      </c>
      <c r="AA136" s="63">
        <v>0</v>
      </c>
      <c r="AB136" s="63">
        <v>0</v>
      </c>
      <c r="AC136" s="63">
        <v>0</v>
      </c>
      <c r="AD136" s="63">
        <v>0</v>
      </c>
      <c r="AE136" s="63">
        <v>0</v>
      </c>
      <c r="AF136" s="63">
        <v>0</v>
      </c>
      <c r="AG136" s="63">
        <v>0</v>
      </c>
      <c r="AH136" s="63">
        <v>0</v>
      </c>
      <c r="AI136" s="63">
        <v>0</v>
      </c>
      <c r="AJ136" s="63">
        <v>0</v>
      </c>
      <c r="AK136" s="63">
        <v>0</v>
      </c>
      <c r="AL136" s="63">
        <v>0</v>
      </c>
      <c r="AM136" s="63">
        <v>1</v>
      </c>
      <c r="AN136" s="63">
        <v>0</v>
      </c>
      <c r="AO136" s="63">
        <v>0</v>
      </c>
      <c r="AP136" s="63">
        <v>0</v>
      </c>
      <c r="AQ136" s="63">
        <v>0</v>
      </c>
      <c r="AR136" s="63">
        <v>1</v>
      </c>
      <c r="AS136" s="63">
        <v>0</v>
      </c>
      <c r="AT136" s="63">
        <v>1</v>
      </c>
      <c r="AU136" s="63">
        <v>0</v>
      </c>
      <c r="AV136" s="63">
        <v>0</v>
      </c>
      <c r="AW136" s="63">
        <v>0</v>
      </c>
      <c r="AX136" s="63">
        <v>0</v>
      </c>
      <c r="AY136" s="63">
        <v>0</v>
      </c>
      <c r="AZ136" s="63">
        <v>0</v>
      </c>
      <c r="BA136" s="63">
        <v>0</v>
      </c>
      <c r="BB136" s="63">
        <v>0</v>
      </c>
      <c r="BC136" s="63">
        <v>0</v>
      </c>
      <c r="BD136" s="63">
        <v>0</v>
      </c>
      <c r="BE136" s="63">
        <v>0</v>
      </c>
      <c r="BF136" s="63">
        <v>0</v>
      </c>
      <c r="BG136" s="63">
        <v>0</v>
      </c>
      <c r="BH136" s="63">
        <v>0</v>
      </c>
      <c r="BI136" s="63">
        <v>0</v>
      </c>
      <c r="BJ136" s="63">
        <v>0</v>
      </c>
      <c r="BK136" s="63">
        <v>0</v>
      </c>
      <c r="BL136" s="63">
        <v>0</v>
      </c>
      <c r="BM136" s="63">
        <v>0</v>
      </c>
      <c r="BN136" s="63">
        <v>0</v>
      </c>
      <c r="BO136" s="63">
        <v>0</v>
      </c>
      <c r="BP136" s="63">
        <v>0</v>
      </c>
      <c r="BQ136" s="63">
        <v>0</v>
      </c>
      <c r="BR136" s="63">
        <v>0</v>
      </c>
      <c r="BS136" s="63">
        <v>0</v>
      </c>
      <c r="BT136" s="63">
        <v>0</v>
      </c>
      <c r="BU136" s="63">
        <v>0</v>
      </c>
      <c r="BV136" s="63">
        <v>0</v>
      </c>
      <c r="BW136" s="63">
        <v>0</v>
      </c>
      <c r="BX136" s="63">
        <v>0</v>
      </c>
      <c r="BY136" s="63">
        <v>0</v>
      </c>
      <c r="BZ136" s="63">
        <v>0</v>
      </c>
      <c r="CA136" s="63">
        <v>0</v>
      </c>
      <c r="CB136" s="63">
        <v>0</v>
      </c>
      <c r="CC136" s="63">
        <v>0</v>
      </c>
      <c r="CD136" s="63">
        <v>0</v>
      </c>
      <c r="CE136" s="63">
        <v>0</v>
      </c>
      <c r="CF136" s="63">
        <v>1</v>
      </c>
      <c r="CG136" s="63">
        <v>0</v>
      </c>
      <c r="CH136" s="63">
        <v>0</v>
      </c>
      <c r="CI136" s="63">
        <v>0</v>
      </c>
      <c r="CJ136" s="63">
        <v>0</v>
      </c>
      <c r="CK136" s="63">
        <v>0</v>
      </c>
      <c r="CL136" s="63">
        <v>0</v>
      </c>
      <c r="CM136" s="63">
        <v>0</v>
      </c>
      <c r="CN136" s="63">
        <v>0</v>
      </c>
      <c r="CO136" s="63">
        <v>0</v>
      </c>
      <c r="CP136" s="63">
        <v>0</v>
      </c>
      <c r="CQ136" s="63">
        <v>0</v>
      </c>
      <c r="CR136" s="63">
        <v>0</v>
      </c>
      <c r="CS136" s="63">
        <v>0</v>
      </c>
      <c r="CT136" s="63">
        <v>0</v>
      </c>
      <c r="CU136" s="61"/>
    </row>
    <row r="137" spans="2:99" ht="12.75">
      <c r="B137" s="1">
        <v>38</v>
      </c>
      <c r="C137" s="63">
        <v>0</v>
      </c>
      <c r="D137" s="63">
        <v>0</v>
      </c>
      <c r="E137" s="63">
        <v>0</v>
      </c>
      <c r="F137" s="63">
        <v>0</v>
      </c>
      <c r="G137" s="63">
        <v>0</v>
      </c>
      <c r="H137" s="63">
        <v>0</v>
      </c>
      <c r="I137" s="63">
        <v>0</v>
      </c>
      <c r="J137" s="63">
        <v>0</v>
      </c>
      <c r="K137" s="63">
        <v>0</v>
      </c>
      <c r="L137" s="63">
        <v>0</v>
      </c>
      <c r="M137" s="63">
        <v>0</v>
      </c>
      <c r="N137" s="63">
        <v>1</v>
      </c>
      <c r="O137" s="63">
        <v>0</v>
      </c>
      <c r="P137" s="63">
        <v>0</v>
      </c>
      <c r="Q137" s="63">
        <v>0</v>
      </c>
      <c r="R137" s="63">
        <v>0</v>
      </c>
      <c r="S137" s="63">
        <v>0</v>
      </c>
      <c r="T137" s="63">
        <v>0</v>
      </c>
      <c r="U137" s="63">
        <v>0</v>
      </c>
      <c r="V137" s="63">
        <v>1</v>
      </c>
      <c r="W137" s="63">
        <v>0</v>
      </c>
      <c r="X137" s="63">
        <v>0</v>
      </c>
      <c r="Y137" s="63">
        <v>0</v>
      </c>
      <c r="Z137" s="63">
        <v>0</v>
      </c>
      <c r="AA137" s="63">
        <v>0</v>
      </c>
      <c r="AB137" s="63">
        <v>0</v>
      </c>
      <c r="AC137" s="63">
        <v>0</v>
      </c>
      <c r="AD137" s="63">
        <v>0</v>
      </c>
      <c r="AE137" s="63">
        <v>0</v>
      </c>
      <c r="AF137" s="63">
        <v>0</v>
      </c>
      <c r="AG137" s="63">
        <v>0</v>
      </c>
      <c r="AH137" s="63">
        <v>0</v>
      </c>
      <c r="AI137" s="63">
        <v>0</v>
      </c>
      <c r="AJ137" s="63">
        <v>0</v>
      </c>
      <c r="AK137" s="63">
        <v>0</v>
      </c>
      <c r="AL137" s="63">
        <v>0</v>
      </c>
      <c r="AM137" s="63">
        <v>0</v>
      </c>
      <c r="AN137" s="63">
        <v>1</v>
      </c>
      <c r="AO137" s="63">
        <v>0</v>
      </c>
      <c r="AP137" s="63">
        <v>0</v>
      </c>
      <c r="AQ137" s="63">
        <v>0</v>
      </c>
      <c r="AR137" s="63">
        <v>0</v>
      </c>
      <c r="AS137" s="63">
        <v>0</v>
      </c>
      <c r="AT137" s="63">
        <v>0</v>
      </c>
      <c r="AU137" s="63">
        <v>0</v>
      </c>
      <c r="AV137" s="63">
        <v>0</v>
      </c>
      <c r="AW137" s="63">
        <v>0</v>
      </c>
      <c r="AX137" s="63">
        <v>0</v>
      </c>
      <c r="AY137" s="63">
        <v>0</v>
      </c>
      <c r="AZ137" s="63">
        <v>0</v>
      </c>
      <c r="BA137" s="63">
        <v>0</v>
      </c>
      <c r="BB137" s="63">
        <v>0</v>
      </c>
      <c r="BC137" s="63">
        <v>0</v>
      </c>
      <c r="BD137" s="63">
        <v>0</v>
      </c>
      <c r="BE137" s="63">
        <v>0</v>
      </c>
      <c r="BF137" s="63">
        <v>0</v>
      </c>
      <c r="BG137" s="63">
        <v>0</v>
      </c>
      <c r="BH137" s="63">
        <v>0</v>
      </c>
      <c r="BI137" s="63">
        <v>0</v>
      </c>
      <c r="BJ137" s="63">
        <v>0</v>
      </c>
      <c r="BK137" s="63">
        <v>0</v>
      </c>
      <c r="BL137" s="63">
        <v>1</v>
      </c>
      <c r="BM137" s="63">
        <v>0</v>
      </c>
      <c r="BN137" s="63">
        <v>0</v>
      </c>
      <c r="BO137" s="63">
        <v>0</v>
      </c>
      <c r="BP137" s="63">
        <v>0</v>
      </c>
      <c r="BQ137" s="63">
        <v>0</v>
      </c>
      <c r="BR137" s="63">
        <v>0</v>
      </c>
      <c r="BS137" s="63">
        <v>0</v>
      </c>
      <c r="BT137" s="63">
        <v>0</v>
      </c>
      <c r="BU137" s="63">
        <v>0</v>
      </c>
      <c r="BV137" s="63">
        <v>0</v>
      </c>
      <c r="BW137" s="63">
        <v>0</v>
      </c>
      <c r="BX137" s="63">
        <v>0</v>
      </c>
      <c r="BY137" s="63">
        <v>0</v>
      </c>
      <c r="BZ137" s="63">
        <v>1</v>
      </c>
      <c r="CA137" s="63">
        <v>0</v>
      </c>
      <c r="CB137" s="63">
        <v>1</v>
      </c>
      <c r="CC137" s="63">
        <v>0</v>
      </c>
      <c r="CD137" s="63">
        <v>0</v>
      </c>
      <c r="CE137" s="63">
        <v>0</v>
      </c>
      <c r="CF137" s="63">
        <v>0</v>
      </c>
      <c r="CG137" s="63">
        <v>0</v>
      </c>
      <c r="CH137" s="63">
        <v>0</v>
      </c>
      <c r="CI137" s="63">
        <v>0</v>
      </c>
      <c r="CJ137" s="63">
        <v>0</v>
      </c>
      <c r="CK137" s="63">
        <v>0</v>
      </c>
      <c r="CL137" s="63">
        <v>0</v>
      </c>
      <c r="CM137" s="63">
        <v>0</v>
      </c>
      <c r="CN137" s="63">
        <v>0</v>
      </c>
      <c r="CO137" s="63">
        <v>0</v>
      </c>
      <c r="CP137" s="63">
        <v>0</v>
      </c>
      <c r="CQ137" s="63">
        <v>0</v>
      </c>
      <c r="CR137" s="63">
        <v>0</v>
      </c>
      <c r="CS137" s="63">
        <v>0</v>
      </c>
      <c r="CT137" s="63">
        <v>0</v>
      </c>
      <c r="CU137" s="61"/>
    </row>
    <row r="138" spans="2:99" ht="12.75">
      <c r="B138" s="1">
        <v>39</v>
      </c>
      <c r="C138" s="63">
        <v>0</v>
      </c>
      <c r="D138" s="63">
        <v>0</v>
      </c>
      <c r="E138" s="63">
        <v>0</v>
      </c>
      <c r="F138" s="63">
        <v>1</v>
      </c>
      <c r="G138" s="63">
        <v>0</v>
      </c>
      <c r="H138" s="63">
        <v>0</v>
      </c>
      <c r="I138" s="63">
        <v>0</v>
      </c>
      <c r="J138" s="63">
        <v>0</v>
      </c>
      <c r="K138" s="63">
        <v>0</v>
      </c>
      <c r="L138" s="63">
        <v>0</v>
      </c>
      <c r="M138" s="63">
        <v>0</v>
      </c>
      <c r="N138" s="63">
        <v>0</v>
      </c>
      <c r="O138" s="63">
        <v>1</v>
      </c>
      <c r="P138" s="63">
        <v>0</v>
      </c>
      <c r="Q138" s="63">
        <v>0</v>
      </c>
      <c r="R138" s="63">
        <v>0</v>
      </c>
      <c r="S138" s="63">
        <v>1</v>
      </c>
      <c r="T138" s="63">
        <v>0</v>
      </c>
      <c r="U138" s="63">
        <v>1</v>
      </c>
      <c r="V138" s="63">
        <v>0</v>
      </c>
      <c r="W138" s="63">
        <v>1</v>
      </c>
      <c r="X138" s="63">
        <v>0</v>
      </c>
      <c r="Y138" s="63">
        <v>0</v>
      </c>
      <c r="Z138" s="63">
        <v>0</v>
      </c>
      <c r="AA138" s="63">
        <v>0</v>
      </c>
      <c r="AB138" s="63">
        <v>1</v>
      </c>
      <c r="AC138" s="63">
        <v>0</v>
      </c>
      <c r="AD138" s="63">
        <v>0</v>
      </c>
      <c r="AE138" s="63">
        <v>0</v>
      </c>
      <c r="AF138" s="63">
        <v>0</v>
      </c>
      <c r="AG138" s="63">
        <v>0</v>
      </c>
      <c r="AH138" s="63">
        <v>0</v>
      </c>
      <c r="AI138" s="63">
        <v>0</v>
      </c>
      <c r="AJ138" s="63">
        <v>0</v>
      </c>
      <c r="AK138" s="63">
        <v>0</v>
      </c>
      <c r="AL138" s="63">
        <v>0</v>
      </c>
      <c r="AM138" s="63">
        <v>0</v>
      </c>
      <c r="AN138" s="63">
        <v>0</v>
      </c>
      <c r="AO138" s="63">
        <v>1</v>
      </c>
      <c r="AP138" s="63">
        <v>0</v>
      </c>
      <c r="AQ138" s="63">
        <v>0</v>
      </c>
      <c r="AR138" s="63">
        <v>0</v>
      </c>
      <c r="AS138" s="63">
        <v>0</v>
      </c>
      <c r="AT138" s="63">
        <v>1</v>
      </c>
      <c r="AU138" s="63">
        <v>0</v>
      </c>
      <c r="AV138" s="63">
        <v>0</v>
      </c>
      <c r="AW138" s="63">
        <v>0</v>
      </c>
      <c r="AX138" s="63">
        <v>0</v>
      </c>
      <c r="AY138" s="63">
        <v>0</v>
      </c>
      <c r="AZ138" s="63">
        <v>0</v>
      </c>
      <c r="BA138" s="63">
        <v>0</v>
      </c>
      <c r="BB138" s="63">
        <v>0</v>
      </c>
      <c r="BC138" s="63">
        <v>0</v>
      </c>
      <c r="BD138" s="63">
        <v>0</v>
      </c>
      <c r="BE138" s="63">
        <v>0</v>
      </c>
      <c r="BF138" s="63">
        <v>0</v>
      </c>
      <c r="BG138" s="63">
        <v>0</v>
      </c>
      <c r="BH138" s="63">
        <v>0</v>
      </c>
      <c r="BI138" s="63">
        <v>0</v>
      </c>
      <c r="BJ138" s="63">
        <v>0</v>
      </c>
      <c r="BK138" s="63">
        <v>0</v>
      </c>
      <c r="BL138" s="63">
        <v>0</v>
      </c>
      <c r="BM138" s="63">
        <v>0</v>
      </c>
      <c r="BN138" s="63">
        <v>0</v>
      </c>
      <c r="BO138" s="63">
        <v>0</v>
      </c>
      <c r="BP138" s="63">
        <v>0</v>
      </c>
      <c r="BQ138" s="63">
        <v>0</v>
      </c>
      <c r="BR138" s="63">
        <v>1</v>
      </c>
      <c r="BS138" s="63">
        <v>0</v>
      </c>
      <c r="BT138" s="63">
        <v>0</v>
      </c>
      <c r="BU138" s="63">
        <v>0</v>
      </c>
      <c r="BV138" s="63">
        <v>0</v>
      </c>
      <c r="BW138" s="63">
        <v>0</v>
      </c>
      <c r="BX138" s="63">
        <v>0</v>
      </c>
      <c r="BY138" s="63">
        <v>0</v>
      </c>
      <c r="BZ138" s="63">
        <v>0</v>
      </c>
      <c r="CA138" s="63">
        <v>0</v>
      </c>
      <c r="CB138" s="63">
        <v>0</v>
      </c>
      <c r="CC138" s="63">
        <v>0</v>
      </c>
      <c r="CD138" s="63">
        <v>0</v>
      </c>
      <c r="CE138" s="63">
        <v>0</v>
      </c>
      <c r="CF138" s="63">
        <v>0</v>
      </c>
      <c r="CG138" s="63">
        <v>1</v>
      </c>
      <c r="CH138" s="63">
        <v>0</v>
      </c>
      <c r="CI138" s="63">
        <v>0</v>
      </c>
      <c r="CJ138" s="63">
        <v>0</v>
      </c>
      <c r="CK138" s="63">
        <v>0</v>
      </c>
      <c r="CL138" s="63">
        <v>0</v>
      </c>
      <c r="CM138" s="63">
        <v>0</v>
      </c>
      <c r="CN138" s="63">
        <v>0</v>
      </c>
      <c r="CO138" s="63">
        <v>0</v>
      </c>
      <c r="CP138" s="63">
        <v>0</v>
      </c>
      <c r="CQ138" s="63">
        <v>0</v>
      </c>
      <c r="CR138" s="63">
        <v>0</v>
      </c>
      <c r="CS138" s="63">
        <v>0</v>
      </c>
      <c r="CT138" s="63">
        <v>0</v>
      </c>
      <c r="CU138" s="61"/>
    </row>
    <row r="139" spans="2:99" ht="12.75">
      <c r="B139" s="1">
        <v>40</v>
      </c>
      <c r="C139" s="63">
        <v>0</v>
      </c>
      <c r="D139" s="63">
        <v>0</v>
      </c>
      <c r="E139" s="63">
        <v>0</v>
      </c>
      <c r="F139" s="63">
        <v>0</v>
      </c>
      <c r="G139" s="63">
        <v>0</v>
      </c>
      <c r="H139" s="63">
        <v>0</v>
      </c>
      <c r="I139" s="63">
        <v>0</v>
      </c>
      <c r="J139" s="63">
        <v>0</v>
      </c>
      <c r="K139" s="63">
        <v>0</v>
      </c>
      <c r="L139" s="63">
        <v>0</v>
      </c>
      <c r="M139" s="63">
        <v>0</v>
      </c>
      <c r="N139" s="63">
        <v>0</v>
      </c>
      <c r="O139" s="63">
        <v>0</v>
      </c>
      <c r="P139" s="63">
        <v>0</v>
      </c>
      <c r="Q139" s="63">
        <v>0</v>
      </c>
      <c r="R139" s="63">
        <v>0</v>
      </c>
      <c r="S139" s="63">
        <v>0</v>
      </c>
      <c r="T139" s="63">
        <v>0</v>
      </c>
      <c r="U139" s="63">
        <v>0</v>
      </c>
      <c r="V139" s="63">
        <v>1</v>
      </c>
      <c r="W139" s="63">
        <v>0</v>
      </c>
      <c r="X139" s="63">
        <v>0</v>
      </c>
      <c r="Y139" s="63">
        <v>0</v>
      </c>
      <c r="Z139" s="63">
        <v>0</v>
      </c>
      <c r="AA139" s="63">
        <v>0</v>
      </c>
      <c r="AB139" s="63">
        <v>0</v>
      </c>
      <c r="AC139" s="63">
        <v>0</v>
      </c>
      <c r="AD139" s="63">
        <v>0</v>
      </c>
      <c r="AE139" s="63">
        <v>0</v>
      </c>
      <c r="AF139" s="63">
        <v>0</v>
      </c>
      <c r="AG139" s="63">
        <v>0</v>
      </c>
      <c r="AH139" s="63">
        <v>0</v>
      </c>
      <c r="AI139" s="63">
        <v>0</v>
      </c>
      <c r="AJ139" s="63">
        <v>0</v>
      </c>
      <c r="AK139" s="63">
        <v>0</v>
      </c>
      <c r="AL139" s="63">
        <v>0</v>
      </c>
      <c r="AM139" s="63">
        <v>0</v>
      </c>
      <c r="AN139" s="63">
        <v>0</v>
      </c>
      <c r="AO139" s="63">
        <v>0</v>
      </c>
      <c r="AP139" s="63">
        <v>1</v>
      </c>
      <c r="AQ139" s="63">
        <v>0</v>
      </c>
      <c r="AR139" s="63">
        <v>0</v>
      </c>
      <c r="AS139" s="63">
        <v>0</v>
      </c>
      <c r="AT139" s="63">
        <v>0</v>
      </c>
      <c r="AU139" s="63">
        <v>0</v>
      </c>
      <c r="AV139" s="63">
        <v>0</v>
      </c>
      <c r="AW139" s="63">
        <v>0</v>
      </c>
      <c r="AX139" s="63">
        <v>0</v>
      </c>
      <c r="AY139" s="63">
        <v>0</v>
      </c>
      <c r="AZ139" s="63">
        <v>0</v>
      </c>
      <c r="BA139" s="63">
        <v>1</v>
      </c>
      <c r="BB139" s="63">
        <v>0</v>
      </c>
      <c r="BC139" s="63">
        <v>0</v>
      </c>
      <c r="BD139" s="63">
        <v>0</v>
      </c>
      <c r="BE139" s="63">
        <v>0</v>
      </c>
      <c r="BF139" s="63">
        <v>1</v>
      </c>
      <c r="BG139" s="63">
        <v>0</v>
      </c>
      <c r="BH139" s="63">
        <v>0</v>
      </c>
      <c r="BI139" s="63">
        <v>0</v>
      </c>
      <c r="BJ139" s="63">
        <v>0</v>
      </c>
      <c r="BK139" s="63">
        <v>0</v>
      </c>
      <c r="BL139" s="63">
        <v>0</v>
      </c>
      <c r="BM139" s="63">
        <v>0</v>
      </c>
      <c r="BN139" s="63">
        <v>0</v>
      </c>
      <c r="BO139" s="63">
        <v>0</v>
      </c>
      <c r="BP139" s="63">
        <v>0</v>
      </c>
      <c r="BQ139" s="63">
        <v>0</v>
      </c>
      <c r="BR139" s="63">
        <v>0</v>
      </c>
      <c r="BS139" s="63">
        <v>0</v>
      </c>
      <c r="BT139" s="63">
        <v>0</v>
      </c>
      <c r="BU139" s="63">
        <v>0</v>
      </c>
      <c r="BV139" s="63">
        <v>0</v>
      </c>
      <c r="BW139" s="63">
        <v>1</v>
      </c>
      <c r="BX139" s="63">
        <v>0</v>
      </c>
      <c r="BY139" s="63">
        <v>0</v>
      </c>
      <c r="BZ139" s="63">
        <v>1</v>
      </c>
      <c r="CA139" s="63">
        <v>1</v>
      </c>
      <c r="CB139" s="63">
        <v>0</v>
      </c>
      <c r="CC139" s="63">
        <v>0</v>
      </c>
      <c r="CD139" s="63">
        <v>0</v>
      </c>
      <c r="CE139" s="63">
        <v>0</v>
      </c>
      <c r="CF139" s="63">
        <v>0</v>
      </c>
      <c r="CG139" s="63">
        <v>0</v>
      </c>
      <c r="CH139" s="63">
        <v>0</v>
      </c>
      <c r="CI139" s="63">
        <v>0</v>
      </c>
      <c r="CJ139" s="63">
        <v>0</v>
      </c>
      <c r="CK139" s="63">
        <v>0</v>
      </c>
      <c r="CL139" s="63">
        <v>0</v>
      </c>
      <c r="CM139" s="63">
        <v>0</v>
      </c>
      <c r="CN139" s="63">
        <v>0</v>
      </c>
      <c r="CO139" s="63">
        <v>0</v>
      </c>
      <c r="CP139" s="63">
        <v>1</v>
      </c>
      <c r="CQ139" s="63">
        <v>1</v>
      </c>
      <c r="CR139" s="63">
        <v>0</v>
      </c>
      <c r="CS139" s="63">
        <v>0</v>
      </c>
      <c r="CT139" s="63">
        <v>0</v>
      </c>
      <c r="CU139" s="61"/>
    </row>
    <row r="140" spans="2:99" ht="12.75">
      <c r="B140" s="1">
        <v>41</v>
      </c>
      <c r="C140" s="63">
        <v>0</v>
      </c>
      <c r="D140" s="63">
        <v>0</v>
      </c>
      <c r="E140" s="63">
        <v>0</v>
      </c>
      <c r="F140" s="63">
        <v>0</v>
      </c>
      <c r="G140" s="63">
        <v>0</v>
      </c>
      <c r="H140" s="63">
        <v>0</v>
      </c>
      <c r="I140" s="63">
        <v>0</v>
      </c>
      <c r="J140" s="63">
        <v>0</v>
      </c>
      <c r="K140" s="63">
        <v>0</v>
      </c>
      <c r="L140" s="63">
        <v>0</v>
      </c>
      <c r="M140" s="63">
        <v>0</v>
      </c>
      <c r="N140" s="63">
        <v>0</v>
      </c>
      <c r="O140" s="63">
        <v>0</v>
      </c>
      <c r="P140" s="63">
        <v>0</v>
      </c>
      <c r="Q140" s="63">
        <v>0</v>
      </c>
      <c r="R140" s="63">
        <v>0</v>
      </c>
      <c r="S140" s="63">
        <v>0</v>
      </c>
      <c r="T140" s="63">
        <v>0</v>
      </c>
      <c r="U140" s="63">
        <v>0</v>
      </c>
      <c r="V140" s="63">
        <v>0</v>
      </c>
      <c r="W140" s="63">
        <v>0</v>
      </c>
      <c r="X140" s="63">
        <v>0</v>
      </c>
      <c r="Y140" s="63">
        <v>0</v>
      </c>
      <c r="Z140" s="63">
        <v>0</v>
      </c>
      <c r="AA140" s="63">
        <v>0</v>
      </c>
      <c r="AB140" s="63">
        <v>0</v>
      </c>
      <c r="AC140" s="63">
        <v>0</v>
      </c>
      <c r="AD140" s="63">
        <v>0</v>
      </c>
      <c r="AE140" s="63">
        <v>0</v>
      </c>
      <c r="AF140" s="63">
        <v>0</v>
      </c>
      <c r="AG140" s="63">
        <v>0</v>
      </c>
      <c r="AH140" s="63">
        <v>0</v>
      </c>
      <c r="AI140" s="63">
        <v>0</v>
      </c>
      <c r="AJ140" s="63">
        <v>0</v>
      </c>
      <c r="AK140" s="63">
        <v>0</v>
      </c>
      <c r="AL140" s="63">
        <v>0</v>
      </c>
      <c r="AM140" s="63">
        <v>0</v>
      </c>
      <c r="AN140" s="63">
        <v>0</v>
      </c>
      <c r="AO140" s="63">
        <v>0</v>
      </c>
      <c r="AP140" s="63">
        <v>0</v>
      </c>
      <c r="AQ140" s="63">
        <v>1</v>
      </c>
      <c r="AR140" s="63">
        <v>0</v>
      </c>
      <c r="AS140" s="63">
        <v>0</v>
      </c>
      <c r="AT140" s="63">
        <v>0</v>
      </c>
      <c r="AU140" s="63">
        <v>0</v>
      </c>
      <c r="AV140" s="63">
        <v>0</v>
      </c>
      <c r="AW140" s="63">
        <v>0</v>
      </c>
      <c r="AX140" s="63">
        <v>0</v>
      </c>
      <c r="AY140" s="63">
        <v>0</v>
      </c>
      <c r="AZ140" s="63">
        <v>0</v>
      </c>
      <c r="BA140" s="63">
        <v>0</v>
      </c>
      <c r="BB140" s="63">
        <v>0</v>
      </c>
      <c r="BC140" s="63">
        <v>0</v>
      </c>
      <c r="BD140" s="63">
        <v>0</v>
      </c>
      <c r="BE140" s="63">
        <v>0</v>
      </c>
      <c r="BF140" s="63">
        <v>0</v>
      </c>
      <c r="BG140" s="63">
        <v>0</v>
      </c>
      <c r="BH140" s="63">
        <v>0</v>
      </c>
      <c r="BI140" s="63">
        <v>1</v>
      </c>
      <c r="BJ140" s="63">
        <v>0</v>
      </c>
      <c r="BK140" s="63">
        <v>0</v>
      </c>
      <c r="BL140" s="63">
        <v>0</v>
      </c>
      <c r="BM140" s="63">
        <v>0</v>
      </c>
      <c r="BN140" s="63">
        <v>1</v>
      </c>
      <c r="BO140" s="63">
        <v>0</v>
      </c>
      <c r="BP140" s="63">
        <v>0</v>
      </c>
      <c r="BQ140" s="63">
        <v>0</v>
      </c>
      <c r="BR140" s="63">
        <v>0</v>
      </c>
      <c r="BS140" s="63">
        <v>0</v>
      </c>
      <c r="BT140" s="63">
        <v>0</v>
      </c>
      <c r="BU140" s="63">
        <v>0</v>
      </c>
      <c r="BV140" s="63">
        <v>0</v>
      </c>
      <c r="BW140" s="63">
        <v>0</v>
      </c>
      <c r="BX140" s="63">
        <v>1</v>
      </c>
      <c r="BY140" s="63">
        <v>0</v>
      </c>
      <c r="BZ140" s="63">
        <v>0</v>
      </c>
      <c r="CA140" s="63">
        <v>0</v>
      </c>
      <c r="CB140" s="63">
        <v>0</v>
      </c>
      <c r="CC140" s="63">
        <v>1</v>
      </c>
      <c r="CD140" s="63">
        <v>0</v>
      </c>
      <c r="CE140" s="63">
        <v>0</v>
      </c>
      <c r="CF140" s="63">
        <v>0</v>
      </c>
      <c r="CG140" s="63">
        <v>0</v>
      </c>
      <c r="CH140" s="63">
        <v>0</v>
      </c>
      <c r="CI140" s="63">
        <v>0</v>
      </c>
      <c r="CJ140" s="63">
        <v>1</v>
      </c>
      <c r="CK140" s="63">
        <v>0</v>
      </c>
      <c r="CL140" s="63">
        <v>0</v>
      </c>
      <c r="CM140" s="63">
        <v>0</v>
      </c>
      <c r="CN140" s="63">
        <v>0</v>
      </c>
      <c r="CO140" s="63">
        <v>0</v>
      </c>
      <c r="CP140" s="63">
        <v>0</v>
      </c>
      <c r="CQ140" s="63">
        <v>0</v>
      </c>
      <c r="CR140" s="63">
        <v>1</v>
      </c>
      <c r="CS140" s="63">
        <v>0</v>
      </c>
      <c r="CT140" s="63">
        <v>0</v>
      </c>
      <c r="CU140" s="61"/>
    </row>
    <row r="141" spans="2:99" ht="12.75">
      <c r="B141" s="1">
        <v>42</v>
      </c>
      <c r="C141" s="63">
        <v>0</v>
      </c>
      <c r="D141" s="63">
        <v>0</v>
      </c>
      <c r="E141" s="63">
        <v>0</v>
      </c>
      <c r="F141" s="63">
        <v>0</v>
      </c>
      <c r="G141" s="63">
        <v>1</v>
      </c>
      <c r="H141" s="63">
        <v>0</v>
      </c>
      <c r="I141" s="63">
        <v>0</v>
      </c>
      <c r="J141" s="63">
        <v>0</v>
      </c>
      <c r="K141" s="63">
        <v>0</v>
      </c>
      <c r="L141" s="63">
        <v>0</v>
      </c>
      <c r="M141" s="63">
        <v>0</v>
      </c>
      <c r="N141" s="63">
        <v>0</v>
      </c>
      <c r="O141" s="63">
        <v>0</v>
      </c>
      <c r="P141" s="63">
        <v>0</v>
      </c>
      <c r="Q141" s="63">
        <v>0</v>
      </c>
      <c r="R141" s="63">
        <v>0</v>
      </c>
      <c r="S141" s="63">
        <v>0</v>
      </c>
      <c r="T141" s="63">
        <v>0</v>
      </c>
      <c r="U141" s="63">
        <v>0</v>
      </c>
      <c r="V141" s="63">
        <v>0</v>
      </c>
      <c r="W141" s="63">
        <v>0</v>
      </c>
      <c r="X141" s="63">
        <v>0</v>
      </c>
      <c r="Y141" s="63">
        <v>0</v>
      </c>
      <c r="Z141" s="63">
        <v>1</v>
      </c>
      <c r="AA141" s="63">
        <v>0</v>
      </c>
      <c r="AB141" s="63">
        <v>0</v>
      </c>
      <c r="AC141" s="63">
        <v>0</v>
      </c>
      <c r="AD141" s="63">
        <v>1</v>
      </c>
      <c r="AE141" s="63">
        <v>0</v>
      </c>
      <c r="AF141" s="63">
        <v>0</v>
      </c>
      <c r="AG141" s="63">
        <v>0</v>
      </c>
      <c r="AH141" s="63">
        <v>0</v>
      </c>
      <c r="AI141" s="63">
        <v>0</v>
      </c>
      <c r="AJ141" s="63">
        <v>0</v>
      </c>
      <c r="AK141" s="63">
        <v>0</v>
      </c>
      <c r="AL141" s="63">
        <v>0</v>
      </c>
      <c r="AM141" s="63">
        <v>1</v>
      </c>
      <c r="AN141" s="63">
        <v>0</v>
      </c>
      <c r="AO141" s="63">
        <v>0</v>
      </c>
      <c r="AP141" s="63">
        <v>0</v>
      </c>
      <c r="AQ141" s="63">
        <v>0</v>
      </c>
      <c r="AR141" s="63">
        <v>1</v>
      </c>
      <c r="AS141" s="63">
        <v>0</v>
      </c>
      <c r="AT141" s="63">
        <v>1</v>
      </c>
      <c r="AU141" s="63">
        <v>0</v>
      </c>
      <c r="AV141" s="63">
        <v>0</v>
      </c>
      <c r="AW141" s="63">
        <v>0</v>
      </c>
      <c r="AX141" s="63">
        <v>0</v>
      </c>
      <c r="AY141" s="63">
        <v>0</v>
      </c>
      <c r="AZ141" s="63">
        <v>0</v>
      </c>
      <c r="BA141" s="63">
        <v>0</v>
      </c>
      <c r="BB141" s="63">
        <v>0</v>
      </c>
      <c r="BC141" s="63">
        <v>0</v>
      </c>
      <c r="BD141" s="63">
        <v>0</v>
      </c>
      <c r="BE141" s="63">
        <v>0</v>
      </c>
      <c r="BF141" s="63">
        <v>0</v>
      </c>
      <c r="BG141" s="63">
        <v>0</v>
      </c>
      <c r="BH141" s="63">
        <v>0</v>
      </c>
      <c r="BI141" s="63">
        <v>0</v>
      </c>
      <c r="BJ141" s="63">
        <v>0</v>
      </c>
      <c r="BK141" s="63">
        <v>0</v>
      </c>
      <c r="BL141" s="63">
        <v>0</v>
      </c>
      <c r="BM141" s="63">
        <v>0</v>
      </c>
      <c r="BN141" s="63">
        <v>0</v>
      </c>
      <c r="BO141" s="63">
        <v>0</v>
      </c>
      <c r="BP141" s="63">
        <v>0</v>
      </c>
      <c r="BQ141" s="63">
        <v>0</v>
      </c>
      <c r="BR141" s="63">
        <v>0</v>
      </c>
      <c r="BS141" s="63">
        <v>0</v>
      </c>
      <c r="BT141" s="63">
        <v>0</v>
      </c>
      <c r="BU141" s="63">
        <v>0</v>
      </c>
      <c r="BV141" s="63">
        <v>0</v>
      </c>
      <c r="BW141" s="63">
        <v>0</v>
      </c>
      <c r="BX141" s="63">
        <v>0</v>
      </c>
      <c r="BY141" s="63">
        <v>0</v>
      </c>
      <c r="BZ141" s="63">
        <v>0</v>
      </c>
      <c r="CA141" s="63">
        <v>0</v>
      </c>
      <c r="CB141" s="63">
        <v>0</v>
      </c>
      <c r="CC141" s="63">
        <v>0</v>
      </c>
      <c r="CD141" s="63">
        <v>0</v>
      </c>
      <c r="CE141" s="63">
        <v>0</v>
      </c>
      <c r="CF141" s="63">
        <v>1</v>
      </c>
      <c r="CG141" s="63">
        <v>0</v>
      </c>
      <c r="CH141" s="63">
        <v>0</v>
      </c>
      <c r="CI141" s="63">
        <v>0</v>
      </c>
      <c r="CJ141" s="63">
        <v>0</v>
      </c>
      <c r="CK141" s="63">
        <v>0</v>
      </c>
      <c r="CL141" s="63">
        <v>0</v>
      </c>
      <c r="CM141" s="63">
        <v>0</v>
      </c>
      <c r="CN141" s="63">
        <v>0</v>
      </c>
      <c r="CO141" s="63">
        <v>0</v>
      </c>
      <c r="CP141" s="63">
        <v>0</v>
      </c>
      <c r="CQ141" s="63">
        <v>0</v>
      </c>
      <c r="CR141" s="63">
        <v>0</v>
      </c>
      <c r="CS141" s="63">
        <v>0</v>
      </c>
      <c r="CT141" s="63">
        <v>0</v>
      </c>
      <c r="CU141" s="61"/>
    </row>
    <row r="142" spans="2:99" ht="12.75">
      <c r="B142" s="1">
        <v>43</v>
      </c>
      <c r="C142" s="63">
        <v>0</v>
      </c>
      <c r="D142" s="63">
        <v>0</v>
      </c>
      <c r="E142" s="63">
        <v>0</v>
      </c>
      <c r="F142" s="63">
        <v>0</v>
      </c>
      <c r="G142" s="63">
        <v>0</v>
      </c>
      <c r="H142" s="63">
        <v>0</v>
      </c>
      <c r="I142" s="63">
        <v>0</v>
      </c>
      <c r="J142" s="63">
        <v>0</v>
      </c>
      <c r="K142" s="63">
        <v>0</v>
      </c>
      <c r="L142" s="63">
        <v>0</v>
      </c>
      <c r="M142" s="63">
        <v>0</v>
      </c>
      <c r="N142" s="63">
        <v>0</v>
      </c>
      <c r="O142" s="63">
        <v>0</v>
      </c>
      <c r="P142" s="63">
        <v>0</v>
      </c>
      <c r="Q142" s="63">
        <v>0</v>
      </c>
      <c r="R142" s="63">
        <v>0</v>
      </c>
      <c r="S142" s="63">
        <v>0</v>
      </c>
      <c r="T142" s="63">
        <v>0</v>
      </c>
      <c r="U142" s="63">
        <v>0</v>
      </c>
      <c r="V142" s="63">
        <v>0</v>
      </c>
      <c r="W142" s="63">
        <v>0</v>
      </c>
      <c r="X142" s="63">
        <v>0</v>
      </c>
      <c r="Y142" s="63">
        <v>0</v>
      </c>
      <c r="Z142" s="63">
        <v>0</v>
      </c>
      <c r="AA142" s="63">
        <v>0</v>
      </c>
      <c r="AB142" s="63">
        <v>0</v>
      </c>
      <c r="AC142" s="63">
        <v>0</v>
      </c>
      <c r="AD142" s="63">
        <v>0</v>
      </c>
      <c r="AE142" s="63">
        <v>0</v>
      </c>
      <c r="AF142" s="63">
        <v>0</v>
      </c>
      <c r="AG142" s="63">
        <v>0</v>
      </c>
      <c r="AH142" s="63">
        <v>0</v>
      </c>
      <c r="AI142" s="63">
        <v>0</v>
      </c>
      <c r="AJ142" s="63">
        <v>0</v>
      </c>
      <c r="AK142" s="63">
        <v>0</v>
      </c>
      <c r="AL142" s="63">
        <v>0</v>
      </c>
      <c r="AM142" s="63">
        <v>0</v>
      </c>
      <c r="AN142" s="63">
        <v>0</v>
      </c>
      <c r="AO142" s="63">
        <v>0</v>
      </c>
      <c r="AP142" s="63">
        <v>0</v>
      </c>
      <c r="AQ142" s="63">
        <v>0</v>
      </c>
      <c r="AR142" s="63">
        <v>0</v>
      </c>
      <c r="AS142" s="63">
        <v>1</v>
      </c>
      <c r="AT142" s="63">
        <v>0</v>
      </c>
      <c r="AU142" s="63">
        <v>0</v>
      </c>
      <c r="AV142" s="63">
        <v>0</v>
      </c>
      <c r="AW142" s="63">
        <v>0</v>
      </c>
      <c r="AX142" s="63">
        <v>1</v>
      </c>
      <c r="AY142" s="63">
        <v>0</v>
      </c>
      <c r="AZ142" s="63">
        <v>1</v>
      </c>
      <c r="BA142" s="63">
        <v>0</v>
      </c>
      <c r="BB142" s="63">
        <v>0</v>
      </c>
      <c r="BC142" s="63">
        <v>0</v>
      </c>
      <c r="BD142" s="63">
        <v>0</v>
      </c>
      <c r="BE142" s="63">
        <v>0</v>
      </c>
      <c r="BF142" s="63">
        <v>0</v>
      </c>
      <c r="BG142" s="63">
        <v>0</v>
      </c>
      <c r="BH142" s="63">
        <v>0</v>
      </c>
      <c r="BI142" s="63">
        <v>0</v>
      </c>
      <c r="BJ142" s="63">
        <v>0</v>
      </c>
      <c r="BK142" s="63">
        <v>0</v>
      </c>
      <c r="BL142" s="63">
        <v>0</v>
      </c>
      <c r="BM142" s="63">
        <v>0</v>
      </c>
      <c r="BN142" s="63">
        <v>0</v>
      </c>
      <c r="BO142" s="63">
        <v>1</v>
      </c>
      <c r="BP142" s="63">
        <v>0</v>
      </c>
      <c r="BQ142" s="63">
        <v>0</v>
      </c>
      <c r="BR142" s="63">
        <v>0</v>
      </c>
      <c r="BS142" s="63">
        <v>0</v>
      </c>
      <c r="BT142" s="63">
        <v>0</v>
      </c>
      <c r="BU142" s="63">
        <v>0</v>
      </c>
      <c r="BV142" s="63">
        <v>0</v>
      </c>
      <c r="BW142" s="63">
        <v>0</v>
      </c>
      <c r="BX142" s="63">
        <v>0</v>
      </c>
      <c r="BY142" s="63">
        <v>0</v>
      </c>
      <c r="BZ142" s="63">
        <v>0</v>
      </c>
      <c r="CA142" s="63">
        <v>0</v>
      </c>
      <c r="CB142" s="63">
        <v>0</v>
      </c>
      <c r="CC142" s="63">
        <v>0</v>
      </c>
      <c r="CD142" s="63">
        <v>0</v>
      </c>
      <c r="CE142" s="63">
        <v>0</v>
      </c>
      <c r="CF142" s="63">
        <v>0</v>
      </c>
      <c r="CG142" s="63">
        <v>0</v>
      </c>
      <c r="CH142" s="63">
        <v>0</v>
      </c>
      <c r="CI142" s="63">
        <v>0</v>
      </c>
      <c r="CJ142" s="63">
        <v>0</v>
      </c>
      <c r="CK142" s="63">
        <v>0</v>
      </c>
      <c r="CL142" s="63">
        <v>0</v>
      </c>
      <c r="CM142" s="63">
        <v>0</v>
      </c>
      <c r="CN142" s="63">
        <v>0</v>
      </c>
      <c r="CO142" s="63">
        <v>0</v>
      </c>
      <c r="CP142" s="63">
        <v>0</v>
      </c>
      <c r="CQ142" s="63">
        <v>0</v>
      </c>
      <c r="CR142" s="63">
        <v>0</v>
      </c>
      <c r="CS142" s="63">
        <v>1</v>
      </c>
      <c r="CT142" s="63">
        <v>0</v>
      </c>
      <c r="CU142" s="61"/>
    </row>
    <row r="143" spans="2:99" ht="12.75">
      <c r="B143" s="1">
        <v>44</v>
      </c>
      <c r="C143" s="63">
        <v>0</v>
      </c>
      <c r="D143" s="63">
        <v>0</v>
      </c>
      <c r="E143" s="63">
        <v>0</v>
      </c>
      <c r="F143" s="63">
        <v>0</v>
      </c>
      <c r="G143" s="63">
        <v>0</v>
      </c>
      <c r="H143" s="63">
        <v>0</v>
      </c>
      <c r="I143" s="63">
        <v>0</v>
      </c>
      <c r="J143" s="63">
        <v>0</v>
      </c>
      <c r="K143" s="63">
        <v>0</v>
      </c>
      <c r="L143" s="63">
        <v>0</v>
      </c>
      <c r="M143" s="63">
        <v>0</v>
      </c>
      <c r="N143" s="63">
        <v>0</v>
      </c>
      <c r="O143" s="63">
        <v>0</v>
      </c>
      <c r="P143" s="63">
        <v>0</v>
      </c>
      <c r="Q143" s="63">
        <v>0</v>
      </c>
      <c r="R143" s="63">
        <v>0</v>
      </c>
      <c r="S143" s="63">
        <v>1</v>
      </c>
      <c r="T143" s="63">
        <v>0</v>
      </c>
      <c r="U143" s="63">
        <v>0</v>
      </c>
      <c r="V143" s="63">
        <v>0</v>
      </c>
      <c r="W143" s="63">
        <v>0</v>
      </c>
      <c r="X143" s="63">
        <v>0</v>
      </c>
      <c r="Y143" s="63">
        <v>0</v>
      </c>
      <c r="Z143" s="63">
        <v>0</v>
      </c>
      <c r="AA143" s="63">
        <v>0</v>
      </c>
      <c r="AB143" s="63">
        <v>0</v>
      </c>
      <c r="AC143" s="63">
        <v>0</v>
      </c>
      <c r="AD143" s="63">
        <v>1</v>
      </c>
      <c r="AE143" s="63">
        <v>0</v>
      </c>
      <c r="AF143" s="63">
        <v>0</v>
      </c>
      <c r="AG143" s="63">
        <v>0</v>
      </c>
      <c r="AH143" s="63">
        <v>0</v>
      </c>
      <c r="AI143" s="63">
        <v>0</v>
      </c>
      <c r="AJ143" s="63">
        <v>0</v>
      </c>
      <c r="AK143" s="63">
        <v>0</v>
      </c>
      <c r="AL143" s="63">
        <v>0</v>
      </c>
      <c r="AM143" s="63">
        <v>1</v>
      </c>
      <c r="AN143" s="63">
        <v>0</v>
      </c>
      <c r="AO143" s="63">
        <v>1</v>
      </c>
      <c r="AP143" s="63">
        <v>0</v>
      </c>
      <c r="AQ143" s="63">
        <v>0</v>
      </c>
      <c r="AR143" s="63">
        <v>1</v>
      </c>
      <c r="AS143" s="63">
        <v>0</v>
      </c>
      <c r="AT143" s="63">
        <v>1</v>
      </c>
      <c r="AU143" s="63">
        <v>0</v>
      </c>
      <c r="AV143" s="63">
        <v>0</v>
      </c>
      <c r="AW143" s="63">
        <v>0</v>
      </c>
      <c r="AX143" s="63">
        <v>0</v>
      </c>
      <c r="AY143" s="63">
        <v>0</v>
      </c>
      <c r="AZ143" s="63">
        <v>0</v>
      </c>
      <c r="BA143" s="63">
        <v>0</v>
      </c>
      <c r="BB143" s="63">
        <v>0</v>
      </c>
      <c r="BC143" s="63">
        <v>0</v>
      </c>
      <c r="BD143" s="63">
        <v>0</v>
      </c>
      <c r="BE143" s="63">
        <v>0</v>
      </c>
      <c r="BF143" s="63">
        <v>0</v>
      </c>
      <c r="BG143" s="63">
        <v>0</v>
      </c>
      <c r="BH143" s="63">
        <v>0</v>
      </c>
      <c r="BI143" s="63">
        <v>0</v>
      </c>
      <c r="BJ143" s="63">
        <v>0</v>
      </c>
      <c r="BK143" s="63">
        <v>0</v>
      </c>
      <c r="BL143" s="63">
        <v>0</v>
      </c>
      <c r="BM143" s="63">
        <v>0</v>
      </c>
      <c r="BN143" s="63">
        <v>0</v>
      </c>
      <c r="BO143" s="63">
        <v>0</v>
      </c>
      <c r="BP143" s="63">
        <v>0</v>
      </c>
      <c r="BQ143" s="63">
        <v>0</v>
      </c>
      <c r="BR143" s="63">
        <v>1</v>
      </c>
      <c r="BS143" s="63">
        <v>0</v>
      </c>
      <c r="BT143" s="63">
        <v>0</v>
      </c>
      <c r="BU143" s="63">
        <v>0</v>
      </c>
      <c r="BV143" s="63">
        <v>0</v>
      </c>
      <c r="BW143" s="63">
        <v>0</v>
      </c>
      <c r="BX143" s="63">
        <v>0</v>
      </c>
      <c r="BY143" s="63">
        <v>0</v>
      </c>
      <c r="BZ143" s="63">
        <v>0</v>
      </c>
      <c r="CA143" s="63">
        <v>0</v>
      </c>
      <c r="CB143" s="63">
        <v>0</v>
      </c>
      <c r="CC143" s="63">
        <v>0</v>
      </c>
      <c r="CD143" s="63">
        <v>0</v>
      </c>
      <c r="CE143" s="63">
        <v>0</v>
      </c>
      <c r="CF143" s="63">
        <v>1</v>
      </c>
      <c r="CG143" s="63">
        <v>0</v>
      </c>
      <c r="CH143" s="63">
        <v>0</v>
      </c>
      <c r="CI143" s="63">
        <v>0</v>
      </c>
      <c r="CJ143" s="63">
        <v>0</v>
      </c>
      <c r="CK143" s="63">
        <v>0</v>
      </c>
      <c r="CL143" s="63">
        <v>0</v>
      </c>
      <c r="CM143" s="63">
        <v>0</v>
      </c>
      <c r="CN143" s="63">
        <v>0</v>
      </c>
      <c r="CO143" s="63">
        <v>0</v>
      </c>
      <c r="CP143" s="63">
        <v>0</v>
      </c>
      <c r="CQ143" s="63">
        <v>0</v>
      </c>
      <c r="CR143" s="63">
        <v>0</v>
      </c>
      <c r="CS143" s="63">
        <v>0</v>
      </c>
      <c r="CT143" s="63">
        <v>0</v>
      </c>
      <c r="CU143" s="61"/>
    </row>
    <row r="144" spans="2:99" ht="12.75">
      <c r="B144" s="1">
        <v>45</v>
      </c>
      <c r="C144" s="63">
        <v>0</v>
      </c>
      <c r="D144" s="63">
        <v>0</v>
      </c>
      <c r="E144" s="63">
        <v>0</v>
      </c>
      <c r="F144" s="63">
        <v>0</v>
      </c>
      <c r="G144" s="63">
        <v>0</v>
      </c>
      <c r="H144" s="63">
        <v>0</v>
      </c>
      <c r="I144" s="63">
        <v>0</v>
      </c>
      <c r="J144" s="63">
        <v>0</v>
      </c>
      <c r="K144" s="63">
        <v>0</v>
      </c>
      <c r="L144" s="63">
        <v>0</v>
      </c>
      <c r="M144" s="63">
        <v>0</v>
      </c>
      <c r="N144" s="63">
        <v>0</v>
      </c>
      <c r="O144" s="63">
        <v>1</v>
      </c>
      <c r="P144" s="63">
        <v>0</v>
      </c>
      <c r="Q144" s="63">
        <v>0</v>
      </c>
      <c r="R144" s="63">
        <v>0</v>
      </c>
      <c r="S144" s="63">
        <v>0</v>
      </c>
      <c r="T144" s="63">
        <v>0</v>
      </c>
      <c r="U144" s="63">
        <v>1</v>
      </c>
      <c r="V144" s="63">
        <v>0</v>
      </c>
      <c r="W144" s="63">
        <v>1</v>
      </c>
      <c r="X144" s="63">
        <v>0</v>
      </c>
      <c r="Y144" s="63">
        <v>0</v>
      </c>
      <c r="Z144" s="63">
        <v>0</v>
      </c>
      <c r="AA144" s="63">
        <v>0</v>
      </c>
      <c r="AB144" s="63">
        <v>0</v>
      </c>
      <c r="AC144" s="63">
        <v>0</v>
      </c>
      <c r="AD144" s="63">
        <v>0</v>
      </c>
      <c r="AE144" s="63">
        <v>0</v>
      </c>
      <c r="AF144" s="63">
        <v>0</v>
      </c>
      <c r="AG144" s="63">
        <v>0</v>
      </c>
      <c r="AH144" s="63">
        <v>0</v>
      </c>
      <c r="AI144" s="63">
        <v>0</v>
      </c>
      <c r="AJ144" s="63">
        <v>0</v>
      </c>
      <c r="AK144" s="63">
        <v>0</v>
      </c>
      <c r="AL144" s="63">
        <v>1</v>
      </c>
      <c r="AM144" s="63">
        <v>0</v>
      </c>
      <c r="AN144" s="63">
        <v>0</v>
      </c>
      <c r="AO144" s="63">
        <v>0</v>
      </c>
      <c r="AP144" s="63">
        <v>0</v>
      </c>
      <c r="AQ144" s="63">
        <v>0</v>
      </c>
      <c r="AR144" s="63">
        <v>0</v>
      </c>
      <c r="AS144" s="63">
        <v>0</v>
      </c>
      <c r="AT144" s="63">
        <v>0</v>
      </c>
      <c r="AU144" s="63">
        <v>1</v>
      </c>
      <c r="AV144" s="63">
        <v>0</v>
      </c>
      <c r="AW144" s="63">
        <v>0</v>
      </c>
      <c r="AX144" s="63">
        <v>0</v>
      </c>
      <c r="AY144" s="63">
        <v>0</v>
      </c>
      <c r="AZ144" s="63">
        <v>0</v>
      </c>
      <c r="BA144" s="63">
        <v>0</v>
      </c>
      <c r="BB144" s="63">
        <v>0</v>
      </c>
      <c r="BC144" s="63">
        <v>0</v>
      </c>
      <c r="BD144" s="63">
        <v>0</v>
      </c>
      <c r="BE144" s="63">
        <v>0</v>
      </c>
      <c r="BF144" s="63">
        <v>0</v>
      </c>
      <c r="BG144" s="63">
        <v>1</v>
      </c>
      <c r="BH144" s="63">
        <v>0</v>
      </c>
      <c r="BI144" s="63">
        <v>0</v>
      </c>
      <c r="BJ144" s="63">
        <v>0</v>
      </c>
      <c r="BK144" s="63">
        <v>0</v>
      </c>
      <c r="BL144" s="63">
        <v>0</v>
      </c>
      <c r="BM144" s="63">
        <v>0</v>
      </c>
      <c r="BN144" s="63">
        <v>0</v>
      </c>
      <c r="BO144" s="63">
        <v>0</v>
      </c>
      <c r="BP144" s="63">
        <v>0</v>
      </c>
      <c r="BQ144" s="63">
        <v>1</v>
      </c>
      <c r="BR144" s="63">
        <v>0</v>
      </c>
      <c r="BS144" s="63">
        <v>1</v>
      </c>
      <c r="BT144" s="63">
        <v>0</v>
      </c>
      <c r="BU144" s="63">
        <v>0</v>
      </c>
      <c r="BV144" s="63">
        <v>0</v>
      </c>
      <c r="BW144" s="63">
        <v>0</v>
      </c>
      <c r="BX144" s="63">
        <v>0</v>
      </c>
      <c r="BY144" s="63">
        <v>0</v>
      </c>
      <c r="BZ144" s="63">
        <v>0</v>
      </c>
      <c r="CA144" s="63">
        <v>0</v>
      </c>
      <c r="CB144" s="63">
        <v>0</v>
      </c>
      <c r="CC144" s="63">
        <v>0</v>
      </c>
      <c r="CD144" s="63">
        <v>0</v>
      </c>
      <c r="CE144" s="63">
        <v>0</v>
      </c>
      <c r="CF144" s="63">
        <v>0</v>
      </c>
      <c r="CG144" s="63">
        <v>0</v>
      </c>
      <c r="CH144" s="63">
        <v>0</v>
      </c>
      <c r="CI144" s="63">
        <v>0</v>
      </c>
      <c r="CJ144" s="63">
        <v>0</v>
      </c>
      <c r="CK144" s="63">
        <v>0</v>
      </c>
      <c r="CL144" s="63">
        <v>0</v>
      </c>
      <c r="CM144" s="63">
        <v>0</v>
      </c>
      <c r="CN144" s="63">
        <v>0</v>
      </c>
      <c r="CO144" s="63">
        <v>0</v>
      </c>
      <c r="CP144" s="63">
        <v>0</v>
      </c>
      <c r="CQ144" s="63">
        <v>0</v>
      </c>
      <c r="CR144" s="63">
        <v>0</v>
      </c>
      <c r="CS144" s="63">
        <v>0</v>
      </c>
      <c r="CT144" s="63">
        <v>0</v>
      </c>
      <c r="CU144" s="61"/>
    </row>
    <row r="145" spans="2:99" ht="12.75">
      <c r="B145" s="1">
        <v>46</v>
      </c>
      <c r="C145" s="63">
        <v>0</v>
      </c>
      <c r="D145" s="63">
        <v>0</v>
      </c>
      <c r="E145" s="63">
        <v>0</v>
      </c>
      <c r="F145" s="63">
        <v>0</v>
      </c>
      <c r="G145" s="63">
        <v>0</v>
      </c>
      <c r="H145" s="63">
        <v>0</v>
      </c>
      <c r="I145" s="63">
        <v>0</v>
      </c>
      <c r="J145" s="63">
        <v>0</v>
      </c>
      <c r="K145" s="63">
        <v>0</v>
      </c>
      <c r="L145" s="63">
        <v>1</v>
      </c>
      <c r="M145" s="63">
        <v>1</v>
      </c>
      <c r="N145" s="63">
        <v>0</v>
      </c>
      <c r="O145" s="63">
        <v>0</v>
      </c>
      <c r="P145" s="63">
        <v>0</v>
      </c>
      <c r="Q145" s="63">
        <v>0</v>
      </c>
      <c r="R145" s="63">
        <v>0</v>
      </c>
      <c r="S145" s="63">
        <v>0</v>
      </c>
      <c r="T145" s="63">
        <v>0</v>
      </c>
      <c r="U145" s="63">
        <v>0</v>
      </c>
      <c r="V145" s="63">
        <v>0</v>
      </c>
      <c r="W145" s="63">
        <v>0</v>
      </c>
      <c r="X145" s="63">
        <v>1</v>
      </c>
      <c r="Y145" s="63">
        <v>0</v>
      </c>
      <c r="Z145" s="63">
        <v>0</v>
      </c>
      <c r="AA145" s="63">
        <v>0</v>
      </c>
      <c r="AB145" s="63">
        <v>0</v>
      </c>
      <c r="AC145" s="63">
        <v>0</v>
      </c>
      <c r="AD145" s="63">
        <v>0</v>
      </c>
      <c r="AE145" s="63">
        <v>0</v>
      </c>
      <c r="AF145" s="63">
        <v>1</v>
      </c>
      <c r="AG145" s="63">
        <v>0</v>
      </c>
      <c r="AH145" s="63">
        <v>0</v>
      </c>
      <c r="AI145" s="63">
        <v>1</v>
      </c>
      <c r="AJ145" s="63">
        <v>0</v>
      </c>
      <c r="AK145" s="63">
        <v>0</v>
      </c>
      <c r="AL145" s="63">
        <v>0</v>
      </c>
      <c r="AM145" s="63">
        <v>0</v>
      </c>
      <c r="AN145" s="63">
        <v>0</v>
      </c>
      <c r="AO145" s="63">
        <v>0</v>
      </c>
      <c r="AP145" s="63">
        <v>0</v>
      </c>
      <c r="AQ145" s="63">
        <v>0</v>
      </c>
      <c r="AR145" s="63">
        <v>0</v>
      </c>
      <c r="AS145" s="63">
        <v>0</v>
      </c>
      <c r="AT145" s="63">
        <v>0</v>
      </c>
      <c r="AU145" s="63">
        <v>0</v>
      </c>
      <c r="AV145" s="63">
        <v>1</v>
      </c>
      <c r="AW145" s="63">
        <v>0</v>
      </c>
      <c r="AX145" s="63">
        <v>0</v>
      </c>
      <c r="AY145" s="63">
        <v>0</v>
      </c>
      <c r="AZ145" s="63">
        <v>0</v>
      </c>
      <c r="BA145" s="63">
        <v>0</v>
      </c>
      <c r="BB145" s="63">
        <v>0</v>
      </c>
      <c r="BC145" s="63">
        <v>0</v>
      </c>
      <c r="BD145" s="63">
        <v>0</v>
      </c>
      <c r="BE145" s="63">
        <v>1</v>
      </c>
      <c r="BF145" s="63">
        <v>0</v>
      </c>
      <c r="BG145" s="63">
        <v>0</v>
      </c>
      <c r="BH145" s="63">
        <v>0</v>
      </c>
      <c r="BI145" s="63">
        <v>0</v>
      </c>
      <c r="BJ145" s="63">
        <v>0</v>
      </c>
      <c r="BK145" s="63">
        <v>0</v>
      </c>
      <c r="BL145" s="63">
        <v>0</v>
      </c>
      <c r="BM145" s="63">
        <v>0</v>
      </c>
      <c r="BN145" s="63">
        <v>0</v>
      </c>
      <c r="BO145" s="63">
        <v>0</v>
      </c>
      <c r="BP145" s="63">
        <v>1</v>
      </c>
      <c r="BQ145" s="63">
        <v>0</v>
      </c>
      <c r="BR145" s="63">
        <v>0</v>
      </c>
      <c r="BS145" s="63">
        <v>0</v>
      </c>
      <c r="BT145" s="63">
        <v>1</v>
      </c>
      <c r="BU145" s="63">
        <v>1</v>
      </c>
      <c r="BV145" s="63">
        <v>0</v>
      </c>
      <c r="BW145" s="63">
        <v>0</v>
      </c>
      <c r="BX145" s="63">
        <v>0</v>
      </c>
      <c r="BY145" s="63">
        <v>0</v>
      </c>
      <c r="BZ145" s="63">
        <v>0</v>
      </c>
      <c r="CA145" s="63">
        <v>0</v>
      </c>
      <c r="CB145" s="63">
        <v>0</v>
      </c>
      <c r="CC145" s="63">
        <v>0</v>
      </c>
      <c r="CD145" s="63">
        <v>0</v>
      </c>
      <c r="CE145" s="63">
        <v>0</v>
      </c>
      <c r="CF145" s="63">
        <v>0</v>
      </c>
      <c r="CG145" s="63">
        <v>0</v>
      </c>
      <c r="CH145" s="63">
        <v>0</v>
      </c>
      <c r="CI145" s="63">
        <v>0</v>
      </c>
      <c r="CJ145" s="63">
        <v>0</v>
      </c>
      <c r="CK145" s="63">
        <v>0</v>
      </c>
      <c r="CL145" s="63">
        <v>0</v>
      </c>
      <c r="CM145" s="63">
        <v>0</v>
      </c>
      <c r="CN145" s="63">
        <v>0</v>
      </c>
      <c r="CO145" s="63">
        <v>0</v>
      </c>
      <c r="CP145" s="63">
        <v>0</v>
      </c>
      <c r="CQ145" s="63">
        <v>0</v>
      </c>
      <c r="CR145" s="63">
        <v>0</v>
      </c>
      <c r="CS145" s="63">
        <v>0</v>
      </c>
      <c r="CT145" s="63">
        <v>0</v>
      </c>
      <c r="CU145" s="61"/>
    </row>
    <row r="146" spans="2:99" ht="12.75">
      <c r="B146" s="1">
        <v>47</v>
      </c>
      <c r="C146" s="63">
        <v>0</v>
      </c>
      <c r="D146" s="63">
        <v>0</v>
      </c>
      <c r="E146" s="63">
        <v>0</v>
      </c>
      <c r="F146" s="63">
        <v>0</v>
      </c>
      <c r="G146" s="63">
        <v>0</v>
      </c>
      <c r="H146" s="63">
        <v>0</v>
      </c>
      <c r="I146" s="63">
        <v>0</v>
      </c>
      <c r="J146" s="63">
        <v>0</v>
      </c>
      <c r="K146" s="63">
        <v>1</v>
      </c>
      <c r="L146" s="63">
        <v>0</v>
      </c>
      <c r="M146" s="63">
        <v>0</v>
      </c>
      <c r="N146" s="63">
        <v>0</v>
      </c>
      <c r="O146" s="63">
        <v>0</v>
      </c>
      <c r="P146" s="63">
        <v>1</v>
      </c>
      <c r="Q146" s="63">
        <v>0</v>
      </c>
      <c r="R146" s="63">
        <v>0</v>
      </c>
      <c r="S146" s="63">
        <v>0</v>
      </c>
      <c r="T146" s="63">
        <v>0</v>
      </c>
      <c r="U146" s="63">
        <v>0</v>
      </c>
      <c r="V146" s="63">
        <v>0</v>
      </c>
      <c r="W146" s="63">
        <v>0</v>
      </c>
      <c r="X146" s="63">
        <v>0</v>
      </c>
      <c r="Y146" s="63">
        <v>0</v>
      </c>
      <c r="Z146" s="63">
        <v>1</v>
      </c>
      <c r="AA146" s="63">
        <v>0</v>
      </c>
      <c r="AB146" s="63">
        <v>0</v>
      </c>
      <c r="AC146" s="63">
        <v>0</v>
      </c>
      <c r="AD146" s="63">
        <v>0</v>
      </c>
      <c r="AE146" s="63">
        <v>0</v>
      </c>
      <c r="AF146" s="63">
        <v>1</v>
      </c>
      <c r="AG146" s="63">
        <v>0</v>
      </c>
      <c r="AH146" s="63">
        <v>0</v>
      </c>
      <c r="AI146" s="63">
        <v>0</v>
      </c>
      <c r="AJ146" s="63">
        <v>0</v>
      </c>
      <c r="AK146" s="63">
        <v>0</v>
      </c>
      <c r="AL146" s="63">
        <v>0</v>
      </c>
      <c r="AM146" s="63">
        <v>0</v>
      </c>
      <c r="AN146" s="63">
        <v>0</v>
      </c>
      <c r="AO146" s="63">
        <v>0</v>
      </c>
      <c r="AP146" s="63">
        <v>0</v>
      </c>
      <c r="AQ146" s="63">
        <v>0</v>
      </c>
      <c r="AR146" s="63">
        <v>0</v>
      </c>
      <c r="AS146" s="63">
        <v>0</v>
      </c>
      <c r="AT146" s="63">
        <v>0</v>
      </c>
      <c r="AU146" s="63">
        <v>0</v>
      </c>
      <c r="AV146" s="63">
        <v>0</v>
      </c>
      <c r="AW146" s="63">
        <v>1</v>
      </c>
      <c r="AX146" s="63">
        <v>0</v>
      </c>
      <c r="AY146" s="63">
        <v>0</v>
      </c>
      <c r="AZ146" s="63">
        <v>0</v>
      </c>
      <c r="BA146" s="63">
        <v>0</v>
      </c>
      <c r="BB146" s="63">
        <v>0</v>
      </c>
      <c r="BC146" s="63">
        <v>0</v>
      </c>
      <c r="BD146" s="63">
        <v>0</v>
      </c>
      <c r="BE146" s="63">
        <v>0</v>
      </c>
      <c r="BF146" s="63">
        <v>0</v>
      </c>
      <c r="BG146" s="63">
        <v>0</v>
      </c>
      <c r="BH146" s="63">
        <v>0</v>
      </c>
      <c r="BI146" s="63">
        <v>0</v>
      </c>
      <c r="BJ146" s="63">
        <v>1</v>
      </c>
      <c r="BK146" s="63">
        <v>0</v>
      </c>
      <c r="BL146" s="63">
        <v>0</v>
      </c>
      <c r="BM146" s="63">
        <v>0</v>
      </c>
      <c r="BN146" s="63">
        <v>0</v>
      </c>
      <c r="BO146" s="63">
        <v>0</v>
      </c>
      <c r="BP146" s="63">
        <v>0</v>
      </c>
      <c r="BQ146" s="63">
        <v>0</v>
      </c>
      <c r="BR146" s="63">
        <v>0</v>
      </c>
      <c r="BS146" s="63">
        <v>0</v>
      </c>
      <c r="BT146" s="63">
        <v>0</v>
      </c>
      <c r="BU146" s="63">
        <v>0</v>
      </c>
      <c r="BV146" s="63">
        <v>0</v>
      </c>
      <c r="BW146" s="63">
        <v>0</v>
      </c>
      <c r="BX146" s="63">
        <v>0</v>
      </c>
      <c r="BY146" s="63">
        <v>0</v>
      </c>
      <c r="BZ146" s="63">
        <v>0</v>
      </c>
      <c r="CA146" s="63">
        <v>0</v>
      </c>
      <c r="CB146" s="63">
        <v>0</v>
      </c>
      <c r="CC146" s="63">
        <v>0</v>
      </c>
      <c r="CD146" s="63">
        <v>0</v>
      </c>
      <c r="CE146" s="63">
        <v>1</v>
      </c>
      <c r="CF146" s="63">
        <v>0</v>
      </c>
      <c r="CG146" s="63">
        <v>0</v>
      </c>
      <c r="CH146" s="63">
        <v>0</v>
      </c>
      <c r="CI146" s="63">
        <v>0</v>
      </c>
      <c r="CJ146" s="63">
        <v>0</v>
      </c>
      <c r="CK146" s="63">
        <v>0</v>
      </c>
      <c r="CL146" s="63">
        <v>0</v>
      </c>
      <c r="CM146" s="63">
        <v>0</v>
      </c>
      <c r="CN146" s="63">
        <v>0</v>
      </c>
      <c r="CO146" s="63">
        <v>0</v>
      </c>
      <c r="CP146" s="63">
        <v>0</v>
      </c>
      <c r="CQ146" s="63">
        <v>0</v>
      </c>
      <c r="CR146" s="63">
        <v>0</v>
      </c>
      <c r="CS146" s="63">
        <v>0</v>
      </c>
      <c r="CT146" s="63">
        <v>1</v>
      </c>
      <c r="CU146" s="61"/>
    </row>
    <row r="147" spans="2:99" ht="12.75">
      <c r="B147" s="1">
        <v>48</v>
      </c>
      <c r="C147" s="63">
        <v>0</v>
      </c>
      <c r="D147" s="63">
        <v>0</v>
      </c>
      <c r="E147" s="63">
        <v>0</v>
      </c>
      <c r="F147" s="63">
        <v>0</v>
      </c>
      <c r="G147" s="63">
        <v>0</v>
      </c>
      <c r="H147" s="63">
        <v>0</v>
      </c>
      <c r="I147" s="63">
        <v>0</v>
      </c>
      <c r="J147" s="63">
        <v>1</v>
      </c>
      <c r="K147" s="63">
        <v>0</v>
      </c>
      <c r="L147" s="63">
        <v>0</v>
      </c>
      <c r="M147" s="63">
        <v>0</v>
      </c>
      <c r="N147" s="63">
        <v>0</v>
      </c>
      <c r="O147" s="63">
        <v>0</v>
      </c>
      <c r="P147" s="63">
        <v>0</v>
      </c>
      <c r="Q147" s="63">
        <v>0</v>
      </c>
      <c r="R147" s="63">
        <v>0</v>
      </c>
      <c r="S147" s="63">
        <v>0</v>
      </c>
      <c r="T147" s="63">
        <v>0</v>
      </c>
      <c r="U147" s="63">
        <v>0</v>
      </c>
      <c r="V147" s="63">
        <v>0</v>
      </c>
      <c r="W147" s="63">
        <v>0</v>
      </c>
      <c r="X147" s="63">
        <v>0</v>
      </c>
      <c r="Y147" s="63">
        <v>0</v>
      </c>
      <c r="Z147" s="63">
        <v>0</v>
      </c>
      <c r="AA147" s="63">
        <v>0</v>
      </c>
      <c r="AB147" s="63">
        <v>0</v>
      </c>
      <c r="AC147" s="63">
        <v>0</v>
      </c>
      <c r="AD147" s="63">
        <v>0</v>
      </c>
      <c r="AE147" s="63">
        <v>0</v>
      </c>
      <c r="AF147" s="63">
        <v>0</v>
      </c>
      <c r="AG147" s="63">
        <v>0</v>
      </c>
      <c r="AH147" s="63">
        <v>0</v>
      </c>
      <c r="AI147" s="63">
        <v>0</v>
      </c>
      <c r="AJ147" s="63">
        <v>0</v>
      </c>
      <c r="AK147" s="63">
        <v>0</v>
      </c>
      <c r="AL147" s="63">
        <v>0</v>
      </c>
      <c r="AM147" s="63">
        <v>0</v>
      </c>
      <c r="AN147" s="63">
        <v>0</v>
      </c>
      <c r="AO147" s="63">
        <v>0</v>
      </c>
      <c r="AP147" s="63">
        <v>0</v>
      </c>
      <c r="AQ147" s="63">
        <v>0</v>
      </c>
      <c r="AR147" s="63">
        <v>0</v>
      </c>
      <c r="AS147" s="63">
        <v>1</v>
      </c>
      <c r="AT147" s="63">
        <v>0</v>
      </c>
      <c r="AU147" s="63">
        <v>0</v>
      </c>
      <c r="AV147" s="63">
        <v>0</v>
      </c>
      <c r="AW147" s="63">
        <v>0</v>
      </c>
      <c r="AX147" s="63">
        <v>1</v>
      </c>
      <c r="AY147" s="63">
        <v>0</v>
      </c>
      <c r="AZ147" s="63">
        <v>1</v>
      </c>
      <c r="BA147" s="63">
        <v>0</v>
      </c>
      <c r="BB147" s="63">
        <v>0</v>
      </c>
      <c r="BC147" s="63">
        <v>0</v>
      </c>
      <c r="BD147" s="63">
        <v>0</v>
      </c>
      <c r="BE147" s="63">
        <v>0</v>
      </c>
      <c r="BF147" s="63">
        <v>0</v>
      </c>
      <c r="BG147" s="63">
        <v>0</v>
      </c>
      <c r="BH147" s="63">
        <v>0</v>
      </c>
      <c r="BI147" s="63">
        <v>0</v>
      </c>
      <c r="BJ147" s="63">
        <v>0</v>
      </c>
      <c r="BK147" s="63">
        <v>0</v>
      </c>
      <c r="BL147" s="63">
        <v>0</v>
      </c>
      <c r="BM147" s="63">
        <v>0</v>
      </c>
      <c r="BN147" s="63">
        <v>0</v>
      </c>
      <c r="BO147" s="63">
        <v>1</v>
      </c>
      <c r="BP147" s="63">
        <v>0</v>
      </c>
      <c r="BQ147" s="63">
        <v>1</v>
      </c>
      <c r="BR147" s="63">
        <v>0</v>
      </c>
      <c r="BS147" s="63">
        <v>0</v>
      </c>
      <c r="BT147" s="63">
        <v>0</v>
      </c>
      <c r="BU147" s="63">
        <v>0</v>
      </c>
      <c r="BV147" s="63">
        <v>0</v>
      </c>
      <c r="BW147" s="63">
        <v>0</v>
      </c>
      <c r="BX147" s="63">
        <v>0</v>
      </c>
      <c r="BY147" s="63">
        <v>0</v>
      </c>
      <c r="BZ147" s="63">
        <v>0</v>
      </c>
      <c r="CA147" s="63">
        <v>0</v>
      </c>
      <c r="CB147" s="63">
        <v>0</v>
      </c>
      <c r="CC147" s="63">
        <v>0</v>
      </c>
      <c r="CD147" s="63">
        <v>0</v>
      </c>
      <c r="CE147" s="63">
        <v>0</v>
      </c>
      <c r="CF147" s="63">
        <v>0</v>
      </c>
      <c r="CG147" s="63">
        <v>0</v>
      </c>
      <c r="CH147" s="63">
        <v>0</v>
      </c>
      <c r="CI147" s="63">
        <v>0</v>
      </c>
      <c r="CJ147" s="63">
        <v>0</v>
      </c>
      <c r="CK147" s="63">
        <v>0</v>
      </c>
      <c r="CL147" s="63">
        <v>0</v>
      </c>
      <c r="CM147" s="63">
        <v>0</v>
      </c>
      <c r="CN147" s="63">
        <v>0</v>
      </c>
      <c r="CO147" s="63">
        <v>0</v>
      </c>
      <c r="CP147" s="63">
        <v>0</v>
      </c>
      <c r="CQ147" s="63">
        <v>0</v>
      </c>
      <c r="CR147" s="63">
        <v>0</v>
      </c>
      <c r="CS147" s="63">
        <v>0</v>
      </c>
      <c r="CT147" s="63">
        <v>0</v>
      </c>
      <c r="CU147" s="61"/>
    </row>
    <row r="148" spans="2:99" ht="12.75">
      <c r="B148" s="1">
        <v>49</v>
      </c>
      <c r="C148" s="63">
        <v>0</v>
      </c>
      <c r="D148" s="63">
        <v>1</v>
      </c>
      <c r="E148" s="63">
        <v>1</v>
      </c>
      <c r="F148" s="63">
        <v>0</v>
      </c>
      <c r="G148" s="63">
        <v>0</v>
      </c>
      <c r="H148" s="63">
        <v>0</v>
      </c>
      <c r="I148" s="63">
        <v>0</v>
      </c>
      <c r="J148" s="63">
        <v>0</v>
      </c>
      <c r="K148" s="63">
        <v>0</v>
      </c>
      <c r="L148" s="63">
        <v>0</v>
      </c>
      <c r="M148" s="63">
        <v>1</v>
      </c>
      <c r="N148" s="63">
        <v>0</v>
      </c>
      <c r="O148" s="63">
        <v>0</v>
      </c>
      <c r="P148" s="63">
        <v>0</v>
      </c>
      <c r="Q148" s="63">
        <v>0</v>
      </c>
      <c r="R148" s="63">
        <v>0</v>
      </c>
      <c r="S148" s="63">
        <v>0</v>
      </c>
      <c r="T148" s="63">
        <v>1</v>
      </c>
      <c r="U148" s="63">
        <v>0</v>
      </c>
      <c r="V148" s="63">
        <v>0</v>
      </c>
      <c r="W148" s="63">
        <v>0</v>
      </c>
      <c r="X148" s="63">
        <v>0</v>
      </c>
      <c r="Y148" s="63">
        <v>0</v>
      </c>
      <c r="Z148" s="63">
        <v>0</v>
      </c>
      <c r="AA148" s="63">
        <v>0</v>
      </c>
      <c r="AB148" s="63">
        <v>0</v>
      </c>
      <c r="AC148" s="63">
        <v>0</v>
      </c>
      <c r="AD148" s="63">
        <v>0</v>
      </c>
      <c r="AE148" s="63">
        <v>0</v>
      </c>
      <c r="AF148" s="63">
        <v>0</v>
      </c>
      <c r="AG148" s="63">
        <v>0</v>
      </c>
      <c r="AH148" s="63">
        <v>0</v>
      </c>
      <c r="AI148" s="63">
        <v>0</v>
      </c>
      <c r="AJ148" s="63">
        <v>0</v>
      </c>
      <c r="AK148" s="63">
        <v>0</v>
      </c>
      <c r="AL148" s="63">
        <v>0</v>
      </c>
      <c r="AM148" s="63">
        <v>0</v>
      </c>
      <c r="AN148" s="63">
        <v>0</v>
      </c>
      <c r="AO148" s="63">
        <v>0</v>
      </c>
      <c r="AP148" s="63">
        <v>0</v>
      </c>
      <c r="AQ148" s="63">
        <v>0</v>
      </c>
      <c r="AR148" s="63">
        <v>0</v>
      </c>
      <c r="AS148" s="63">
        <v>0</v>
      </c>
      <c r="AT148" s="63">
        <v>0</v>
      </c>
      <c r="AU148" s="63">
        <v>0</v>
      </c>
      <c r="AV148" s="63">
        <v>0</v>
      </c>
      <c r="AW148" s="63">
        <v>0</v>
      </c>
      <c r="AX148" s="63">
        <v>0</v>
      </c>
      <c r="AY148" s="63">
        <v>1</v>
      </c>
      <c r="AZ148" s="63">
        <v>0</v>
      </c>
      <c r="BA148" s="63">
        <v>0</v>
      </c>
      <c r="BB148" s="63">
        <v>0</v>
      </c>
      <c r="BC148" s="63">
        <v>1</v>
      </c>
      <c r="BD148" s="63">
        <v>0</v>
      </c>
      <c r="BE148" s="63">
        <v>0</v>
      </c>
      <c r="BF148" s="63">
        <v>0</v>
      </c>
      <c r="BG148" s="63">
        <v>0</v>
      </c>
      <c r="BH148" s="63">
        <v>1</v>
      </c>
      <c r="BI148" s="63">
        <v>0</v>
      </c>
      <c r="BJ148" s="63">
        <v>0</v>
      </c>
      <c r="BK148" s="63">
        <v>0</v>
      </c>
      <c r="BL148" s="63">
        <v>0</v>
      </c>
      <c r="BM148" s="63">
        <v>1</v>
      </c>
      <c r="BN148" s="63">
        <v>0</v>
      </c>
      <c r="BO148" s="63">
        <v>0</v>
      </c>
      <c r="BP148" s="63">
        <v>0</v>
      </c>
      <c r="BQ148" s="63">
        <v>0</v>
      </c>
      <c r="BR148" s="63">
        <v>0</v>
      </c>
      <c r="BS148" s="63">
        <v>0</v>
      </c>
      <c r="BT148" s="63">
        <v>0</v>
      </c>
      <c r="BU148" s="63">
        <v>0</v>
      </c>
      <c r="BV148" s="63">
        <v>0</v>
      </c>
      <c r="BW148" s="63">
        <v>0</v>
      </c>
      <c r="BX148" s="63">
        <v>0</v>
      </c>
      <c r="BY148" s="63">
        <v>0</v>
      </c>
      <c r="BZ148" s="63">
        <v>0</v>
      </c>
      <c r="CA148" s="63">
        <v>0</v>
      </c>
      <c r="CB148" s="63">
        <v>0</v>
      </c>
      <c r="CC148" s="63">
        <v>0</v>
      </c>
      <c r="CD148" s="63">
        <v>0</v>
      </c>
      <c r="CE148" s="63">
        <v>0</v>
      </c>
      <c r="CF148" s="63">
        <v>0</v>
      </c>
      <c r="CG148" s="63">
        <v>0</v>
      </c>
      <c r="CH148" s="63">
        <v>0</v>
      </c>
      <c r="CI148" s="63">
        <v>0</v>
      </c>
      <c r="CJ148" s="63">
        <v>0</v>
      </c>
      <c r="CK148" s="63">
        <v>1</v>
      </c>
      <c r="CL148" s="63">
        <v>0</v>
      </c>
      <c r="CM148" s="63">
        <v>0</v>
      </c>
      <c r="CN148" s="63">
        <v>0</v>
      </c>
      <c r="CO148" s="63">
        <v>0</v>
      </c>
      <c r="CP148" s="63">
        <v>0</v>
      </c>
      <c r="CQ148" s="63">
        <v>0</v>
      </c>
      <c r="CR148" s="63">
        <v>0</v>
      </c>
      <c r="CS148" s="63">
        <v>0</v>
      </c>
      <c r="CT148" s="63">
        <v>0</v>
      </c>
      <c r="CU148" s="61"/>
    </row>
    <row r="149" spans="2:99" ht="12.75">
      <c r="B149" s="1">
        <v>50</v>
      </c>
      <c r="C149" s="63">
        <v>0</v>
      </c>
      <c r="D149" s="63">
        <v>0</v>
      </c>
      <c r="E149" s="63">
        <v>0</v>
      </c>
      <c r="F149" s="63">
        <v>0</v>
      </c>
      <c r="G149" s="63">
        <v>0</v>
      </c>
      <c r="H149" s="63">
        <v>0</v>
      </c>
      <c r="I149" s="63">
        <v>0</v>
      </c>
      <c r="J149" s="63">
        <v>1</v>
      </c>
      <c r="K149" s="63">
        <v>0</v>
      </c>
      <c r="L149" s="63">
        <v>0</v>
      </c>
      <c r="M149" s="63">
        <v>0</v>
      </c>
      <c r="N149" s="63">
        <v>0</v>
      </c>
      <c r="O149" s="63">
        <v>0</v>
      </c>
      <c r="P149" s="63">
        <v>0</v>
      </c>
      <c r="Q149" s="63">
        <v>0</v>
      </c>
      <c r="R149" s="63">
        <v>0</v>
      </c>
      <c r="S149" s="63">
        <v>0</v>
      </c>
      <c r="T149" s="63">
        <v>0</v>
      </c>
      <c r="U149" s="63">
        <v>0</v>
      </c>
      <c r="V149" s="63">
        <v>0</v>
      </c>
      <c r="W149" s="63">
        <v>0</v>
      </c>
      <c r="X149" s="63">
        <v>0</v>
      </c>
      <c r="Y149" s="63">
        <v>0</v>
      </c>
      <c r="Z149" s="63">
        <v>0</v>
      </c>
      <c r="AA149" s="63">
        <v>0</v>
      </c>
      <c r="AB149" s="63">
        <v>0</v>
      </c>
      <c r="AC149" s="63">
        <v>0</v>
      </c>
      <c r="AD149" s="63">
        <v>0</v>
      </c>
      <c r="AE149" s="63">
        <v>0</v>
      </c>
      <c r="AF149" s="63">
        <v>0</v>
      </c>
      <c r="AG149" s="63">
        <v>0</v>
      </c>
      <c r="AH149" s="63">
        <v>0</v>
      </c>
      <c r="AI149" s="63">
        <v>0</v>
      </c>
      <c r="AJ149" s="63">
        <v>0</v>
      </c>
      <c r="AK149" s="63">
        <v>0</v>
      </c>
      <c r="AL149" s="63">
        <v>0</v>
      </c>
      <c r="AM149" s="63">
        <v>0</v>
      </c>
      <c r="AN149" s="63">
        <v>0</v>
      </c>
      <c r="AO149" s="63">
        <v>0</v>
      </c>
      <c r="AP149" s="63">
        <v>0</v>
      </c>
      <c r="AQ149" s="63">
        <v>0</v>
      </c>
      <c r="AR149" s="63">
        <v>0</v>
      </c>
      <c r="AS149" s="63">
        <v>1</v>
      </c>
      <c r="AT149" s="63">
        <v>0</v>
      </c>
      <c r="AU149" s="63">
        <v>0</v>
      </c>
      <c r="AV149" s="63">
        <v>0</v>
      </c>
      <c r="AW149" s="63">
        <v>0</v>
      </c>
      <c r="AX149" s="63">
        <v>1</v>
      </c>
      <c r="AY149" s="63">
        <v>0</v>
      </c>
      <c r="AZ149" s="63">
        <v>1</v>
      </c>
      <c r="BA149" s="63">
        <v>0</v>
      </c>
      <c r="BB149" s="63">
        <v>0</v>
      </c>
      <c r="BC149" s="63">
        <v>1</v>
      </c>
      <c r="BD149" s="63">
        <v>0</v>
      </c>
      <c r="BE149" s="63">
        <v>0</v>
      </c>
      <c r="BF149" s="63">
        <v>0</v>
      </c>
      <c r="BG149" s="63">
        <v>0</v>
      </c>
      <c r="BH149" s="63">
        <v>1</v>
      </c>
      <c r="BI149" s="63">
        <v>0</v>
      </c>
      <c r="BJ149" s="63">
        <v>0</v>
      </c>
      <c r="BK149" s="63">
        <v>0</v>
      </c>
      <c r="BL149" s="63">
        <v>0</v>
      </c>
      <c r="BM149" s="63">
        <v>0</v>
      </c>
      <c r="BN149" s="63">
        <v>0</v>
      </c>
      <c r="BO149" s="63">
        <v>0</v>
      </c>
      <c r="BP149" s="63">
        <v>0</v>
      </c>
      <c r="BQ149" s="63">
        <v>0</v>
      </c>
      <c r="BR149" s="63">
        <v>0</v>
      </c>
      <c r="BS149" s="63">
        <v>0</v>
      </c>
      <c r="BT149" s="63">
        <v>0</v>
      </c>
      <c r="BU149" s="63">
        <v>0</v>
      </c>
      <c r="BV149" s="63">
        <v>0</v>
      </c>
      <c r="BW149" s="63">
        <v>0</v>
      </c>
      <c r="BX149" s="63">
        <v>0</v>
      </c>
      <c r="BY149" s="63">
        <v>0</v>
      </c>
      <c r="BZ149" s="63">
        <v>0</v>
      </c>
      <c r="CA149" s="63">
        <v>0</v>
      </c>
      <c r="CB149" s="63">
        <v>0</v>
      </c>
      <c r="CC149" s="63">
        <v>0</v>
      </c>
      <c r="CD149" s="63">
        <v>0</v>
      </c>
      <c r="CE149" s="63">
        <v>0</v>
      </c>
      <c r="CF149" s="63">
        <v>0</v>
      </c>
      <c r="CG149" s="63">
        <v>0</v>
      </c>
      <c r="CH149" s="63">
        <v>0</v>
      </c>
      <c r="CI149" s="63">
        <v>0</v>
      </c>
      <c r="CJ149" s="63">
        <v>0</v>
      </c>
      <c r="CK149" s="63">
        <v>1</v>
      </c>
      <c r="CL149" s="63">
        <v>0</v>
      </c>
      <c r="CM149" s="63">
        <v>0</v>
      </c>
      <c r="CN149" s="63">
        <v>0</v>
      </c>
      <c r="CO149" s="63">
        <v>0</v>
      </c>
      <c r="CP149" s="63">
        <v>0</v>
      </c>
      <c r="CQ149" s="63">
        <v>0</v>
      </c>
      <c r="CR149" s="63">
        <v>0</v>
      </c>
      <c r="CS149" s="63">
        <v>1</v>
      </c>
      <c r="CT149" s="63">
        <v>0</v>
      </c>
      <c r="CU149" s="61"/>
    </row>
    <row r="150" spans="2:99" ht="12.75">
      <c r="B150" s="1">
        <v>51</v>
      </c>
      <c r="C150" s="63">
        <v>0</v>
      </c>
      <c r="D150" s="63">
        <v>0</v>
      </c>
      <c r="E150" s="63">
        <v>0</v>
      </c>
      <c r="F150" s="63">
        <v>0</v>
      </c>
      <c r="G150" s="63">
        <v>0</v>
      </c>
      <c r="H150" s="63">
        <v>0</v>
      </c>
      <c r="I150" s="63">
        <v>0</v>
      </c>
      <c r="J150" s="63">
        <v>0</v>
      </c>
      <c r="K150" s="63">
        <v>0</v>
      </c>
      <c r="L150" s="63">
        <v>0</v>
      </c>
      <c r="M150" s="63">
        <v>0</v>
      </c>
      <c r="N150" s="63">
        <v>0</v>
      </c>
      <c r="O150" s="63">
        <v>0</v>
      </c>
      <c r="P150" s="63">
        <v>0</v>
      </c>
      <c r="Q150" s="63">
        <v>0</v>
      </c>
      <c r="R150" s="63">
        <v>0</v>
      </c>
      <c r="S150" s="63">
        <v>0</v>
      </c>
      <c r="T150" s="63">
        <v>0</v>
      </c>
      <c r="U150" s="63">
        <v>0</v>
      </c>
      <c r="V150" s="63">
        <v>0</v>
      </c>
      <c r="W150" s="63">
        <v>0</v>
      </c>
      <c r="X150" s="63">
        <v>0</v>
      </c>
      <c r="Y150" s="63">
        <v>0</v>
      </c>
      <c r="Z150" s="63">
        <v>0</v>
      </c>
      <c r="AA150" s="63">
        <v>0</v>
      </c>
      <c r="AB150" s="63">
        <v>0</v>
      </c>
      <c r="AC150" s="63">
        <v>0</v>
      </c>
      <c r="AD150" s="63">
        <v>0</v>
      </c>
      <c r="AE150" s="63">
        <v>0</v>
      </c>
      <c r="AF150" s="63">
        <v>0</v>
      </c>
      <c r="AG150" s="63">
        <v>0</v>
      </c>
      <c r="AH150" s="63">
        <v>0</v>
      </c>
      <c r="AI150" s="63">
        <v>0</v>
      </c>
      <c r="AJ150" s="63">
        <v>0</v>
      </c>
      <c r="AK150" s="63">
        <v>0</v>
      </c>
      <c r="AL150" s="63">
        <v>0</v>
      </c>
      <c r="AM150" s="63">
        <v>0</v>
      </c>
      <c r="AN150" s="63">
        <v>0</v>
      </c>
      <c r="AO150" s="63">
        <v>0</v>
      </c>
      <c r="AP150" s="63">
        <v>1</v>
      </c>
      <c r="AQ150" s="63">
        <v>0</v>
      </c>
      <c r="AR150" s="63">
        <v>0</v>
      </c>
      <c r="AS150" s="63">
        <v>0</v>
      </c>
      <c r="AT150" s="63">
        <v>0</v>
      </c>
      <c r="AU150" s="63">
        <v>0</v>
      </c>
      <c r="AV150" s="63">
        <v>0</v>
      </c>
      <c r="AW150" s="63">
        <v>0</v>
      </c>
      <c r="AX150" s="63">
        <v>0</v>
      </c>
      <c r="AY150" s="63">
        <v>0</v>
      </c>
      <c r="AZ150" s="63">
        <v>0</v>
      </c>
      <c r="BA150" s="63">
        <v>1</v>
      </c>
      <c r="BB150" s="63">
        <v>0</v>
      </c>
      <c r="BC150" s="63">
        <v>0</v>
      </c>
      <c r="BD150" s="63">
        <v>0</v>
      </c>
      <c r="BE150" s="63">
        <v>0</v>
      </c>
      <c r="BF150" s="63">
        <v>1</v>
      </c>
      <c r="BG150" s="63">
        <v>0</v>
      </c>
      <c r="BH150" s="63">
        <v>0</v>
      </c>
      <c r="BI150" s="63">
        <v>1</v>
      </c>
      <c r="BJ150" s="63">
        <v>0</v>
      </c>
      <c r="BK150" s="63">
        <v>0</v>
      </c>
      <c r="BL150" s="63">
        <v>0</v>
      </c>
      <c r="BM150" s="63">
        <v>0</v>
      </c>
      <c r="BN150" s="63">
        <v>0</v>
      </c>
      <c r="BO150" s="63">
        <v>0</v>
      </c>
      <c r="BP150" s="63">
        <v>0</v>
      </c>
      <c r="BQ150" s="63">
        <v>0</v>
      </c>
      <c r="BR150" s="63">
        <v>0</v>
      </c>
      <c r="BS150" s="63">
        <v>0</v>
      </c>
      <c r="BT150" s="63">
        <v>0</v>
      </c>
      <c r="BU150" s="63">
        <v>0</v>
      </c>
      <c r="BV150" s="63">
        <v>0</v>
      </c>
      <c r="BW150" s="63">
        <v>0</v>
      </c>
      <c r="BX150" s="63">
        <v>0</v>
      </c>
      <c r="BY150" s="63">
        <v>1</v>
      </c>
      <c r="BZ150" s="63">
        <v>0</v>
      </c>
      <c r="CA150" s="63">
        <v>0</v>
      </c>
      <c r="CB150" s="63">
        <v>0</v>
      </c>
      <c r="CC150" s="63">
        <v>0</v>
      </c>
      <c r="CD150" s="63">
        <v>0</v>
      </c>
      <c r="CE150" s="63">
        <v>0</v>
      </c>
      <c r="CF150" s="63">
        <v>0</v>
      </c>
      <c r="CG150" s="63">
        <v>0</v>
      </c>
      <c r="CH150" s="63">
        <v>0</v>
      </c>
      <c r="CI150" s="63">
        <v>0</v>
      </c>
      <c r="CJ150" s="63">
        <v>0</v>
      </c>
      <c r="CK150" s="63">
        <v>0</v>
      </c>
      <c r="CL150" s="63">
        <v>1</v>
      </c>
      <c r="CM150" s="63">
        <v>0</v>
      </c>
      <c r="CN150" s="63">
        <v>0</v>
      </c>
      <c r="CO150" s="63">
        <v>0</v>
      </c>
      <c r="CP150" s="63">
        <v>0</v>
      </c>
      <c r="CQ150" s="63">
        <v>1</v>
      </c>
      <c r="CR150" s="63">
        <v>0</v>
      </c>
      <c r="CS150" s="63">
        <v>0</v>
      </c>
      <c r="CT150" s="63">
        <v>0</v>
      </c>
      <c r="CU150" s="61"/>
    </row>
    <row r="151" spans="2:99" ht="12.75">
      <c r="B151" s="1">
        <v>52</v>
      </c>
      <c r="C151" s="63">
        <v>0</v>
      </c>
      <c r="D151" s="63">
        <v>0</v>
      </c>
      <c r="E151" s="63">
        <v>0</v>
      </c>
      <c r="F151" s="63">
        <v>0</v>
      </c>
      <c r="G151" s="63">
        <v>0</v>
      </c>
      <c r="H151" s="63">
        <v>0</v>
      </c>
      <c r="I151" s="63">
        <v>0</v>
      </c>
      <c r="J151" s="63">
        <v>0</v>
      </c>
      <c r="K151" s="63">
        <v>0</v>
      </c>
      <c r="L151" s="63">
        <v>0</v>
      </c>
      <c r="M151" s="63">
        <v>0</v>
      </c>
      <c r="N151" s="63">
        <v>0</v>
      </c>
      <c r="O151" s="63">
        <v>0</v>
      </c>
      <c r="P151" s="63">
        <v>0</v>
      </c>
      <c r="Q151" s="63">
        <v>0</v>
      </c>
      <c r="R151" s="63">
        <v>0</v>
      </c>
      <c r="S151" s="63">
        <v>0</v>
      </c>
      <c r="T151" s="63">
        <v>0</v>
      </c>
      <c r="U151" s="63">
        <v>0</v>
      </c>
      <c r="V151" s="63">
        <v>0</v>
      </c>
      <c r="W151" s="63">
        <v>0</v>
      </c>
      <c r="X151" s="63">
        <v>0</v>
      </c>
      <c r="Y151" s="63">
        <v>0</v>
      </c>
      <c r="Z151" s="63">
        <v>0</v>
      </c>
      <c r="AA151" s="63">
        <v>0</v>
      </c>
      <c r="AB151" s="63">
        <v>0</v>
      </c>
      <c r="AC151" s="63">
        <v>0</v>
      </c>
      <c r="AD151" s="63">
        <v>0</v>
      </c>
      <c r="AE151" s="63">
        <v>0</v>
      </c>
      <c r="AF151" s="63">
        <v>0</v>
      </c>
      <c r="AG151" s="63">
        <v>0</v>
      </c>
      <c r="AH151" s="63">
        <v>1</v>
      </c>
      <c r="AI151" s="63">
        <v>0</v>
      </c>
      <c r="AJ151" s="63">
        <v>0</v>
      </c>
      <c r="AK151" s="63">
        <v>0</v>
      </c>
      <c r="AL151" s="63">
        <v>0</v>
      </c>
      <c r="AM151" s="63">
        <v>0</v>
      </c>
      <c r="AN151" s="63">
        <v>0</v>
      </c>
      <c r="AO151" s="63">
        <v>0</v>
      </c>
      <c r="AP151" s="63">
        <v>0</v>
      </c>
      <c r="AQ151" s="63">
        <v>0</v>
      </c>
      <c r="AR151" s="63">
        <v>0</v>
      </c>
      <c r="AS151" s="63">
        <v>0</v>
      </c>
      <c r="AT151" s="63">
        <v>0</v>
      </c>
      <c r="AU151" s="63">
        <v>0</v>
      </c>
      <c r="AV151" s="63">
        <v>0</v>
      </c>
      <c r="AW151" s="63">
        <v>0</v>
      </c>
      <c r="AX151" s="63">
        <v>0</v>
      </c>
      <c r="AY151" s="63">
        <v>0</v>
      </c>
      <c r="AZ151" s="63">
        <v>0</v>
      </c>
      <c r="BA151" s="63">
        <v>0</v>
      </c>
      <c r="BB151" s="63">
        <v>1</v>
      </c>
      <c r="BC151" s="63">
        <v>0</v>
      </c>
      <c r="BD151" s="63">
        <v>0</v>
      </c>
      <c r="BE151" s="63">
        <v>0</v>
      </c>
      <c r="BF151" s="63">
        <v>0</v>
      </c>
      <c r="BG151" s="63">
        <v>0</v>
      </c>
      <c r="BH151" s="63">
        <v>0</v>
      </c>
      <c r="BI151" s="63">
        <v>0</v>
      </c>
      <c r="BJ151" s="63">
        <v>0</v>
      </c>
      <c r="BK151" s="63">
        <v>0</v>
      </c>
      <c r="BL151" s="63">
        <v>1</v>
      </c>
      <c r="BM151" s="63">
        <v>0</v>
      </c>
      <c r="BN151" s="63">
        <v>0</v>
      </c>
      <c r="BO151" s="63">
        <v>0</v>
      </c>
      <c r="BP151" s="63">
        <v>0</v>
      </c>
      <c r="BQ151" s="63">
        <v>0</v>
      </c>
      <c r="BR151" s="63">
        <v>0</v>
      </c>
      <c r="BS151" s="63">
        <v>0</v>
      </c>
      <c r="BT151" s="63">
        <v>0</v>
      </c>
      <c r="BU151" s="63">
        <v>0</v>
      </c>
      <c r="BV151" s="63">
        <v>0</v>
      </c>
      <c r="BW151" s="63">
        <v>0</v>
      </c>
      <c r="BX151" s="63">
        <v>0</v>
      </c>
      <c r="BY151" s="63">
        <v>0</v>
      </c>
      <c r="BZ151" s="63">
        <v>0</v>
      </c>
      <c r="CA151" s="63">
        <v>0</v>
      </c>
      <c r="CB151" s="63">
        <v>1</v>
      </c>
      <c r="CC151" s="63">
        <v>0</v>
      </c>
      <c r="CD151" s="63">
        <v>0</v>
      </c>
      <c r="CE151" s="63">
        <v>0</v>
      </c>
      <c r="CF151" s="63">
        <v>0</v>
      </c>
      <c r="CG151" s="63">
        <v>0</v>
      </c>
      <c r="CH151" s="63">
        <v>1</v>
      </c>
      <c r="CI151" s="63">
        <v>0</v>
      </c>
      <c r="CJ151" s="63">
        <v>0</v>
      </c>
      <c r="CK151" s="63">
        <v>0</v>
      </c>
      <c r="CL151" s="63">
        <v>0</v>
      </c>
      <c r="CM151" s="63">
        <v>0</v>
      </c>
      <c r="CN151" s="63">
        <v>0</v>
      </c>
      <c r="CO151" s="63">
        <v>0</v>
      </c>
      <c r="CP151" s="63">
        <v>0</v>
      </c>
      <c r="CQ151" s="63">
        <v>0</v>
      </c>
      <c r="CR151" s="63">
        <v>0</v>
      </c>
      <c r="CS151" s="63">
        <v>0</v>
      </c>
      <c r="CT151" s="63">
        <v>0</v>
      </c>
      <c r="CU151" s="61"/>
    </row>
    <row r="152" spans="2:99" ht="12.75">
      <c r="B152" s="1">
        <v>53</v>
      </c>
      <c r="C152" s="63">
        <v>0</v>
      </c>
      <c r="D152" s="63">
        <v>0</v>
      </c>
      <c r="E152" s="63">
        <v>0</v>
      </c>
      <c r="F152" s="63">
        <v>0</v>
      </c>
      <c r="G152" s="63">
        <v>0</v>
      </c>
      <c r="H152" s="63">
        <v>0</v>
      </c>
      <c r="I152" s="63">
        <v>0</v>
      </c>
      <c r="J152" s="63">
        <v>1</v>
      </c>
      <c r="K152" s="63">
        <v>0</v>
      </c>
      <c r="L152" s="63">
        <v>0</v>
      </c>
      <c r="M152" s="63">
        <v>0</v>
      </c>
      <c r="N152" s="63">
        <v>0</v>
      </c>
      <c r="O152" s="63">
        <v>0</v>
      </c>
      <c r="P152" s="63">
        <v>0</v>
      </c>
      <c r="Q152" s="63">
        <v>0</v>
      </c>
      <c r="R152" s="63">
        <v>0</v>
      </c>
      <c r="S152" s="63">
        <v>0</v>
      </c>
      <c r="T152" s="63">
        <v>0</v>
      </c>
      <c r="U152" s="63">
        <v>0</v>
      </c>
      <c r="V152" s="63">
        <v>0</v>
      </c>
      <c r="W152" s="63">
        <v>0</v>
      </c>
      <c r="X152" s="63">
        <v>0</v>
      </c>
      <c r="Y152" s="63">
        <v>0</v>
      </c>
      <c r="Z152" s="63">
        <v>0</v>
      </c>
      <c r="AA152" s="63">
        <v>0</v>
      </c>
      <c r="AB152" s="63">
        <v>0</v>
      </c>
      <c r="AC152" s="63">
        <v>0</v>
      </c>
      <c r="AD152" s="63">
        <v>0</v>
      </c>
      <c r="AE152" s="63">
        <v>0</v>
      </c>
      <c r="AF152" s="63">
        <v>0</v>
      </c>
      <c r="AG152" s="63">
        <v>0</v>
      </c>
      <c r="AH152" s="63">
        <v>0</v>
      </c>
      <c r="AI152" s="63">
        <v>0</v>
      </c>
      <c r="AJ152" s="63">
        <v>0</v>
      </c>
      <c r="AK152" s="63">
        <v>0</v>
      </c>
      <c r="AL152" s="63">
        <v>0</v>
      </c>
      <c r="AM152" s="63">
        <v>0</v>
      </c>
      <c r="AN152" s="63">
        <v>0</v>
      </c>
      <c r="AO152" s="63">
        <v>0</v>
      </c>
      <c r="AP152" s="63">
        <v>0</v>
      </c>
      <c r="AQ152" s="63">
        <v>0</v>
      </c>
      <c r="AR152" s="63">
        <v>0</v>
      </c>
      <c r="AS152" s="63">
        <v>0</v>
      </c>
      <c r="AT152" s="63">
        <v>0</v>
      </c>
      <c r="AU152" s="63">
        <v>0</v>
      </c>
      <c r="AV152" s="63">
        <v>0</v>
      </c>
      <c r="AW152" s="63">
        <v>0</v>
      </c>
      <c r="AX152" s="63">
        <v>0</v>
      </c>
      <c r="AY152" s="63">
        <v>1</v>
      </c>
      <c r="AZ152" s="63">
        <v>1</v>
      </c>
      <c r="BA152" s="63">
        <v>0</v>
      </c>
      <c r="BB152" s="63">
        <v>0</v>
      </c>
      <c r="BC152" s="63">
        <v>1</v>
      </c>
      <c r="BD152" s="63">
        <v>0</v>
      </c>
      <c r="BE152" s="63">
        <v>0</v>
      </c>
      <c r="BF152" s="63">
        <v>0</v>
      </c>
      <c r="BG152" s="63">
        <v>0</v>
      </c>
      <c r="BH152" s="63">
        <v>1</v>
      </c>
      <c r="BI152" s="63">
        <v>0</v>
      </c>
      <c r="BJ152" s="63">
        <v>0</v>
      </c>
      <c r="BK152" s="63">
        <v>0</v>
      </c>
      <c r="BL152" s="63">
        <v>0</v>
      </c>
      <c r="BM152" s="63">
        <v>1</v>
      </c>
      <c r="BN152" s="63">
        <v>0</v>
      </c>
      <c r="BO152" s="63">
        <v>0</v>
      </c>
      <c r="BP152" s="63">
        <v>0</v>
      </c>
      <c r="BQ152" s="63">
        <v>0</v>
      </c>
      <c r="BR152" s="63">
        <v>0</v>
      </c>
      <c r="BS152" s="63">
        <v>0</v>
      </c>
      <c r="BT152" s="63">
        <v>0</v>
      </c>
      <c r="BU152" s="63">
        <v>0</v>
      </c>
      <c r="BV152" s="63">
        <v>0</v>
      </c>
      <c r="BW152" s="63">
        <v>0</v>
      </c>
      <c r="BX152" s="63">
        <v>0</v>
      </c>
      <c r="BY152" s="63">
        <v>0</v>
      </c>
      <c r="BZ152" s="63">
        <v>0</v>
      </c>
      <c r="CA152" s="63">
        <v>0</v>
      </c>
      <c r="CB152" s="63">
        <v>0</v>
      </c>
      <c r="CC152" s="63">
        <v>0</v>
      </c>
      <c r="CD152" s="63">
        <v>0</v>
      </c>
      <c r="CE152" s="63">
        <v>0</v>
      </c>
      <c r="CF152" s="63">
        <v>0</v>
      </c>
      <c r="CG152" s="63">
        <v>0</v>
      </c>
      <c r="CH152" s="63">
        <v>0</v>
      </c>
      <c r="CI152" s="63">
        <v>0</v>
      </c>
      <c r="CJ152" s="63">
        <v>0</v>
      </c>
      <c r="CK152" s="63">
        <v>1</v>
      </c>
      <c r="CL152" s="63">
        <v>0</v>
      </c>
      <c r="CM152" s="63">
        <v>0</v>
      </c>
      <c r="CN152" s="63">
        <v>0</v>
      </c>
      <c r="CO152" s="63">
        <v>0</v>
      </c>
      <c r="CP152" s="63">
        <v>0</v>
      </c>
      <c r="CQ152" s="63">
        <v>0</v>
      </c>
      <c r="CR152" s="63">
        <v>0</v>
      </c>
      <c r="CS152" s="63">
        <v>0</v>
      </c>
      <c r="CT152" s="63">
        <v>0</v>
      </c>
      <c r="CU152" s="61"/>
    </row>
    <row r="153" spans="2:99" ht="12.75">
      <c r="B153" s="1">
        <v>54</v>
      </c>
      <c r="C153" s="63">
        <v>0</v>
      </c>
      <c r="D153" s="63">
        <v>0</v>
      </c>
      <c r="E153" s="63">
        <v>0</v>
      </c>
      <c r="F153" s="63">
        <v>0</v>
      </c>
      <c r="G153" s="63">
        <v>0</v>
      </c>
      <c r="H153" s="63">
        <v>0</v>
      </c>
      <c r="I153" s="63">
        <v>0</v>
      </c>
      <c r="J153" s="63">
        <v>0</v>
      </c>
      <c r="K153" s="63">
        <v>0</v>
      </c>
      <c r="L153" s="63">
        <v>0</v>
      </c>
      <c r="M153" s="63">
        <v>0</v>
      </c>
      <c r="N153" s="63">
        <v>0</v>
      </c>
      <c r="O153" s="63">
        <v>0</v>
      </c>
      <c r="P153" s="63">
        <v>0</v>
      </c>
      <c r="Q153" s="63">
        <v>0</v>
      </c>
      <c r="R153" s="63">
        <v>0</v>
      </c>
      <c r="S153" s="63">
        <v>0</v>
      </c>
      <c r="T153" s="63">
        <v>0</v>
      </c>
      <c r="U153" s="63">
        <v>0</v>
      </c>
      <c r="V153" s="63">
        <v>0</v>
      </c>
      <c r="W153" s="63">
        <v>0</v>
      </c>
      <c r="X153" s="63">
        <v>1</v>
      </c>
      <c r="Y153" s="63">
        <v>0</v>
      </c>
      <c r="Z153" s="63">
        <v>0</v>
      </c>
      <c r="AA153" s="63">
        <v>0</v>
      </c>
      <c r="AB153" s="63">
        <v>0</v>
      </c>
      <c r="AC153" s="63">
        <v>0</v>
      </c>
      <c r="AD153" s="63">
        <v>0</v>
      </c>
      <c r="AE153" s="63">
        <v>0</v>
      </c>
      <c r="AF153" s="63">
        <v>0</v>
      </c>
      <c r="AG153" s="63">
        <v>0</v>
      </c>
      <c r="AH153" s="63">
        <v>0</v>
      </c>
      <c r="AI153" s="63">
        <v>0</v>
      </c>
      <c r="AJ153" s="63">
        <v>0</v>
      </c>
      <c r="AK153" s="63">
        <v>0</v>
      </c>
      <c r="AL153" s="63">
        <v>0</v>
      </c>
      <c r="AM153" s="63">
        <v>0</v>
      </c>
      <c r="AN153" s="63">
        <v>0</v>
      </c>
      <c r="AO153" s="63">
        <v>0</v>
      </c>
      <c r="AP153" s="63">
        <v>0</v>
      </c>
      <c r="AQ153" s="63">
        <v>0</v>
      </c>
      <c r="AR153" s="63">
        <v>0</v>
      </c>
      <c r="AS153" s="63">
        <v>0</v>
      </c>
      <c r="AT153" s="63">
        <v>0</v>
      </c>
      <c r="AU153" s="63">
        <v>0</v>
      </c>
      <c r="AV153" s="63">
        <v>0</v>
      </c>
      <c r="AW153" s="63">
        <v>0</v>
      </c>
      <c r="AX153" s="63">
        <v>0</v>
      </c>
      <c r="AY153" s="63">
        <v>0</v>
      </c>
      <c r="AZ153" s="63">
        <v>0</v>
      </c>
      <c r="BA153" s="63">
        <v>0</v>
      </c>
      <c r="BB153" s="63">
        <v>0</v>
      </c>
      <c r="BC153" s="63">
        <v>0</v>
      </c>
      <c r="BD153" s="63">
        <v>1</v>
      </c>
      <c r="BE153" s="63">
        <v>0</v>
      </c>
      <c r="BF153" s="63">
        <v>0</v>
      </c>
      <c r="BG153" s="63">
        <v>0</v>
      </c>
      <c r="BH153" s="63">
        <v>0</v>
      </c>
      <c r="BI153" s="63">
        <v>0</v>
      </c>
      <c r="BJ153" s="63">
        <v>0</v>
      </c>
      <c r="BK153" s="63">
        <v>0</v>
      </c>
      <c r="BL153" s="63">
        <v>0</v>
      </c>
      <c r="BM153" s="63">
        <v>1</v>
      </c>
      <c r="BN153" s="63">
        <v>0</v>
      </c>
      <c r="BO153" s="63">
        <v>0</v>
      </c>
      <c r="BP153" s="63">
        <v>0</v>
      </c>
      <c r="BQ153" s="63">
        <v>0</v>
      </c>
      <c r="BR153" s="63">
        <v>0</v>
      </c>
      <c r="BS153" s="63">
        <v>0</v>
      </c>
      <c r="BT153" s="63">
        <v>0</v>
      </c>
      <c r="BU153" s="63">
        <v>0</v>
      </c>
      <c r="BV153" s="63">
        <v>0</v>
      </c>
      <c r="BW153" s="63">
        <v>0</v>
      </c>
      <c r="BX153" s="63">
        <v>0</v>
      </c>
      <c r="BY153" s="63">
        <v>1</v>
      </c>
      <c r="BZ153" s="63">
        <v>0</v>
      </c>
      <c r="CA153" s="63">
        <v>0</v>
      </c>
      <c r="CB153" s="63">
        <v>0</v>
      </c>
      <c r="CC153" s="63">
        <v>0</v>
      </c>
      <c r="CD153" s="63">
        <v>0</v>
      </c>
      <c r="CE153" s="63">
        <v>0</v>
      </c>
      <c r="CF153" s="63">
        <v>0</v>
      </c>
      <c r="CG153" s="63">
        <v>0</v>
      </c>
      <c r="CH153" s="63">
        <v>0</v>
      </c>
      <c r="CI153" s="63">
        <v>0</v>
      </c>
      <c r="CJ153" s="63">
        <v>0</v>
      </c>
      <c r="CK153" s="63">
        <v>0</v>
      </c>
      <c r="CL153" s="63">
        <v>0</v>
      </c>
      <c r="CM153" s="63">
        <v>1</v>
      </c>
      <c r="CN153" s="63">
        <v>0</v>
      </c>
      <c r="CO153" s="63">
        <v>1</v>
      </c>
      <c r="CP153" s="63">
        <v>0</v>
      </c>
      <c r="CQ153" s="63">
        <v>0</v>
      </c>
      <c r="CR153" s="63">
        <v>0</v>
      </c>
      <c r="CS153" s="63">
        <v>0</v>
      </c>
      <c r="CT153" s="63">
        <v>0</v>
      </c>
      <c r="CU153" s="61"/>
    </row>
    <row r="154" spans="2:99" ht="12.75">
      <c r="B154" s="1">
        <v>55</v>
      </c>
      <c r="C154" s="63">
        <v>0</v>
      </c>
      <c r="D154" s="63">
        <v>0</v>
      </c>
      <c r="E154" s="63">
        <v>0</v>
      </c>
      <c r="F154" s="63">
        <v>0</v>
      </c>
      <c r="G154" s="63">
        <v>0</v>
      </c>
      <c r="H154" s="63">
        <v>0</v>
      </c>
      <c r="I154" s="63">
        <v>0</v>
      </c>
      <c r="J154" s="63">
        <v>0</v>
      </c>
      <c r="K154" s="63">
        <v>1</v>
      </c>
      <c r="L154" s="63">
        <v>1</v>
      </c>
      <c r="M154" s="63">
        <v>0</v>
      </c>
      <c r="N154" s="63">
        <v>0</v>
      </c>
      <c r="O154" s="63">
        <v>0</v>
      </c>
      <c r="P154" s="63">
        <v>0</v>
      </c>
      <c r="Q154" s="63">
        <v>0</v>
      </c>
      <c r="R154" s="63">
        <v>0</v>
      </c>
      <c r="S154" s="63">
        <v>0</v>
      </c>
      <c r="T154" s="63">
        <v>0</v>
      </c>
      <c r="U154" s="63">
        <v>0</v>
      </c>
      <c r="V154" s="63">
        <v>0</v>
      </c>
      <c r="W154" s="63">
        <v>0</v>
      </c>
      <c r="X154" s="63">
        <v>0</v>
      </c>
      <c r="Y154" s="63">
        <v>0</v>
      </c>
      <c r="Z154" s="63">
        <v>0</v>
      </c>
      <c r="AA154" s="63">
        <v>0</v>
      </c>
      <c r="AB154" s="63">
        <v>0</v>
      </c>
      <c r="AC154" s="63">
        <v>0</v>
      </c>
      <c r="AD154" s="63">
        <v>0</v>
      </c>
      <c r="AE154" s="63">
        <v>0</v>
      </c>
      <c r="AF154" s="63">
        <v>0</v>
      </c>
      <c r="AG154" s="63">
        <v>0</v>
      </c>
      <c r="AH154" s="63">
        <v>0</v>
      </c>
      <c r="AI154" s="63">
        <v>0</v>
      </c>
      <c r="AJ154" s="63">
        <v>0</v>
      </c>
      <c r="AK154" s="63">
        <v>0</v>
      </c>
      <c r="AL154" s="63">
        <v>0</v>
      </c>
      <c r="AM154" s="63">
        <v>0</v>
      </c>
      <c r="AN154" s="63">
        <v>0</v>
      </c>
      <c r="AO154" s="63">
        <v>0</v>
      </c>
      <c r="AP154" s="63">
        <v>0</v>
      </c>
      <c r="AQ154" s="63">
        <v>0</v>
      </c>
      <c r="AR154" s="63">
        <v>0</v>
      </c>
      <c r="AS154" s="63">
        <v>0</v>
      </c>
      <c r="AT154" s="63">
        <v>0</v>
      </c>
      <c r="AU154" s="63">
        <v>0</v>
      </c>
      <c r="AV154" s="63">
        <v>1</v>
      </c>
      <c r="AW154" s="63">
        <v>0</v>
      </c>
      <c r="AX154" s="63">
        <v>0</v>
      </c>
      <c r="AY154" s="63">
        <v>0</v>
      </c>
      <c r="AZ154" s="63">
        <v>0</v>
      </c>
      <c r="BA154" s="63">
        <v>0</v>
      </c>
      <c r="BB154" s="63">
        <v>0</v>
      </c>
      <c r="BC154" s="63">
        <v>0</v>
      </c>
      <c r="BD154" s="63">
        <v>0</v>
      </c>
      <c r="BE154" s="63">
        <v>1</v>
      </c>
      <c r="BF154" s="63">
        <v>0</v>
      </c>
      <c r="BG154" s="63">
        <v>0</v>
      </c>
      <c r="BH154" s="63">
        <v>0</v>
      </c>
      <c r="BI154" s="63">
        <v>0</v>
      </c>
      <c r="BJ154" s="63">
        <v>0</v>
      </c>
      <c r="BK154" s="63">
        <v>0</v>
      </c>
      <c r="BL154" s="63">
        <v>0</v>
      </c>
      <c r="BM154" s="63">
        <v>0</v>
      </c>
      <c r="BN154" s="63">
        <v>0</v>
      </c>
      <c r="BO154" s="63">
        <v>0</v>
      </c>
      <c r="BP154" s="63">
        <v>0</v>
      </c>
      <c r="BQ154" s="63">
        <v>0</v>
      </c>
      <c r="BR154" s="63">
        <v>0</v>
      </c>
      <c r="BS154" s="63">
        <v>0</v>
      </c>
      <c r="BT154" s="63">
        <v>0</v>
      </c>
      <c r="BU154" s="63">
        <v>1</v>
      </c>
      <c r="BV154" s="63">
        <v>0</v>
      </c>
      <c r="BW154" s="63">
        <v>0</v>
      </c>
      <c r="BX154" s="63">
        <v>0</v>
      </c>
      <c r="BY154" s="63">
        <v>0</v>
      </c>
      <c r="BZ154" s="63">
        <v>0</v>
      </c>
      <c r="CA154" s="63">
        <v>0</v>
      </c>
      <c r="CB154" s="63">
        <v>0</v>
      </c>
      <c r="CC154" s="63">
        <v>0</v>
      </c>
      <c r="CD154" s="63">
        <v>0</v>
      </c>
      <c r="CE154" s="63">
        <v>1</v>
      </c>
      <c r="CF154" s="63">
        <v>0</v>
      </c>
      <c r="CG154" s="63">
        <v>0</v>
      </c>
      <c r="CH154" s="63">
        <v>0</v>
      </c>
      <c r="CI154" s="63">
        <v>0</v>
      </c>
      <c r="CJ154" s="63">
        <v>0</v>
      </c>
      <c r="CK154" s="63">
        <v>0</v>
      </c>
      <c r="CL154" s="63">
        <v>0</v>
      </c>
      <c r="CM154" s="63">
        <v>0</v>
      </c>
      <c r="CN154" s="63">
        <v>1</v>
      </c>
      <c r="CO154" s="63">
        <v>0</v>
      </c>
      <c r="CP154" s="63">
        <v>0</v>
      </c>
      <c r="CQ154" s="63">
        <v>0</v>
      </c>
      <c r="CR154" s="63">
        <v>0</v>
      </c>
      <c r="CS154" s="63">
        <v>0</v>
      </c>
      <c r="CT154" s="63">
        <v>0</v>
      </c>
      <c r="CU154" s="61"/>
    </row>
    <row r="155" spans="2:99" ht="12.75">
      <c r="B155" s="1">
        <v>56</v>
      </c>
      <c r="C155" s="63">
        <v>0</v>
      </c>
      <c r="D155" s="63">
        <v>0</v>
      </c>
      <c r="E155" s="63">
        <v>0</v>
      </c>
      <c r="F155" s="63">
        <v>0</v>
      </c>
      <c r="G155" s="63">
        <v>0</v>
      </c>
      <c r="H155" s="63">
        <v>0</v>
      </c>
      <c r="I155" s="63">
        <v>0</v>
      </c>
      <c r="J155" s="63">
        <v>0</v>
      </c>
      <c r="K155" s="63">
        <v>0</v>
      </c>
      <c r="L155" s="63">
        <v>0</v>
      </c>
      <c r="M155" s="63">
        <v>0</v>
      </c>
      <c r="N155" s="63">
        <v>0</v>
      </c>
      <c r="O155" s="63">
        <v>0</v>
      </c>
      <c r="P155" s="63">
        <v>0</v>
      </c>
      <c r="Q155" s="63">
        <v>0</v>
      </c>
      <c r="R155" s="63">
        <v>0</v>
      </c>
      <c r="S155" s="63">
        <v>0</v>
      </c>
      <c r="T155" s="63">
        <v>0</v>
      </c>
      <c r="U155" s="63">
        <v>0</v>
      </c>
      <c r="V155" s="63">
        <v>1</v>
      </c>
      <c r="W155" s="63">
        <v>0</v>
      </c>
      <c r="X155" s="63">
        <v>0</v>
      </c>
      <c r="Y155" s="63">
        <v>0</v>
      </c>
      <c r="Z155" s="63">
        <v>0</v>
      </c>
      <c r="AA155" s="63">
        <v>0</v>
      </c>
      <c r="AB155" s="63">
        <v>0</v>
      </c>
      <c r="AC155" s="63">
        <v>0</v>
      </c>
      <c r="AD155" s="63">
        <v>0</v>
      </c>
      <c r="AE155" s="63">
        <v>0</v>
      </c>
      <c r="AF155" s="63">
        <v>0</v>
      </c>
      <c r="AG155" s="63">
        <v>0</v>
      </c>
      <c r="AH155" s="63">
        <v>0</v>
      </c>
      <c r="AI155" s="63">
        <v>0</v>
      </c>
      <c r="AJ155" s="63">
        <v>0</v>
      </c>
      <c r="AK155" s="63">
        <v>0</v>
      </c>
      <c r="AL155" s="63">
        <v>0</v>
      </c>
      <c r="AM155" s="63">
        <v>0</v>
      </c>
      <c r="AN155" s="63">
        <v>0</v>
      </c>
      <c r="AO155" s="63">
        <v>0</v>
      </c>
      <c r="AP155" s="63">
        <v>1</v>
      </c>
      <c r="AQ155" s="63">
        <v>0</v>
      </c>
      <c r="AR155" s="63">
        <v>0</v>
      </c>
      <c r="AS155" s="63">
        <v>0</v>
      </c>
      <c r="AT155" s="63">
        <v>0</v>
      </c>
      <c r="AU155" s="63">
        <v>0</v>
      </c>
      <c r="AV155" s="63">
        <v>0</v>
      </c>
      <c r="AW155" s="63">
        <v>0</v>
      </c>
      <c r="AX155" s="63">
        <v>0</v>
      </c>
      <c r="AY155" s="63">
        <v>0</v>
      </c>
      <c r="AZ155" s="63">
        <v>0</v>
      </c>
      <c r="BA155" s="63">
        <v>1</v>
      </c>
      <c r="BB155" s="63">
        <v>0</v>
      </c>
      <c r="BC155" s="63">
        <v>0</v>
      </c>
      <c r="BD155" s="63">
        <v>0</v>
      </c>
      <c r="BE155" s="63">
        <v>0</v>
      </c>
      <c r="BF155" s="63">
        <v>1</v>
      </c>
      <c r="BG155" s="63">
        <v>0</v>
      </c>
      <c r="BH155" s="63">
        <v>0</v>
      </c>
      <c r="BI155" s="63">
        <v>0</v>
      </c>
      <c r="BJ155" s="63">
        <v>0</v>
      </c>
      <c r="BK155" s="63">
        <v>0</v>
      </c>
      <c r="BL155" s="63">
        <v>0</v>
      </c>
      <c r="BM155" s="63">
        <v>0</v>
      </c>
      <c r="BN155" s="63">
        <v>0</v>
      </c>
      <c r="BO155" s="63">
        <v>0</v>
      </c>
      <c r="BP155" s="63">
        <v>0</v>
      </c>
      <c r="BQ155" s="63">
        <v>0</v>
      </c>
      <c r="BR155" s="63">
        <v>0</v>
      </c>
      <c r="BS155" s="63">
        <v>0</v>
      </c>
      <c r="BT155" s="63">
        <v>1</v>
      </c>
      <c r="BU155" s="63">
        <v>0</v>
      </c>
      <c r="BV155" s="63">
        <v>0</v>
      </c>
      <c r="BW155" s="63">
        <v>0</v>
      </c>
      <c r="BX155" s="63">
        <v>0</v>
      </c>
      <c r="BY155" s="63">
        <v>1</v>
      </c>
      <c r="BZ155" s="63">
        <v>1</v>
      </c>
      <c r="CA155" s="63">
        <v>0</v>
      </c>
      <c r="CB155" s="63">
        <v>0</v>
      </c>
      <c r="CC155" s="63">
        <v>0</v>
      </c>
      <c r="CD155" s="63">
        <v>0</v>
      </c>
      <c r="CE155" s="63">
        <v>0</v>
      </c>
      <c r="CF155" s="63">
        <v>0</v>
      </c>
      <c r="CG155" s="63">
        <v>0</v>
      </c>
      <c r="CH155" s="63">
        <v>0</v>
      </c>
      <c r="CI155" s="63">
        <v>0</v>
      </c>
      <c r="CJ155" s="63">
        <v>0</v>
      </c>
      <c r="CK155" s="63">
        <v>0</v>
      </c>
      <c r="CL155" s="63">
        <v>1</v>
      </c>
      <c r="CM155" s="63">
        <v>0</v>
      </c>
      <c r="CN155" s="63">
        <v>0</v>
      </c>
      <c r="CO155" s="63">
        <v>1</v>
      </c>
      <c r="CP155" s="63">
        <v>0</v>
      </c>
      <c r="CQ155" s="63">
        <v>0</v>
      </c>
      <c r="CR155" s="63">
        <v>0</v>
      </c>
      <c r="CS155" s="63">
        <v>0</v>
      </c>
      <c r="CT155" s="63">
        <v>0</v>
      </c>
      <c r="CU155" s="61"/>
    </row>
    <row r="156" spans="2:99" ht="12.75">
      <c r="B156" s="1">
        <v>57</v>
      </c>
      <c r="C156" s="63">
        <v>0</v>
      </c>
      <c r="D156" s="63">
        <v>0</v>
      </c>
      <c r="E156" s="63">
        <v>0</v>
      </c>
      <c r="F156" s="63">
        <v>0</v>
      </c>
      <c r="G156" s="63">
        <v>0</v>
      </c>
      <c r="H156" s="63">
        <v>0</v>
      </c>
      <c r="I156" s="63">
        <v>0</v>
      </c>
      <c r="J156" s="63">
        <v>0</v>
      </c>
      <c r="K156" s="63">
        <v>0</v>
      </c>
      <c r="L156" s="63">
        <v>0</v>
      </c>
      <c r="M156" s="63">
        <v>0</v>
      </c>
      <c r="N156" s="63">
        <v>0</v>
      </c>
      <c r="O156" s="63">
        <v>0</v>
      </c>
      <c r="P156" s="63">
        <v>0</v>
      </c>
      <c r="Q156" s="63">
        <v>0</v>
      </c>
      <c r="R156" s="63">
        <v>1</v>
      </c>
      <c r="S156" s="63">
        <v>0</v>
      </c>
      <c r="T156" s="63">
        <v>0</v>
      </c>
      <c r="U156" s="63">
        <v>0</v>
      </c>
      <c r="V156" s="63">
        <v>0</v>
      </c>
      <c r="W156" s="63">
        <v>0</v>
      </c>
      <c r="X156" s="63">
        <v>0</v>
      </c>
      <c r="Y156" s="63">
        <v>0</v>
      </c>
      <c r="Z156" s="63">
        <v>0</v>
      </c>
      <c r="AA156" s="63">
        <v>0</v>
      </c>
      <c r="AB156" s="63">
        <v>0</v>
      </c>
      <c r="AC156" s="63">
        <v>0</v>
      </c>
      <c r="AD156" s="63">
        <v>0</v>
      </c>
      <c r="AE156" s="63">
        <v>0</v>
      </c>
      <c r="AF156" s="63">
        <v>0</v>
      </c>
      <c r="AG156" s="63">
        <v>0</v>
      </c>
      <c r="AH156" s="63">
        <v>0</v>
      </c>
      <c r="AI156" s="63">
        <v>0</v>
      </c>
      <c r="AJ156" s="63">
        <v>0</v>
      </c>
      <c r="AK156" s="63">
        <v>0</v>
      </c>
      <c r="AL156" s="63">
        <v>0</v>
      </c>
      <c r="AM156" s="63">
        <v>0</v>
      </c>
      <c r="AN156" s="63">
        <v>0</v>
      </c>
      <c r="AO156" s="63">
        <v>0</v>
      </c>
      <c r="AP156" s="63">
        <v>0</v>
      </c>
      <c r="AQ156" s="63">
        <v>0</v>
      </c>
      <c r="AR156" s="63">
        <v>0</v>
      </c>
      <c r="AS156" s="63">
        <v>0</v>
      </c>
      <c r="AT156" s="63">
        <v>0</v>
      </c>
      <c r="AU156" s="63">
        <v>1</v>
      </c>
      <c r="AV156" s="63">
        <v>0</v>
      </c>
      <c r="AW156" s="63">
        <v>0</v>
      </c>
      <c r="AX156" s="63">
        <v>0</v>
      </c>
      <c r="AY156" s="63">
        <v>0</v>
      </c>
      <c r="AZ156" s="63">
        <v>0</v>
      </c>
      <c r="BA156" s="63">
        <v>0</v>
      </c>
      <c r="BB156" s="63">
        <v>0</v>
      </c>
      <c r="BC156" s="63">
        <v>0</v>
      </c>
      <c r="BD156" s="63">
        <v>0</v>
      </c>
      <c r="BE156" s="63">
        <v>0</v>
      </c>
      <c r="BF156" s="63">
        <v>0</v>
      </c>
      <c r="BG156" s="63">
        <v>1</v>
      </c>
      <c r="BH156" s="63">
        <v>0</v>
      </c>
      <c r="BI156" s="63">
        <v>0</v>
      </c>
      <c r="BJ156" s="63">
        <v>0</v>
      </c>
      <c r="BK156" s="63">
        <v>0</v>
      </c>
      <c r="BL156" s="63">
        <v>0</v>
      </c>
      <c r="BM156" s="63">
        <v>0</v>
      </c>
      <c r="BN156" s="63">
        <v>0</v>
      </c>
      <c r="BO156" s="63">
        <v>0</v>
      </c>
      <c r="BP156" s="63">
        <v>0</v>
      </c>
      <c r="BQ156" s="63">
        <v>0</v>
      </c>
      <c r="BR156" s="63">
        <v>0</v>
      </c>
      <c r="BS156" s="63">
        <v>1</v>
      </c>
      <c r="BT156" s="63">
        <v>0</v>
      </c>
      <c r="BU156" s="63">
        <v>0</v>
      </c>
      <c r="BV156" s="63">
        <v>0</v>
      </c>
      <c r="BW156" s="63">
        <v>0</v>
      </c>
      <c r="BX156" s="63">
        <v>0</v>
      </c>
      <c r="BY156" s="63">
        <v>0</v>
      </c>
      <c r="BZ156" s="63">
        <v>0</v>
      </c>
      <c r="CA156" s="63">
        <v>0</v>
      </c>
      <c r="CB156" s="63">
        <v>0</v>
      </c>
      <c r="CC156" s="63">
        <v>0</v>
      </c>
      <c r="CD156" s="63">
        <v>0</v>
      </c>
      <c r="CE156" s="63">
        <v>0</v>
      </c>
      <c r="CF156" s="63">
        <v>0</v>
      </c>
      <c r="CG156" s="63">
        <v>0</v>
      </c>
      <c r="CH156" s="63">
        <v>0</v>
      </c>
      <c r="CI156" s="63">
        <v>0</v>
      </c>
      <c r="CJ156" s="63">
        <v>0</v>
      </c>
      <c r="CK156" s="63">
        <v>0</v>
      </c>
      <c r="CL156" s="63">
        <v>0</v>
      </c>
      <c r="CM156" s="63">
        <v>0</v>
      </c>
      <c r="CN156" s="63">
        <v>0</v>
      </c>
      <c r="CO156" s="63">
        <v>0</v>
      </c>
      <c r="CP156" s="63">
        <v>0</v>
      </c>
      <c r="CQ156" s="63">
        <v>0</v>
      </c>
      <c r="CR156" s="63">
        <v>0</v>
      </c>
      <c r="CS156" s="63">
        <v>0</v>
      </c>
      <c r="CT156" s="63">
        <v>0</v>
      </c>
      <c r="CU156" s="61"/>
    </row>
    <row r="157" spans="2:99" ht="12.75">
      <c r="B157" s="1">
        <v>58</v>
      </c>
      <c r="C157" s="63">
        <v>0</v>
      </c>
      <c r="D157" s="63">
        <v>1</v>
      </c>
      <c r="E157" s="63">
        <v>1</v>
      </c>
      <c r="F157" s="63">
        <v>0</v>
      </c>
      <c r="G157" s="63">
        <v>0</v>
      </c>
      <c r="H157" s="63">
        <v>0</v>
      </c>
      <c r="I157" s="63">
        <v>0</v>
      </c>
      <c r="J157" s="63">
        <v>1</v>
      </c>
      <c r="K157" s="63">
        <v>0</v>
      </c>
      <c r="L157" s="63">
        <v>0</v>
      </c>
      <c r="M157" s="63">
        <v>0</v>
      </c>
      <c r="N157" s="63">
        <v>0</v>
      </c>
      <c r="O157" s="63">
        <v>0</v>
      </c>
      <c r="P157" s="63">
        <v>0</v>
      </c>
      <c r="Q157" s="63">
        <v>0</v>
      </c>
      <c r="R157" s="63">
        <v>0</v>
      </c>
      <c r="S157" s="63">
        <v>0</v>
      </c>
      <c r="T157" s="63">
        <v>0</v>
      </c>
      <c r="U157" s="63">
        <v>0</v>
      </c>
      <c r="V157" s="63">
        <v>0</v>
      </c>
      <c r="W157" s="63">
        <v>0</v>
      </c>
      <c r="X157" s="63">
        <v>0</v>
      </c>
      <c r="Y157" s="63">
        <v>0</v>
      </c>
      <c r="Z157" s="63">
        <v>0</v>
      </c>
      <c r="AA157" s="63">
        <v>0</v>
      </c>
      <c r="AB157" s="63">
        <v>0</v>
      </c>
      <c r="AC157" s="63">
        <v>0</v>
      </c>
      <c r="AD157" s="63">
        <v>0</v>
      </c>
      <c r="AE157" s="63">
        <v>0</v>
      </c>
      <c r="AF157" s="63">
        <v>0</v>
      </c>
      <c r="AG157" s="63">
        <v>0</v>
      </c>
      <c r="AH157" s="63">
        <v>0</v>
      </c>
      <c r="AI157" s="63">
        <v>0</v>
      </c>
      <c r="AJ157" s="63">
        <v>0</v>
      </c>
      <c r="AK157" s="63">
        <v>0</v>
      </c>
      <c r="AL157" s="63">
        <v>0</v>
      </c>
      <c r="AM157" s="63">
        <v>0</v>
      </c>
      <c r="AN157" s="63">
        <v>0</v>
      </c>
      <c r="AO157" s="63">
        <v>0</v>
      </c>
      <c r="AP157" s="63">
        <v>0</v>
      </c>
      <c r="AQ157" s="63">
        <v>0</v>
      </c>
      <c r="AR157" s="63">
        <v>0</v>
      </c>
      <c r="AS157" s="63">
        <v>0</v>
      </c>
      <c r="AT157" s="63">
        <v>0</v>
      </c>
      <c r="AU157" s="63">
        <v>0</v>
      </c>
      <c r="AV157" s="63">
        <v>0</v>
      </c>
      <c r="AW157" s="63">
        <v>0</v>
      </c>
      <c r="AX157" s="63">
        <v>0</v>
      </c>
      <c r="AY157" s="63">
        <v>1</v>
      </c>
      <c r="AZ157" s="63">
        <v>1</v>
      </c>
      <c r="BA157" s="63">
        <v>0</v>
      </c>
      <c r="BB157" s="63">
        <v>0</v>
      </c>
      <c r="BC157" s="63">
        <v>1</v>
      </c>
      <c r="BD157" s="63">
        <v>0</v>
      </c>
      <c r="BE157" s="63">
        <v>0</v>
      </c>
      <c r="BF157" s="63">
        <v>0</v>
      </c>
      <c r="BG157" s="63">
        <v>0</v>
      </c>
      <c r="BH157" s="63">
        <v>1</v>
      </c>
      <c r="BI157" s="63">
        <v>0</v>
      </c>
      <c r="BJ157" s="63">
        <v>0</v>
      </c>
      <c r="BK157" s="63">
        <v>0</v>
      </c>
      <c r="BL157" s="63">
        <v>0</v>
      </c>
      <c r="BM157" s="63">
        <v>0</v>
      </c>
      <c r="BN157" s="63">
        <v>0</v>
      </c>
      <c r="BO157" s="63">
        <v>0</v>
      </c>
      <c r="BP157" s="63">
        <v>0</v>
      </c>
      <c r="BQ157" s="63">
        <v>1</v>
      </c>
      <c r="BR157" s="63">
        <v>0</v>
      </c>
      <c r="BS157" s="63">
        <v>0</v>
      </c>
      <c r="BT157" s="63">
        <v>0</v>
      </c>
      <c r="BU157" s="63">
        <v>0</v>
      </c>
      <c r="BV157" s="63">
        <v>0</v>
      </c>
      <c r="BW157" s="63">
        <v>0</v>
      </c>
      <c r="BX157" s="63">
        <v>0</v>
      </c>
      <c r="BY157" s="63">
        <v>0</v>
      </c>
      <c r="BZ157" s="63">
        <v>0</v>
      </c>
      <c r="CA157" s="63">
        <v>0</v>
      </c>
      <c r="CB157" s="63">
        <v>0</v>
      </c>
      <c r="CC157" s="63">
        <v>0</v>
      </c>
      <c r="CD157" s="63">
        <v>0</v>
      </c>
      <c r="CE157" s="63">
        <v>0</v>
      </c>
      <c r="CF157" s="63">
        <v>0</v>
      </c>
      <c r="CG157" s="63">
        <v>0</v>
      </c>
      <c r="CH157" s="63">
        <v>0</v>
      </c>
      <c r="CI157" s="63">
        <v>0</v>
      </c>
      <c r="CJ157" s="63">
        <v>0</v>
      </c>
      <c r="CK157" s="63">
        <v>0</v>
      </c>
      <c r="CL157" s="63">
        <v>0</v>
      </c>
      <c r="CM157" s="63">
        <v>0</v>
      </c>
      <c r="CN157" s="63">
        <v>0</v>
      </c>
      <c r="CO157" s="63">
        <v>0</v>
      </c>
      <c r="CP157" s="63">
        <v>0</v>
      </c>
      <c r="CQ157" s="63">
        <v>0</v>
      </c>
      <c r="CR157" s="63">
        <v>0</v>
      </c>
      <c r="CS157" s="63">
        <v>0</v>
      </c>
      <c r="CT157" s="63">
        <v>0</v>
      </c>
      <c r="CU157" s="61"/>
    </row>
    <row r="158" spans="2:99" ht="12.75">
      <c r="B158" s="1">
        <v>59</v>
      </c>
      <c r="C158" s="63">
        <v>0</v>
      </c>
      <c r="D158" s="63">
        <v>0</v>
      </c>
      <c r="E158" s="63">
        <v>0</v>
      </c>
      <c r="F158" s="63">
        <v>0</v>
      </c>
      <c r="G158" s="63">
        <v>0</v>
      </c>
      <c r="H158" s="63">
        <v>0</v>
      </c>
      <c r="I158" s="63">
        <v>0</v>
      </c>
      <c r="J158" s="63">
        <v>0</v>
      </c>
      <c r="K158" s="63">
        <v>0</v>
      </c>
      <c r="L158" s="63">
        <v>0</v>
      </c>
      <c r="M158" s="63">
        <v>0</v>
      </c>
      <c r="N158" s="63">
        <v>0</v>
      </c>
      <c r="O158" s="63">
        <v>0</v>
      </c>
      <c r="P158" s="63">
        <v>0</v>
      </c>
      <c r="Q158" s="63">
        <v>0</v>
      </c>
      <c r="R158" s="63">
        <v>0</v>
      </c>
      <c r="S158" s="63">
        <v>0</v>
      </c>
      <c r="T158" s="63">
        <v>0</v>
      </c>
      <c r="U158" s="63">
        <v>0</v>
      </c>
      <c r="V158" s="63">
        <v>0</v>
      </c>
      <c r="W158" s="63">
        <v>0</v>
      </c>
      <c r="X158" s="63">
        <v>0</v>
      </c>
      <c r="Y158" s="63">
        <v>0</v>
      </c>
      <c r="Z158" s="63">
        <v>0</v>
      </c>
      <c r="AA158" s="63">
        <v>0</v>
      </c>
      <c r="AB158" s="63">
        <v>0</v>
      </c>
      <c r="AC158" s="63">
        <v>0</v>
      </c>
      <c r="AD158" s="63">
        <v>0</v>
      </c>
      <c r="AE158" s="63">
        <v>0</v>
      </c>
      <c r="AF158" s="63">
        <v>0</v>
      </c>
      <c r="AG158" s="63">
        <v>0</v>
      </c>
      <c r="AH158" s="63">
        <v>0</v>
      </c>
      <c r="AI158" s="63">
        <v>0</v>
      </c>
      <c r="AJ158" s="63">
        <v>0</v>
      </c>
      <c r="AK158" s="63">
        <v>0</v>
      </c>
      <c r="AL158" s="63">
        <v>0</v>
      </c>
      <c r="AM158" s="63">
        <v>0</v>
      </c>
      <c r="AN158" s="63">
        <v>0</v>
      </c>
      <c r="AO158" s="63">
        <v>0</v>
      </c>
      <c r="AP158" s="63">
        <v>0</v>
      </c>
      <c r="AQ158" s="63">
        <v>1</v>
      </c>
      <c r="AR158" s="63">
        <v>0</v>
      </c>
      <c r="AS158" s="63">
        <v>0</v>
      </c>
      <c r="AT158" s="63">
        <v>0</v>
      </c>
      <c r="AU158" s="63">
        <v>0</v>
      </c>
      <c r="AV158" s="63">
        <v>0</v>
      </c>
      <c r="AW158" s="63">
        <v>0</v>
      </c>
      <c r="AX158" s="63">
        <v>0</v>
      </c>
      <c r="AY158" s="63">
        <v>0</v>
      </c>
      <c r="AZ158" s="63">
        <v>0</v>
      </c>
      <c r="BA158" s="63">
        <v>1</v>
      </c>
      <c r="BB158" s="63">
        <v>0</v>
      </c>
      <c r="BC158" s="63">
        <v>0</v>
      </c>
      <c r="BD158" s="63">
        <v>0</v>
      </c>
      <c r="BE158" s="63">
        <v>0</v>
      </c>
      <c r="BF158" s="63">
        <v>0</v>
      </c>
      <c r="BG158" s="63">
        <v>0</v>
      </c>
      <c r="BH158" s="63">
        <v>0</v>
      </c>
      <c r="BI158" s="63">
        <v>1</v>
      </c>
      <c r="BJ158" s="63">
        <v>0</v>
      </c>
      <c r="BK158" s="63">
        <v>0</v>
      </c>
      <c r="BL158" s="63">
        <v>0</v>
      </c>
      <c r="BM158" s="63">
        <v>0</v>
      </c>
      <c r="BN158" s="63">
        <v>1</v>
      </c>
      <c r="BO158" s="63">
        <v>0</v>
      </c>
      <c r="BP158" s="63">
        <v>0</v>
      </c>
      <c r="BQ158" s="63">
        <v>0</v>
      </c>
      <c r="BR158" s="63">
        <v>0</v>
      </c>
      <c r="BS158" s="63">
        <v>0</v>
      </c>
      <c r="BT158" s="63">
        <v>0</v>
      </c>
      <c r="BU158" s="63">
        <v>0</v>
      </c>
      <c r="BV158" s="63">
        <v>0</v>
      </c>
      <c r="BW158" s="63">
        <v>0</v>
      </c>
      <c r="BX158" s="63">
        <v>1</v>
      </c>
      <c r="BY158" s="63">
        <v>1</v>
      </c>
      <c r="BZ158" s="63">
        <v>0</v>
      </c>
      <c r="CA158" s="63">
        <v>0</v>
      </c>
      <c r="CB158" s="63">
        <v>0</v>
      </c>
      <c r="CC158" s="63">
        <v>0</v>
      </c>
      <c r="CD158" s="63">
        <v>0</v>
      </c>
      <c r="CE158" s="63">
        <v>0</v>
      </c>
      <c r="CF158" s="63">
        <v>0</v>
      </c>
      <c r="CG158" s="63">
        <v>0</v>
      </c>
      <c r="CH158" s="63">
        <v>0</v>
      </c>
      <c r="CI158" s="63">
        <v>0</v>
      </c>
      <c r="CJ158" s="63">
        <v>0</v>
      </c>
      <c r="CK158" s="63">
        <v>0</v>
      </c>
      <c r="CL158" s="63">
        <v>1</v>
      </c>
      <c r="CM158" s="63">
        <v>0</v>
      </c>
      <c r="CN158" s="63">
        <v>0</v>
      </c>
      <c r="CO158" s="63">
        <v>0</v>
      </c>
      <c r="CP158" s="63">
        <v>1</v>
      </c>
      <c r="CQ158" s="63">
        <v>1</v>
      </c>
      <c r="CR158" s="63">
        <v>1</v>
      </c>
      <c r="CS158" s="63">
        <v>0</v>
      </c>
      <c r="CT158" s="63">
        <v>0</v>
      </c>
      <c r="CU158" s="61"/>
    </row>
    <row r="159" spans="2:99" ht="12.75">
      <c r="B159" s="1">
        <v>60</v>
      </c>
      <c r="C159" s="63">
        <v>0</v>
      </c>
      <c r="D159" s="63">
        <v>0</v>
      </c>
      <c r="E159" s="63">
        <v>0</v>
      </c>
      <c r="F159" s="63">
        <v>0</v>
      </c>
      <c r="G159" s="63">
        <v>0</v>
      </c>
      <c r="H159" s="63">
        <v>0</v>
      </c>
      <c r="I159" s="63">
        <v>0</v>
      </c>
      <c r="J159" s="63">
        <v>0</v>
      </c>
      <c r="K159" s="63">
        <v>0</v>
      </c>
      <c r="L159" s="63">
        <v>0</v>
      </c>
      <c r="M159" s="63">
        <v>0</v>
      </c>
      <c r="N159" s="63">
        <v>0</v>
      </c>
      <c r="O159" s="63">
        <v>0</v>
      </c>
      <c r="P159" s="63">
        <v>1</v>
      </c>
      <c r="Q159" s="63">
        <v>0</v>
      </c>
      <c r="R159" s="63">
        <v>0</v>
      </c>
      <c r="S159" s="63">
        <v>0</v>
      </c>
      <c r="T159" s="63">
        <v>0</v>
      </c>
      <c r="U159" s="63">
        <v>0</v>
      </c>
      <c r="V159" s="63">
        <v>0</v>
      </c>
      <c r="W159" s="63">
        <v>0</v>
      </c>
      <c r="X159" s="63">
        <v>0</v>
      </c>
      <c r="Y159" s="63">
        <v>0</v>
      </c>
      <c r="Z159" s="63">
        <v>0</v>
      </c>
      <c r="AA159" s="63">
        <v>0</v>
      </c>
      <c r="AB159" s="63">
        <v>0</v>
      </c>
      <c r="AC159" s="63">
        <v>0</v>
      </c>
      <c r="AD159" s="63">
        <v>0</v>
      </c>
      <c r="AE159" s="63">
        <v>0</v>
      </c>
      <c r="AF159" s="63">
        <v>0</v>
      </c>
      <c r="AG159" s="63">
        <v>0</v>
      </c>
      <c r="AH159" s="63">
        <v>0</v>
      </c>
      <c r="AI159" s="63">
        <v>0</v>
      </c>
      <c r="AJ159" s="63">
        <v>0</v>
      </c>
      <c r="AK159" s="63">
        <v>0</v>
      </c>
      <c r="AL159" s="63">
        <v>0</v>
      </c>
      <c r="AM159" s="63">
        <v>0</v>
      </c>
      <c r="AN159" s="63">
        <v>0</v>
      </c>
      <c r="AO159" s="63">
        <v>0</v>
      </c>
      <c r="AP159" s="63">
        <v>0</v>
      </c>
      <c r="AQ159" s="63">
        <v>0</v>
      </c>
      <c r="AR159" s="63">
        <v>0</v>
      </c>
      <c r="AS159" s="63">
        <v>0</v>
      </c>
      <c r="AT159" s="63">
        <v>0</v>
      </c>
      <c r="AU159" s="63">
        <v>0</v>
      </c>
      <c r="AV159" s="63">
        <v>0</v>
      </c>
      <c r="AW159" s="63">
        <v>1</v>
      </c>
      <c r="AX159" s="63">
        <v>0</v>
      </c>
      <c r="AY159" s="63">
        <v>0</v>
      </c>
      <c r="AZ159" s="63">
        <v>0</v>
      </c>
      <c r="BA159" s="63">
        <v>0</v>
      </c>
      <c r="BB159" s="63">
        <v>0</v>
      </c>
      <c r="BC159" s="63">
        <v>0</v>
      </c>
      <c r="BD159" s="63">
        <v>0</v>
      </c>
      <c r="BE159" s="63">
        <v>0</v>
      </c>
      <c r="BF159" s="63">
        <v>0</v>
      </c>
      <c r="BG159" s="63">
        <v>0</v>
      </c>
      <c r="BH159" s="63">
        <v>0</v>
      </c>
      <c r="BI159" s="63">
        <v>0</v>
      </c>
      <c r="BJ159" s="63">
        <v>1</v>
      </c>
      <c r="BK159" s="63">
        <v>0</v>
      </c>
      <c r="BL159" s="63">
        <v>0</v>
      </c>
      <c r="BM159" s="63">
        <v>0</v>
      </c>
      <c r="BN159" s="63">
        <v>0</v>
      </c>
      <c r="BO159" s="63">
        <v>0</v>
      </c>
      <c r="BP159" s="63">
        <v>0</v>
      </c>
      <c r="BQ159" s="63">
        <v>0</v>
      </c>
      <c r="BR159" s="63">
        <v>0</v>
      </c>
      <c r="BS159" s="63">
        <v>0</v>
      </c>
      <c r="BT159" s="63">
        <v>0</v>
      </c>
      <c r="BU159" s="63">
        <v>0</v>
      </c>
      <c r="BV159" s="63">
        <v>0</v>
      </c>
      <c r="BW159" s="63">
        <v>0</v>
      </c>
      <c r="BX159" s="63">
        <v>0</v>
      </c>
      <c r="BY159" s="63">
        <v>0</v>
      </c>
      <c r="BZ159" s="63">
        <v>0</v>
      </c>
      <c r="CA159" s="63">
        <v>0</v>
      </c>
      <c r="CB159" s="63">
        <v>0</v>
      </c>
      <c r="CC159" s="63">
        <v>0</v>
      </c>
      <c r="CD159" s="63">
        <v>1</v>
      </c>
      <c r="CE159" s="63">
        <v>1</v>
      </c>
      <c r="CF159" s="63">
        <v>0</v>
      </c>
      <c r="CG159" s="63">
        <v>0</v>
      </c>
      <c r="CH159" s="63">
        <v>0</v>
      </c>
      <c r="CI159" s="63">
        <v>0</v>
      </c>
      <c r="CJ159" s="63">
        <v>0</v>
      </c>
      <c r="CK159" s="63">
        <v>0</v>
      </c>
      <c r="CL159" s="63">
        <v>0</v>
      </c>
      <c r="CM159" s="63">
        <v>0</v>
      </c>
      <c r="CN159" s="63">
        <v>0</v>
      </c>
      <c r="CO159" s="63">
        <v>0</v>
      </c>
      <c r="CP159" s="63">
        <v>0</v>
      </c>
      <c r="CQ159" s="63">
        <v>0</v>
      </c>
      <c r="CR159" s="63">
        <v>0</v>
      </c>
      <c r="CS159" s="63">
        <v>0</v>
      </c>
      <c r="CT159" s="63">
        <v>1</v>
      </c>
      <c r="CU159" s="61"/>
    </row>
    <row r="160" spans="2:99" ht="12.75">
      <c r="B160" s="1">
        <v>61</v>
      </c>
      <c r="C160" s="63">
        <v>0</v>
      </c>
      <c r="D160" s="63">
        <v>0</v>
      </c>
      <c r="E160" s="63">
        <v>0</v>
      </c>
      <c r="F160" s="63">
        <v>0</v>
      </c>
      <c r="G160" s="63">
        <v>0</v>
      </c>
      <c r="H160" s="63">
        <v>0</v>
      </c>
      <c r="I160" s="63">
        <v>0</v>
      </c>
      <c r="J160" s="63">
        <v>0</v>
      </c>
      <c r="K160" s="63">
        <v>0</v>
      </c>
      <c r="L160" s="63">
        <v>0</v>
      </c>
      <c r="M160" s="63">
        <v>0</v>
      </c>
      <c r="N160" s="63">
        <v>1</v>
      </c>
      <c r="O160" s="63">
        <v>0</v>
      </c>
      <c r="P160" s="63">
        <v>0</v>
      </c>
      <c r="Q160" s="63">
        <v>0</v>
      </c>
      <c r="R160" s="63">
        <v>0</v>
      </c>
      <c r="S160" s="63">
        <v>0</v>
      </c>
      <c r="T160" s="63">
        <v>0</v>
      </c>
      <c r="U160" s="63">
        <v>0</v>
      </c>
      <c r="V160" s="63">
        <v>0</v>
      </c>
      <c r="W160" s="63">
        <v>0</v>
      </c>
      <c r="X160" s="63">
        <v>0</v>
      </c>
      <c r="Y160" s="63">
        <v>0</v>
      </c>
      <c r="Z160" s="63">
        <v>0</v>
      </c>
      <c r="AA160" s="63">
        <v>0</v>
      </c>
      <c r="AB160" s="63">
        <v>0</v>
      </c>
      <c r="AC160" s="63">
        <v>0</v>
      </c>
      <c r="AD160" s="63">
        <v>0</v>
      </c>
      <c r="AE160" s="63">
        <v>0</v>
      </c>
      <c r="AF160" s="63">
        <v>0</v>
      </c>
      <c r="AG160" s="63">
        <v>0</v>
      </c>
      <c r="AH160" s="63">
        <v>0</v>
      </c>
      <c r="AI160" s="63">
        <v>0</v>
      </c>
      <c r="AJ160" s="63">
        <v>0</v>
      </c>
      <c r="AK160" s="63">
        <v>0</v>
      </c>
      <c r="AL160" s="63">
        <v>0</v>
      </c>
      <c r="AM160" s="63">
        <v>0</v>
      </c>
      <c r="AN160" s="63">
        <v>0</v>
      </c>
      <c r="AO160" s="63">
        <v>0</v>
      </c>
      <c r="AP160" s="63">
        <v>0</v>
      </c>
      <c r="AQ160" s="63">
        <v>0</v>
      </c>
      <c r="AR160" s="63">
        <v>0</v>
      </c>
      <c r="AS160" s="63">
        <v>0</v>
      </c>
      <c r="AT160" s="63">
        <v>0</v>
      </c>
      <c r="AU160" s="63">
        <v>0</v>
      </c>
      <c r="AV160" s="63">
        <v>0</v>
      </c>
      <c r="AW160" s="63">
        <v>0</v>
      </c>
      <c r="AX160" s="63">
        <v>0</v>
      </c>
      <c r="AY160" s="63">
        <v>0</v>
      </c>
      <c r="AZ160" s="63">
        <v>0</v>
      </c>
      <c r="BA160" s="63">
        <v>0</v>
      </c>
      <c r="BB160" s="63">
        <v>0</v>
      </c>
      <c r="BC160" s="63">
        <v>0</v>
      </c>
      <c r="BD160" s="63">
        <v>0</v>
      </c>
      <c r="BE160" s="63">
        <v>0</v>
      </c>
      <c r="BF160" s="63">
        <v>0</v>
      </c>
      <c r="BG160" s="63">
        <v>0</v>
      </c>
      <c r="BH160" s="63">
        <v>0</v>
      </c>
      <c r="BI160" s="63">
        <v>0</v>
      </c>
      <c r="BJ160" s="63">
        <v>0</v>
      </c>
      <c r="BK160" s="63">
        <v>1</v>
      </c>
      <c r="BL160" s="63">
        <v>0</v>
      </c>
      <c r="BM160" s="63">
        <v>0</v>
      </c>
      <c r="BN160" s="63">
        <v>0</v>
      </c>
      <c r="BO160" s="63">
        <v>0</v>
      </c>
      <c r="BP160" s="63">
        <v>0</v>
      </c>
      <c r="BQ160" s="63">
        <v>0</v>
      </c>
      <c r="BR160" s="63">
        <v>0</v>
      </c>
      <c r="BS160" s="63">
        <v>0</v>
      </c>
      <c r="BT160" s="63">
        <v>0</v>
      </c>
      <c r="BU160" s="63">
        <v>0</v>
      </c>
      <c r="BV160" s="63">
        <v>0</v>
      </c>
      <c r="BW160" s="63">
        <v>0</v>
      </c>
      <c r="BX160" s="63">
        <v>0</v>
      </c>
      <c r="BY160" s="63">
        <v>0</v>
      </c>
      <c r="BZ160" s="63">
        <v>0</v>
      </c>
      <c r="CA160" s="63">
        <v>1</v>
      </c>
      <c r="CB160" s="63">
        <v>1</v>
      </c>
      <c r="CC160" s="63">
        <v>0</v>
      </c>
      <c r="CD160" s="63">
        <v>0</v>
      </c>
      <c r="CE160" s="63">
        <v>0</v>
      </c>
      <c r="CF160" s="63">
        <v>0</v>
      </c>
      <c r="CG160" s="63">
        <v>0</v>
      </c>
      <c r="CH160" s="63">
        <v>0</v>
      </c>
      <c r="CI160" s="63">
        <v>0</v>
      </c>
      <c r="CJ160" s="63">
        <v>0</v>
      </c>
      <c r="CK160" s="63">
        <v>0</v>
      </c>
      <c r="CL160" s="63">
        <v>0</v>
      </c>
      <c r="CM160" s="63">
        <v>0</v>
      </c>
      <c r="CN160" s="63">
        <v>0</v>
      </c>
      <c r="CO160" s="63">
        <v>0</v>
      </c>
      <c r="CP160" s="63">
        <v>0</v>
      </c>
      <c r="CQ160" s="63">
        <v>0</v>
      </c>
      <c r="CR160" s="63">
        <v>0</v>
      </c>
      <c r="CS160" s="63">
        <v>0</v>
      </c>
      <c r="CT160" s="63">
        <v>0</v>
      </c>
      <c r="CU160" s="61"/>
    </row>
    <row r="161" spans="2:99" ht="12.75">
      <c r="B161" s="1">
        <v>62</v>
      </c>
      <c r="C161" s="63">
        <v>0</v>
      </c>
      <c r="D161" s="63">
        <v>0</v>
      </c>
      <c r="E161" s="63">
        <v>0</v>
      </c>
      <c r="F161" s="63">
        <v>0</v>
      </c>
      <c r="G161" s="63">
        <v>0</v>
      </c>
      <c r="H161" s="63">
        <v>0</v>
      </c>
      <c r="I161" s="63">
        <v>0</v>
      </c>
      <c r="J161" s="63">
        <v>0</v>
      </c>
      <c r="K161" s="63">
        <v>0</v>
      </c>
      <c r="L161" s="63">
        <v>0</v>
      </c>
      <c r="M161" s="63">
        <v>0</v>
      </c>
      <c r="N161" s="63">
        <v>0</v>
      </c>
      <c r="O161" s="63">
        <v>0</v>
      </c>
      <c r="P161" s="63">
        <v>0</v>
      </c>
      <c r="Q161" s="63">
        <v>0</v>
      </c>
      <c r="R161" s="63">
        <v>0</v>
      </c>
      <c r="S161" s="63">
        <v>0</v>
      </c>
      <c r="T161" s="63">
        <v>0</v>
      </c>
      <c r="U161" s="63">
        <v>0</v>
      </c>
      <c r="V161" s="63">
        <v>0</v>
      </c>
      <c r="W161" s="63">
        <v>0</v>
      </c>
      <c r="X161" s="63">
        <v>0</v>
      </c>
      <c r="Y161" s="63">
        <v>0</v>
      </c>
      <c r="Z161" s="63">
        <v>0</v>
      </c>
      <c r="AA161" s="63">
        <v>0</v>
      </c>
      <c r="AB161" s="63">
        <v>0</v>
      </c>
      <c r="AC161" s="63">
        <v>0</v>
      </c>
      <c r="AD161" s="63">
        <v>0</v>
      </c>
      <c r="AE161" s="63">
        <v>0</v>
      </c>
      <c r="AF161" s="63">
        <v>0</v>
      </c>
      <c r="AG161" s="63">
        <v>1</v>
      </c>
      <c r="AH161" s="63">
        <v>1</v>
      </c>
      <c r="AI161" s="63">
        <v>0</v>
      </c>
      <c r="AJ161" s="63">
        <v>1</v>
      </c>
      <c r="AK161" s="63">
        <v>0</v>
      </c>
      <c r="AL161" s="63">
        <v>0</v>
      </c>
      <c r="AM161" s="63">
        <v>0</v>
      </c>
      <c r="AN161" s="63">
        <v>1</v>
      </c>
      <c r="AO161" s="63">
        <v>0</v>
      </c>
      <c r="AP161" s="63">
        <v>0</v>
      </c>
      <c r="AQ161" s="63">
        <v>0</v>
      </c>
      <c r="AR161" s="63">
        <v>0</v>
      </c>
      <c r="AS161" s="63">
        <v>0</v>
      </c>
      <c r="AT161" s="63">
        <v>0</v>
      </c>
      <c r="AU161" s="63">
        <v>0</v>
      </c>
      <c r="AV161" s="63">
        <v>0</v>
      </c>
      <c r="AW161" s="63">
        <v>0</v>
      </c>
      <c r="AX161" s="63">
        <v>0</v>
      </c>
      <c r="AY161" s="63">
        <v>0</v>
      </c>
      <c r="AZ161" s="63">
        <v>0</v>
      </c>
      <c r="BA161" s="63">
        <v>0</v>
      </c>
      <c r="BB161" s="63">
        <v>1</v>
      </c>
      <c r="BC161" s="63">
        <v>0</v>
      </c>
      <c r="BD161" s="63">
        <v>0</v>
      </c>
      <c r="BE161" s="63">
        <v>0</v>
      </c>
      <c r="BF161" s="63">
        <v>0</v>
      </c>
      <c r="BG161" s="63">
        <v>0</v>
      </c>
      <c r="BH161" s="63">
        <v>0</v>
      </c>
      <c r="BI161" s="63">
        <v>0</v>
      </c>
      <c r="BJ161" s="63">
        <v>0</v>
      </c>
      <c r="BK161" s="63">
        <v>0</v>
      </c>
      <c r="BL161" s="63">
        <v>1</v>
      </c>
      <c r="BM161" s="63">
        <v>0</v>
      </c>
      <c r="BN161" s="63">
        <v>0</v>
      </c>
      <c r="BO161" s="63">
        <v>0</v>
      </c>
      <c r="BP161" s="63">
        <v>0</v>
      </c>
      <c r="BQ161" s="63">
        <v>0</v>
      </c>
      <c r="BR161" s="63">
        <v>0</v>
      </c>
      <c r="BS161" s="63">
        <v>0</v>
      </c>
      <c r="BT161" s="63">
        <v>0</v>
      </c>
      <c r="BU161" s="63">
        <v>0</v>
      </c>
      <c r="BV161" s="63">
        <v>0</v>
      </c>
      <c r="BW161" s="63">
        <v>0</v>
      </c>
      <c r="BX161" s="63">
        <v>0</v>
      </c>
      <c r="BY161" s="63">
        <v>0</v>
      </c>
      <c r="BZ161" s="63">
        <v>1</v>
      </c>
      <c r="CA161" s="63">
        <v>0</v>
      </c>
      <c r="CB161" s="63">
        <v>1</v>
      </c>
      <c r="CC161" s="63">
        <v>0</v>
      </c>
      <c r="CD161" s="63">
        <v>0</v>
      </c>
      <c r="CE161" s="63">
        <v>0</v>
      </c>
      <c r="CF161" s="63">
        <v>0</v>
      </c>
      <c r="CG161" s="63">
        <v>0</v>
      </c>
      <c r="CH161" s="63">
        <v>0</v>
      </c>
      <c r="CI161" s="63">
        <v>0</v>
      </c>
      <c r="CJ161" s="63">
        <v>0</v>
      </c>
      <c r="CK161" s="63">
        <v>0</v>
      </c>
      <c r="CL161" s="63">
        <v>0</v>
      </c>
      <c r="CM161" s="63">
        <v>0</v>
      </c>
      <c r="CN161" s="63">
        <v>0</v>
      </c>
      <c r="CO161" s="63">
        <v>0</v>
      </c>
      <c r="CP161" s="63">
        <v>0</v>
      </c>
      <c r="CQ161" s="63">
        <v>0</v>
      </c>
      <c r="CR161" s="63">
        <v>0</v>
      </c>
      <c r="CS161" s="63">
        <v>0</v>
      </c>
      <c r="CT161" s="63">
        <v>0</v>
      </c>
      <c r="CU161" s="61"/>
    </row>
    <row r="162" spans="2:99" ht="12.75">
      <c r="B162" s="1">
        <v>63</v>
      </c>
      <c r="C162" s="63">
        <v>0</v>
      </c>
      <c r="D162" s="63">
        <v>0</v>
      </c>
      <c r="E162" s="63">
        <v>0</v>
      </c>
      <c r="F162" s="63">
        <v>0</v>
      </c>
      <c r="G162" s="63">
        <v>0</v>
      </c>
      <c r="H162" s="63">
        <v>0</v>
      </c>
      <c r="I162" s="63">
        <v>0</v>
      </c>
      <c r="J162" s="63">
        <v>0</v>
      </c>
      <c r="K162" s="63">
        <v>0</v>
      </c>
      <c r="L162" s="63">
        <v>0</v>
      </c>
      <c r="M162" s="63">
        <v>1</v>
      </c>
      <c r="N162" s="63">
        <v>0</v>
      </c>
      <c r="O162" s="63">
        <v>0</v>
      </c>
      <c r="P162" s="63">
        <v>0</v>
      </c>
      <c r="Q162" s="63">
        <v>0</v>
      </c>
      <c r="R162" s="63">
        <v>0</v>
      </c>
      <c r="S162" s="63">
        <v>0</v>
      </c>
      <c r="T162" s="63">
        <v>0</v>
      </c>
      <c r="U162" s="63">
        <v>0</v>
      </c>
      <c r="V162" s="63">
        <v>0</v>
      </c>
      <c r="W162" s="63">
        <v>0</v>
      </c>
      <c r="X162" s="63">
        <v>1</v>
      </c>
      <c r="Y162" s="63">
        <v>0</v>
      </c>
      <c r="Z162" s="63">
        <v>0</v>
      </c>
      <c r="AA162" s="63">
        <v>0</v>
      </c>
      <c r="AB162" s="63">
        <v>0</v>
      </c>
      <c r="AC162" s="63">
        <v>0</v>
      </c>
      <c r="AD162" s="63">
        <v>0</v>
      </c>
      <c r="AE162" s="63">
        <v>0</v>
      </c>
      <c r="AF162" s="63">
        <v>0</v>
      </c>
      <c r="AG162" s="63">
        <v>0</v>
      </c>
      <c r="AH162" s="63">
        <v>0</v>
      </c>
      <c r="AI162" s="63">
        <v>0</v>
      </c>
      <c r="AJ162" s="63">
        <v>0</v>
      </c>
      <c r="AK162" s="63">
        <v>0</v>
      </c>
      <c r="AL162" s="63">
        <v>0</v>
      </c>
      <c r="AM162" s="63">
        <v>0</v>
      </c>
      <c r="AN162" s="63">
        <v>0</v>
      </c>
      <c r="AO162" s="63">
        <v>0</v>
      </c>
      <c r="AP162" s="63">
        <v>0</v>
      </c>
      <c r="AQ162" s="63">
        <v>0</v>
      </c>
      <c r="AR162" s="63">
        <v>0</v>
      </c>
      <c r="AS162" s="63">
        <v>0</v>
      </c>
      <c r="AT162" s="63">
        <v>0</v>
      </c>
      <c r="AU162" s="63">
        <v>0</v>
      </c>
      <c r="AV162" s="63">
        <v>0</v>
      </c>
      <c r="AW162" s="63">
        <v>0</v>
      </c>
      <c r="AX162" s="63">
        <v>0</v>
      </c>
      <c r="AY162" s="63">
        <v>1</v>
      </c>
      <c r="AZ162" s="63">
        <v>0</v>
      </c>
      <c r="BA162" s="63">
        <v>0</v>
      </c>
      <c r="BB162" s="63">
        <v>0</v>
      </c>
      <c r="BC162" s="63">
        <v>1</v>
      </c>
      <c r="BD162" s="63">
        <v>1</v>
      </c>
      <c r="BE162" s="63">
        <v>0</v>
      </c>
      <c r="BF162" s="63">
        <v>0</v>
      </c>
      <c r="BG162" s="63">
        <v>0</v>
      </c>
      <c r="BH162" s="63">
        <v>0</v>
      </c>
      <c r="BI162" s="63">
        <v>0</v>
      </c>
      <c r="BJ162" s="63">
        <v>0</v>
      </c>
      <c r="BK162" s="63">
        <v>0</v>
      </c>
      <c r="BL162" s="63">
        <v>0</v>
      </c>
      <c r="BM162" s="63">
        <v>1</v>
      </c>
      <c r="BN162" s="63">
        <v>0</v>
      </c>
      <c r="BO162" s="63">
        <v>0</v>
      </c>
      <c r="BP162" s="63">
        <v>0</v>
      </c>
      <c r="BQ162" s="63">
        <v>0</v>
      </c>
      <c r="BR162" s="63">
        <v>0</v>
      </c>
      <c r="BS162" s="63">
        <v>0</v>
      </c>
      <c r="BT162" s="63">
        <v>0</v>
      </c>
      <c r="BU162" s="63">
        <v>0</v>
      </c>
      <c r="BV162" s="63">
        <v>0</v>
      </c>
      <c r="BW162" s="63">
        <v>0</v>
      </c>
      <c r="BX162" s="63">
        <v>0</v>
      </c>
      <c r="BY162" s="63">
        <v>1</v>
      </c>
      <c r="BZ162" s="63">
        <v>0</v>
      </c>
      <c r="CA162" s="63">
        <v>0</v>
      </c>
      <c r="CB162" s="63">
        <v>0</v>
      </c>
      <c r="CC162" s="63">
        <v>0</v>
      </c>
      <c r="CD162" s="63">
        <v>0</v>
      </c>
      <c r="CE162" s="63">
        <v>0</v>
      </c>
      <c r="CF162" s="63">
        <v>0</v>
      </c>
      <c r="CG162" s="63">
        <v>0</v>
      </c>
      <c r="CH162" s="63">
        <v>0</v>
      </c>
      <c r="CI162" s="63">
        <v>0</v>
      </c>
      <c r="CJ162" s="63">
        <v>0</v>
      </c>
      <c r="CK162" s="63">
        <v>1</v>
      </c>
      <c r="CL162" s="63">
        <v>0</v>
      </c>
      <c r="CM162" s="63">
        <v>0</v>
      </c>
      <c r="CN162" s="63">
        <v>0</v>
      </c>
      <c r="CO162" s="63">
        <v>0</v>
      </c>
      <c r="CP162" s="63">
        <v>0</v>
      </c>
      <c r="CQ162" s="63">
        <v>0</v>
      </c>
      <c r="CR162" s="63">
        <v>1</v>
      </c>
      <c r="CS162" s="63">
        <v>0</v>
      </c>
      <c r="CT162" s="63">
        <v>0</v>
      </c>
      <c r="CU162" s="61"/>
    </row>
    <row r="163" spans="2:99" ht="12.75">
      <c r="B163" s="1">
        <v>64</v>
      </c>
      <c r="C163" s="63">
        <v>0</v>
      </c>
      <c r="D163" s="63">
        <v>0</v>
      </c>
      <c r="E163" s="63">
        <v>0</v>
      </c>
      <c r="F163" s="63">
        <v>0</v>
      </c>
      <c r="G163" s="63">
        <v>0</v>
      </c>
      <c r="H163" s="63">
        <v>0</v>
      </c>
      <c r="I163" s="63">
        <v>0</v>
      </c>
      <c r="J163" s="63">
        <v>0</v>
      </c>
      <c r="K163" s="63">
        <v>0</v>
      </c>
      <c r="L163" s="63">
        <v>0</v>
      </c>
      <c r="M163" s="63">
        <v>0</v>
      </c>
      <c r="N163" s="63">
        <v>0</v>
      </c>
      <c r="O163" s="63">
        <v>0</v>
      </c>
      <c r="P163" s="63">
        <v>0</v>
      </c>
      <c r="Q163" s="63">
        <v>0</v>
      </c>
      <c r="R163" s="63">
        <v>0</v>
      </c>
      <c r="S163" s="63">
        <v>0</v>
      </c>
      <c r="T163" s="63">
        <v>0</v>
      </c>
      <c r="U163" s="63">
        <v>0</v>
      </c>
      <c r="V163" s="63">
        <v>0</v>
      </c>
      <c r="W163" s="63">
        <v>0</v>
      </c>
      <c r="X163" s="63">
        <v>0</v>
      </c>
      <c r="Y163" s="63">
        <v>0</v>
      </c>
      <c r="Z163" s="63">
        <v>0</v>
      </c>
      <c r="AA163" s="63">
        <v>0</v>
      </c>
      <c r="AB163" s="63">
        <v>0</v>
      </c>
      <c r="AC163" s="63">
        <v>0</v>
      </c>
      <c r="AD163" s="63">
        <v>0</v>
      </c>
      <c r="AE163" s="63">
        <v>0</v>
      </c>
      <c r="AF163" s="63">
        <v>0</v>
      </c>
      <c r="AG163" s="63">
        <v>0</v>
      </c>
      <c r="AH163" s="63">
        <v>0</v>
      </c>
      <c r="AI163" s="63">
        <v>0</v>
      </c>
      <c r="AJ163" s="63">
        <v>0</v>
      </c>
      <c r="AK163" s="63">
        <v>0</v>
      </c>
      <c r="AL163" s="63">
        <v>0</v>
      </c>
      <c r="AM163" s="63">
        <v>0</v>
      </c>
      <c r="AN163" s="63">
        <v>0</v>
      </c>
      <c r="AO163" s="63">
        <v>0</v>
      </c>
      <c r="AP163" s="63">
        <v>0</v>
      </c>
      <c r="AQ163" s="63">
        <v>1</v>
      </c>
      <c r="AR163" s="63">
        <v>0</v>
      </c>
      <c r="AS163" s="63">
        <v>0</v>
      </c>
      <c r="AT163" s="63">
        <v>0</v>
      </c>
      <c r="AU163" s="63">
        <v>0</v>
      </c>
      <c r="AV163" s="63">
        <v>0</v>
      </c>
      <c r="AW163" s="63">
        <v>0</v>
      </c>
      <c r="AX163" s="63">
        <v>0</v>
      </c>
      <c r="AY163" s="63">
        <v>0</v>
      </c>
      <c r="AZ163" s="63">
        <v>0</v>
      </c>
      <c r="BA163" s="63">
        <v>0</v>
      </c>
      <c r="BB163" s="63">
        <v>0</v>
      </c>
      <c r="BC163" s="63">
        <v>0</v>
      </c>
      <c r="BD163" s="63">
        <v>0</v>
      </c>
      <c r="BE163" s="63">
        <v>0</v>
      </c>
      <c r="BF163" s="63">
        <v>0</v>
      </c>
      <c r="BG163" s="63">
        <v>0</v>
      </c>
      <c r="BH163" s="63">
        <v>0</v>
      </c>
      <c r="BI163" s="63">
        <v>1</v>
      </c>
      <c r="BJ163" s="63">
        <v>0</v>
      </c>
      <c r="BK163" s="63">
        <v>0</v>
      </c>
      <c r="BL163" s="63">
        <v>0</v>
      </c>
      <c r="BM163" s="63">
        <v>0</v>
      </c>
      <c r="BN163" s="63">
        <v>1</v>
      </c>
      <c r="BO163" s="63">
        <v>0</v>
      </c>
      <c r="BP163" s="63">
        <v>0</v>
      </c>
      <c r="BQ163" s="63">
        <v>0</v>
      </c>
      <c r="BR163" s="63">
        <v>0</v>
      </c>
      <c r="BS163" s="63">
        <v>0</v>
      </c>
      <c r="BT163" s="63">
        <v>0</v>
      </c>
      <c r="BU163" s="63">
        <v>0</v>
      </c>
      <c r="BV163" s="63">
        <v>0</v>
      </c>
      <c r="BW163" s="63">
        <v>0</v>
      </c>
      <c r="BX163" s="63">
        <v>0</v>
      </c>
      <c r="BY163" s="63">
        <v>0</v>
      </c>
      <c r="BZ163" s="63">
        <v>0</v>
      </c>
      <c r="CA163" s="63">
        <v>0</v>
      </c>
      <c r="CB163" s="63">
        <v>0</v>
      </c>
      <c r="CC163" s="63">
        <v>0</v>
      </c>
      <c r="CD163" s="63">
        <v>0</v>
      </c>
      <c r="CE163" s="63">
        <v>0</v>
      </c>
      <c r="CF163" s="63">
        <v>0</v>
      </c>
      <c r="CG163" s="63">
        <v>0</v>
      </c>
      <c r="CH163" s="63">
        <v>0</v>
      </c>
      <c r="CI163" s="63">
        <v>0</v>
      </c>
      <c r="CJ163" s="63">
        <v>1</v>
      </c>
      <c r="CK163" s="63">
        <v>1</v>
      </c>
      <c r="CL163" s="63">
        <v>0</v>
      </c>
      <c r="CM163" s="63">
        <v>0</v>
      </c>
      <c r="CN163" s="63">
        <v>0</v>
      </c>
      <c r="CO163" s="63">
        <v>0</v>
      </c>
      <c r="CP163" s="63">
        <v>0</v>
      </c>
      <c r="CQ163" s="63">
        <v>0</v>
      </c>
      <c r="CR163" s="63">
        <v>1</v>
      </c>
      <c r="CS163" s="63">
        <v>1</v>
      </c>
      <c r="CT163" s="63">
        <v>0</v>
      </c>
      <c r="CU163" s="61"/>
    </row>
    <row r="164" spans="2:99" ht="12.75">
      <c r="B164" s="1">
        <v>65</v>
      </c>
      <c r="C164" s="63">
        <v>0</v>
      </c>
      <c r="D164" s="63">
        <v>0</v>
      </c>
      <c r="E164" s="63">
        <v>0</v>
      </c>
      <c r="F164" s="63">
        <v>0</v>
      </c>
      <c r="G164" s="63">
        <v>0</v>
      </c>
      <c r="H164" s="63">
        <v>0</v>
      </c>
      <c r="I164" s="63">
        <v>0</v>
      </c>
      <c r="J164" s="63">
        <v>0</v>
      </c>
      <c r="K164" s="63">
        <v>0</v>
      </c>
      <c r="L164" s="63">
        <v>0</v>
      </c>
      <c r="M164" s="63">
        <v>0</v>
      </c>
      <c r="N164" s="63">
        <v>0</v>
      </c>
      <c r="O164" s="63">
        <v>0</v>
      </c>
      <c r="P164" s="63">
        <v>0</v>
      </c>
      <c r="Q164" s="63">
        <v>0</v>
      </c>
      <c r="R164" s="63">
        <v>0</v>
      </c>
      <c r="S164" s="63">
        <v>0</v>
      </c>
      <c r="T164" s="63">
        <v>0</v>
      </c>
      <c r="U164" s="63">
        <v>0</v>
      </c>
      <c r="V164" s="63">
        <v>0</v>
      </c>
      <c r="W164" s="63">
        <v>0</v>
      </c>
      <c r="X164" s="63">
        <v>0</v>
      </c>
      <c r="Y164" s="63">
        <v>0</v>
      </c>
      <c r="Z164" s="63">
        <v>0</v>
      </c>
      <c r="AA164" s="63">
        <v>0</v>
      </c>
      <c r="AB164" s="63">
        <v>0</v>
      </c>
      <c r="AC164" s="63">
        <v>0</v>
      </c>
      <c r="AD164" s="63">
        <v>0</v>
      </c>
      <c r="AE164" s="63">
        <v>0</v>
      </c>
      <c r="AF164" s="63">
        <v>0</v>
      </c>
      <c r="AG164" s="63">
        <v>0</v>
      </c>
      <c r="AH164" s="63">
        <v>0</v>
      </c>
      <c r="AI164" s="63">
        <v>0</v>
      </c>
      <c r="AJ164" s="63">
        <v>0</v>
      </c>
      <c r="AK164" s="63">
        <v>0</v>
      </c>
      <c r="AL164" s="63">
        <v>0</v>
      </c>
      <c r="AM164" s="63">
        <v>0</v>
      </c>
      <c r="AN164" s="63">
        <v>0</v>
      </c>
      <c r="AO164" s="63">
        <v>0</v>
      </c>
      <c r="AP164" s="63">
        <v>0</v>
      </c>
      <c r="AQ164" s="63">
        <v>0</v>
      </c>
      <c r="AR164" s="63">
        <v>0</v>
      </c>
      <c r="AS164" s="63">
        <v>1</v>
      </c>
      <c r="AT164" s="63">
        <v>0</v>
      </c>
      <c r="AU164" s="63">
        <v>0</v>
      </c>
      <c r="AV164" s="63">
        <v>0</v>
      </c>
      <c r="AW164" s="63">
        <v>0</v>
      </c>
      <c r="AX164" s="63">
        <v>1</v>
      </c>
      <c r="AY164" s="63">
        <v>0</v>
      </c>
      <c r="AZ164" s="63">
        <v>0</v>
      </c>
      <c r="BA164" s="63">
        <v>0</v>
      </c>
      <c r="BB164" s="63">
        <v>0</v>
      </c>
      <c r="BC164" s="63">
        <v>0</v>
      </c>
      <c r="BD164" s="63">
        <v>0</v>
      </c>
      <c r="BE164" s="63">
        <v>0</v>
      </c>
      <c r="BF164" s="63">
        <v>0</v>
      </c>
      <c r="BG164" s="63">
        <v>0</v>
      </c>
      <c r="BH164" s="63">
        <v>0</v>
      </c>
      <c r="BI164" s="63">
        <v>0</v>
      </c>
      <c r="BJ164" s="63">
        <v>0</v>
      </c>
      <c r="BK164" s="63">
        <v>0</v>
      </c>
      <c r="BL164" s="63">
        <v>0</v>
      </c>
      <c r="BM164" s="63">
        <v>0</v>
      </c>
      <c r="BN164" s="63">
        <v>0</v>
      </c>
      <c r="BO164" s="63">
        <v>1</v>
      </c>
      <c r="BP164" s="63">
        <v>0</v>
      </c>
      <c r="BQ164" s="63">
        <v>1</v>
      </c>
      <c r="BR164" s="63">
        <v>0</v>
      </c>
      <c r="BS164" s="63">
        <v>0</v>
      </c>
      <c r="BT164" s="63">
        <v>0</v>
      </c>
      <c r="BU164" s="63">
        <v>0</v>
      </c>
      <c r="BV164" s="63">
        <v>0</v>
      </c>
      <c r="BW164" s="63">
        <v>0</v>
      </c>
      <c r="BX164" s="63">
        <v>0</v>
      </c>
      <c r="BY164" s="63">
        <v>0</v>
      </c>
      <c r="BZ164" s="63">
        <v>0</v>
      </c>
      <c r="CA164" s="63">
        <v>0</v>
      </c>
      <c r="CB164" s="63">
        <v>0</v>
      </c>
      <c r="CC164" s="63">
        <v>0</v>
      </c>
      <c r="CD164" s="63">
        <v>0</v>
      </c>
      <c r="CE164" s="63">
        <v>0</v>
      </c>
      <c r="CF164" s="63">
        <v>0</v>
      </c>
      <c r="CG164" s="63">
        <v>0</v>
      </c>
      <c r="CH164" s="63">
        <v>0</v>
      </c>
      <c r="CI164" s="63">
        <v>0</v>
      </c>
      <c r="CJ164" s="63">
        <v>0</v>
      </c>
      <c r="CK164" s="63">
        <v>0</v>
      </c>
      <c r="CL164" s="63">
        <v>0</v>
      </c>
      <c r="CM164" s="63">
        <v>0</v>
      </c>
      <c r="CN164" s="63">
        <v>0</v>
      </c>
      <c r="CO164" s="63">
        <v>0</v>
      </c>
      <c r="CP164" s="63">
        <v>0</v>
      </c>
      <c r="CQ164" s="63">
        <v>0</v>
      </c>
      <c r="CR164" s="63">
        <v>0</v>
      </c>
      <c r="CS164" s="63">
        <v>0</v>
      </c>
      <c r="CT164" s="63">
        <v>0</v>
      </c>
      <c r="CU164" s="61"/>
    </row>
    <row r="165" spans="2:99" ht="12.75">
      <c r="B165" s="1">
        <v>66</v>
      </c>
      <c r="C165" s="63">
        <v>0</v>
      </c>
      <c r="D165" s="63">
        <v>0</v>
      </c>
      <c r="E165" s="63">
        <v>0</v>
      </c>
      <c r="F165" s="63">
        <v>0</v>
      </c>
      <c r="G165" s="63">
        <v>0</v>
      </c>
      <c r="H165" s="63">
        <v>0</v>
      </c>
      <c r="I165" s="63">
        <v>0</v>
      </c>
      <c r="J165" s="63">
        <v>0</v>
      </c>
      <c r="K165" s="63">
        <v>0</v>
      </c>
      <c r="L165" s="63">
        <v>0</v>
      </c>
      <c r="M165" s="63">
        <v>0</v>
      </c>
      <c r="N165" s="63">
        <v>0</v>
      </c>
      <c r="O165" s="63">
        <v>0</v>
      </c>
      <c r="P165" s="63">
        <v>0</v>
      </c>
      <c r="Q165" s="63">
        <v>0</v>
      </c>
      <c r="R165" s="63">
        <v>0</v>
      </c>
      <c r="S165" s="63">
        <v>0</v>
      </c>
      <c r="T165" s="63">
        <v>0</v>
      </c>
      <c r="U165" s="63">
        <v>0</v>
      </c>
      <c r="V165" s="63">
        <v>0</v>
      </c>
      <c r="W165" s="63">
        <v>0</v>
      </c>
      <c r="X165" s="63">
        <v>1</v>
      </c>
      <c r="Y165" s="63">
        <v>0</v>
      </c>
      <c r="Z165" s="63">
        <v>0</v>
      </c>
      <c r="AA165" s="63">
        <v>0</v>
      </c>
      <c r="AB165" s="63">
        <v>0</v>
      </c>
      <c r="AC165" s="63">
        <v>0</v>
      </c>
      <c r="AD165" s="63">
        <v>0</v>
      </c>
      <c r="AE165" s="63">
        <v>0</v>
      </c>
      <c r="AF165" s="63">
        <v>0</v>
      </c>
      <c r="AG165" s="63">
        <v>0</v>
      </c>
      <c r="AH165" s="63">
        <v>0</v>
      </c>
      <c r="AI165" s="63">
        <v>0</v>
      </c>
      <c r="AJ165" s="63">
        <v>0</v>
      </c>
      <c r="AK165" s="63">
        <v>0</v>
      </c>
      <c r="AL165" s="63">
        <v>0</v>
      </c>
      <c r="AM165" s="63">
        <v>0</v>
      </c>
      <c r="AN165" s="63">
        <v>0</v>
      </c>
      <c r="AO165" s="63">
        <v>0</v>
      </c>
      <c r="AP165" s="63">
        <v>0</v>
      </c>
      <c r="AQ165" s="63">
        <v>0</v>
      </c>
      <c r="AR165" s="63">
        <v>0</v>
      </c>
      <c r="AS165" s="63">
        <v>0</v>
      </c>
      <c r="AT165" s="63">
        <v>0</v>
      </c>
      <c r="AU165" s="63">
        <v>0</v>
      </c>
      <c r="AV165" s="63">
        <v>1</v>
      </c>
      <c r="AW165" s="63">
        <v>0</v>
      </c>
      <c r="AX165" s="63">
        <v>0</v>
      </c>
      <c r="AY165" s="63">
        <v>0</v>
      </c>
      <c r="AZ165" s="63">
        <v>0</v>
      </c>
      <c r="BA165" s="63">
        <v>0</v>
      </c>
      <c r="BB165" s="63">
        <v>0</v>
      </c>
      <c r="BC165" s="63">
        <v>0</v>
      </c>
      <c r="BD165" s="63">
        <v>0</v>
      </c>
      <c r="BE165" s="63">
        <v>0</v>
      </c>
      <c r="BF165" s="63">
        <v>0</v>
      </c>
      <c r="BG165" s="63">
        <v>0</v>
      </c>
      <c r="BH165" s="63">
        <v>0</v>
      </c>
      <c r="BI165" s="63">
        <v>0</v>
      </c>
      <c r="BJ165" s="63">
        <v>0</v>
      </c>
      <c r="BK165" s="63">
        <v>0</v>
      </c>
      <c r="BL165" s="63">
        <v>0</v>
      </c>
      <c r="BM165" s="63">
        <v>0</v>
      </c>
      <c r="BN165" s="63">
        <v>0</v>
      </c>
      <c r="BO165" s="63">
        <v>0</v>
      </c>
      <c r="BP165" s="63">
        <v>1</v>
      </c>
      <c r="BQ165" s="63">
        <v>0</v>
      </c>
      <c r="BR165" s="63">
        <v>0</v>
      </c>
      <c r="BS165" s="63">
        <v>0</v>
      </c>
      <c r="BT165" s="63">
        <v>1</v>
      </c>
      <c r="BU165" s="63">
        <v>0</v>
      </c>
      <c r="BV165" s="63">
        <v>0</v>
      </c>
      <c r="BW165" s="63">
        <v>0</v>
      </c>
      <c r="BX165" s="63">
        <v>0</v>
      </c>
      <c r="BY165" s="63">
        <v>0</v>
      </c>
      <c r="BZ165" s="63">
        <v>0</v>
      </c>
      <c r="CA165" s="63">
        <v>0</v>
      </c>
      <c r="CB165" s="63">
        <v>0</v>
      </c>
      <c r="CC165" s="63">
        <v>0</v>
      </c>
      <c r="CD165" s="63">
        <v>0</v>
      </c>
      <c r="CE165" s="63">
        <v>0</v>
      </c>
      <c r="CF165" s="63">
        <v>0</v>
      </c>
      <c r="CG165" s="63">
        <v>0</v>
      </c>
      <c r="CH165" s="63">
        <v>0</v>
      </c>
      <c r="CI165" s="63">
        <v>0</v>
      </c>
      <c r="CJ165" s="63">
        <v>0</v>
      </c>
      <c r="CK165" s="63">
        <v>0</v>
      </c>
      <c r="CL165" s="63">
        <v>0</v>
      </c>
      <c r="CM165" s="63">
        <v>1</v>
      </c>
      <c r="CN165" s="63">
        <v>0</v>
      </c>
      <c r="CO165" s="63">
        <v>0</v>
      </c>
      <c r="CP165" s="63">
        <v>0</v>
      </c>
      <c r="CQ165" s="63">
        <v>0</v>
      </c>
      <c r="CR165" s="63">
        <v>0</v>
      </c>
      <c r="CS165" s="63">
        <v>0</v>
      </c>
      <c r="CT165" s="63">
        <v>0</v>
      </c>
      <c r="CU165" s="61"/>
    </row>
    <row r="166" spans="2:99" ht="12.75">
      <c r="B166" s="1">
        <v>67</v>
      </c>
      <c r="C166" s="63">
        <v>0</v>
      </c>
      <c r="D166" s="63">
        <v>1</v>
      </c>
      <c r="E166" s="63">
        <v>1</v>
      </c>
      <c r="F166" s="63">
        <v>0</v>
      </c>
      <c r="G166" s="63">
        <v>0</v>
      </c>
      <c r="H166" s="63">
        <v>0</v>
      </c>
      <c r="I166" s="63">
        <v>0</v>
      </c>
      <c r="J166" s="63">
        <v>1</v>
      </c>
      <c r="K166" s="63">
        <v>0</v>
      </c>
      <c r="L166" s="63">
        <v>0</v>
      </c>
      <c r="M166" s="63">
        <v>0</v>
      </c>
      <c r="N166" s="63">
        <v>0</v>
      </c>
      <c r="O166" s="63">
        <v>1</v>
      </c>
      <c r="P166" s="63">
        <v>0</v>
      </c>
      <c r="Q166" s="63">
        <v>0</v>
      </c>
      <c r="R166" s="63">
        <v>0</v>
      </c>
      <c r="S166" s="63">
        <v>0</v>
      </c>
      <c r="T166" s="63">
        <v>0</v>
      </c>
      <c r="U166" s="63">
        <v>0</v>
      </c>
      <c r="V166" s="63">
        <v>0</v>
      </c>
      <c r="W166" s="63">
        <v>0</v>
      </c>
      <c r="X166" s="63">
        <v>0</v>
      </c>
      <c r="Y166" s="63">
        <v>0</v>
      </c>
      <c r="Z166" s="63">
        <v>0</v>
      </c>
      <c r="AA166" s="63">
        <v>0</v>
      </c>
      <c r="AB166" s="63">
        <v>0</v>
      </c>
      <c r="AC166" s="63">
        <v>0</v>
      </c>
      <c r="AD166" s="63">
        <v>0</v>
      </c>
      <c r="AE166" s="63">
        <v>0</v>
      </c>
      <c r="AF166" s="63">
        <v>0</v>
      </c>
      <c r="AG166" s="63">
        <v>0</v>
      </c>
      <c r="AH166" s="63">
        <v>0</v>
      </c>
      <c r="AI166" s="63">
        <v>0</v>
      </c>
      <c r="AJ166" s="63">
        <v>0</v>
      </c>
      <c r="AK166" s="63">
        <v>0</v>
      </c>
      <c r="AL166" s="63">
        <v>0</v>
      </c>
      <c r="AM166" s="63">
        <v>0</v>
      </c>
      <c r="AN166" s="63">
        <v>0</v>
      </c>
      <c r="AO166" s="63">
        <v>0</v>
      </c>
      <c r="AP166" s="63">
        <v>0</v>
      </c>
      <c r="AQ166" s="63">
        <v>0</v>
      </c>
      <c r="AR166" s="63">
        <v>0</v>
      </c>
      <c r="AS166" s="63">
        <v>0</v>
      </c>
      <c r="AT166" s="63">
        <v>0</v>
      </c>
      <c r="AU166" s="63">
        <v>1</v>
      </c>
      <c r="AV166" s="63">
        <v>0</v>
      </c>
      <c r="AW166" s="63">
        <v>0</v>
      </c>
      <c r="AX166" s="63">
        <v>1</v>
      </c>
      <c r="AY166" s="63">
        <v>0</v>
      </c>
      <c r="AZ166" s="63">
        <v>0</v>
      </c>
      <c r="BA166" s="63">
        <v>0</v>
      </c>
      <c r="BB166" s="63">
        <v>0</v>
      </c>
      <c r="BC166" s="63">
        <v>0</v>
      </c>
      <c r="BD166" s="63">
        <v>0</v>
      </c>
      <c r="BE166" s="63">
        <v>0</v>
      </c>
      <c r="BF166" s="63">
        <v>0</v>
      </c>
      <c r="BG166" s="63">
        <v>0</v>
      </c>
      <c r="BH166" s="63">
        <v>1</v>
      </c>
      <c r="BI166" s="63">
        <v>0</v>
      </c>
      <c r="BJ166" s="63">
        <v>0</v>
      </c>
      <c r="BK166" s="63">
        <v>0</v>
      </c>
      <c r="BL166" s="63">
        <v>0</v>
      </c>
      <c r="BM166" s="63">
        <v>0</v>
      </c>
      <c r="BN166" s="63">
        <v>0</v>
      </c>
      <c r="BO166" s="63">
        <v>1</v>
      </c>
      <c r="BP166" s="63">
        <v>0</v>
      </c>
      <c r="BQ166" s="63">
        <v>1</v>
      </c>
      <c r="BR166" s="63">
        <v>0</v>
      </c>
      <c r="BS166" s="63">
        <v>0</v>
      </c>
      <c r="BT166" s="63">
        <v>0</v>
      </c>
      <c r="BU166" s="63">
        <v>0</v>
      </c>
      <c r="BV166" s="63">
        <v>0</v>
      </c>
      <c r="BW166" s="63">
        <v>0</v>
      </c>
      <c r="BX166" s="63">
        <v>0</v>
      </c>
      <c r="BY166" s="63">
        <v>0</v>
      </c>
      <c r="BZ166" s="63">
        <v>0</v>
      </c>
      <c r="CA166" s="63">
        <v>0</v>
      </c>
      <c r="CB166" s="63">
        <v>0</v>
      </c>
      <c r="CC166" s="63">
        <v>0</v>
      </c>
      <c r="CD166" s="63">
        <v>0</v>
      </c>
      <c r="CE166" s="63">
        <v>0</v>
      </c>
      <c r="CF166" s="63">
        <v>0</v>
      </c>
      <c r="CG166" s="63">
        <v>0</v>
      </c>
      <c r="CH166" s="63">
        <v>0</v>
      </c>
      <c r="CI166" s="63">
        <v>0</v>
      </c>
      <c r="CJ166" s="63">
        <v>0</v>
      </c>
      <c r="CK166" s="63">
        <v>0</v>
      </c>
      <c r="CL166" s="63">
        <v>0</v>
      </c>
      <c r="CM166" s="63">
        <v>0</v>
      </c>
      <c r="CN166" s="63">
        <v>0</v>
      </c>
      <c r="CO166" s="63">
        <v>0</v>
      </c>
      <c r="CP166" s="63">
        <v>0</v>
      </c>
      <c r="CQ166" s="63">
        <v>0</v>
      </c>
      <c r="CR166" s="63">
        <v>0</v>
      </c>
      <c r="CS166" s="63">
        <v>0</v>
      </c>
      <c r="CT166" s="63">
        <v>0</v>
      </c>
      <c r="CU166" s="61"/>
    </row>
    <row r="167" spans="2:99" ht="12.75">
      <c r="B167" s="1">
        <v>68</v>
      </c>
      <c r="C167" s="63">
        <v>0</v>
      </c>
      <c r="D167" s="63">
        <v>0</v>
      </c>
      <c r="E167" s="63">
        <v>0</v>
      </c>
      <c r="F167" s="63">
        <v>0</v>
      </c>
      <c r="G167" s="63">
        <v>0</v>
      </c>
      <c r="H167" s="63">
        <v>0</v>
      </c>
      <c r="I167" s="63">
        <v>0</v>
      </c>
      <c r="J167" s="63">
        <v>0</v>
      </c>
      <c r="K167" s="63">
        <v>0</v>
      </c>
      <c r="L167" s="63">
        <v>0</v>
      </c>
      <c r="M167" s="63">
        <v>0</v>
      </c>
      <c r="N167" s="63">
        <v>0</v>
      </c>
      <c r="O167" s="63">
        <v>0</v>
      </c>
      <c r="P167" s="63">
        <v>0</v>
      </c>
      <c r="Q167" s="63">
        <v>0</v>
      </c>
      <c r="R167" s="63">
        <v>0</v>
      </c>
      <c r="S167" s="63">
        <v>0</v>
      </c>
      <c r="T167" s="63">
        <v>0</v>
      </c>
      <c r="U167" s="63">
        <v>0</v>
      </c>
      <c r="V167" s="63">
        <v>0</v>
      </c>
      <c r="W167" s="63">
        <v>0</v>
      </c>
      <c r="X167" s="63">
        <v>0</v>
      </c>
      <c r="Y167" s="63">
        <v>0</v>
      </c>
      <c r="Z167" s="63">
        <v>0</v>
      </c>
      <c r="AA167" s="63">
        <v>1</v>
      </c>
      <c r="AB167" s="63">
        <v>1</v>
      </c>
      <c r="AC167" s="63">
        <v>0</v>
      </c>
      <c r="AD167" s="63">
        <v>0</v>
      </c>
      <c r="AE167" s="63">
        <v>0</v>
      </c>
      <c r="AF167" s="63">
        <v>0</v>
      </c>
      <c r="AG167" s="63">
        <v>0</v>
      </c>
      <c r="AH167" s="63">
        <v>0</v>
      </c>
      <c r="AI167" s="63">
        <v>0</v>
      </c>
      <c r="AJ167" s="63">
        <v>0</v>
      </c>
      <c r="AK167" s="63">
        <v>0</v>
      </c>
      <c r="AL167" s="63">
        <v>0</v>
      </c>
      <c r="AM167" s="63">
        <v>0</v>
      </c>
      <c r="AN167" s="63">
        <v>0</v>
      </c>
      <c r="AO167" s="63">
        <v>1</v>
      </c>
      <c r="AP167" s="63">
        <v>0</v>
      </c>
      <c r="AQ167" s="63">
        <v>0</v>
      </c>
      <c r="AR167" s="63">
        <v>0</v>
      </c>
      <c r="AS167" s="63">
        <v>0</v>
      </c>
      <c r="AT167" s="63">
        <v>1</v>
      </c>
      <c r="AU167" s="63">
        <v>0</v>
      </c>
      <c r="AV167" s="63">
        <v>0</v>
      </c>
      <c r="AW167" s="63">
        <v>0</v>
      </c>
      <c r="AX167" s="63">
        <v>0</v>
      </c>
      <c r="AY167" s="63">
        <v>0</v>
      </c>
      <c r="AZ167" s="63">
        <v>0</v>
      </c>
      <c r="BA167" s="63">
        <v>0</v>
      </c>
      <c r="BB167" s="63">
        <v>0</v>
      </c>
      <c r="BC167" s="63">
        <v>0</v>
      </c>
      <c r="BD167" s="63">
        <v>0</v>
      </c>
      <c r="BE167" s="63">
        <v>0</v>
      </c>
      <c r="BF167" s="63">
        <v>0</v>
      </c>
      <c r="BG167" s="63">
        <v>0</v>
      </c>
      <c r="BH167" s="63">
        <v>0</v>
      </c>
      <c r="BI167" s="63">
        <v>0</v>
      </c>
      <c r="BJ167" s="63">
        <v>0</v>
      </c>
      <c r="BK167" s="63">
        <v>0</v>
      </c>
      <c r="BL167" s="63">
        <v>0</v>
      </c>
      <c r="BM167" s="63">
        <v>0</v>
      </c>
      <c r="BN167" s="63">
        <v>0</v>
      </c>
      <c r="BO167" s="63">
        <v>0</v>
      </c>
      <c r="BP167" s="63">
        <v>0</v>
      </c>
      <c r="BQ167" s="63">
        <v>0</v>
      </c>
      <c r="BR167" s="63">
        <v>1</v>
      </c>
      <c r="BS167" s="63">
        <v>0</v>
      </c>
      <c r="BT167" s="63">
        <v>0</v>
      </c>
      <c r="BU167" s="63">
        <v>0</v>
      </c>
      <c r="BV167" s="63">
        <v>0</v>
      </c>
      <c r="BW167" s="63">
        <v>0</v>
      </c>
      <c r="BX167" s="63">
        <v>0</v>
      </c>
      <c r="BY167" s="63">
        <v>0</v>
      </c>
      <c r="BZ167" s="63">
        <v>0</v>
      </c>
      <c r="CA167" s="63">
        <v>0</v>
      </c>
      <c r="CB167" s="63">
        <v>0</v>
      </c>
      <c r="CC167" s="63">
        <v>0</v>
      </c>
      <c r="CD167" s="63">
        <v>0</v>
      </c>
      <c r="CE167" s="63">
        <v>0</v>
      </c>
      <c r="CF167" s="63">
        <v>1</v>
      </c>
      <c r="CG167" s="63">
        <v>0</v>
      </c>
      <c r="CH167" s="63">
        <v>0</v>
      </c>
      <c r="CI167" s="63">
        <v>0</v>
      </c>
      <c r="CJ167" s="63">
        <v>0</v>
      </c>
      <c r="CK167" s="63">
        <v>0</v>
      </c>
      <c r="CL167" s="63">
        <v>0</v>
      </c>
      <c r="CM167" s="63">
        <v>0</v>
      </c>
      <c r="CN167" s="63">
        <v>0</v>
      </c>
      <c r="CO167" s="63">
        <v>0</v>
      </c>
      <c r="CP167" s="63">
        <v>0</v>
      </c>
      <c r="CQ167" s="63">
        <v>0</v>
      </c>
      <c r="CR167" s="63">
        <v>0</v>
      </c>
      <c r="CS167" s="63">
        <v>0</v>
      </c>
      <c r="CT167" s="63">
        <v>0</v>
      </c>
      <c r="CU167" s="61"/>
    </row>
    <row r="168" spans="2:99" ht="12.75">
      <c r="B168" s="1">
        <v>69</v>
      </c>
      <c r="C168" s="63">
        <v>0</v>
      </c>
      <c r="D168" s="63">
        <v>0</v>
      </c>
      <c r="E168" s="63">
        <v>0</v>
      </c>
      <c r="F168" s="63">
        <v>0</v>
      </c>
      <c r="G168" s="63">
        <v>0</v>
      </c>
      <c r="H168" s="63">
        <v>0</v>
      </c>
      <c r="I168" s="63">
        <v>0</v>
      </c>
      <c r="J168" s="63">
        <v>0</v>
      </c>
      <c r="K168" s="63">
        <v>0</v>
      </c>
      <c r="L168" s="63">
        <v>0</v>
      </c>
      <c r="M168" s="63">
        <v>0</v>
      </c>
      <c r="N168" s="63">
        <v>0</v>
      </c>
      <c r="O168" s="63">
        <v>0</v>
      </c>
      <c r="P168" s="63">
        <v>0</v>
      </c>
      <c r="Q168" s="63">
        <v>0</v>
      </c>
      <c r="R168" s="63">
        <v>1</v>
      </c>
      <c r="S168" s="63">
        <v>0</v>
      </c>
      <c r="T168" s="63">
        <v>0</v>
      </c>
      <c r="U168" s="63">
        <v>0</v>
      </c>
      <c r="V168" s="63">
        <v>0</v>
      </c>
      <c r="W168" s="63">
        <v>0</v>
      </c>
      <c r="X168" s="63">
        <v>0</v>
      </c>
      <c r="Y168" s="63">
        <v>0</v>
      </c>
      <c r="Z168" s="63">
        <v>0</v>
      </c>
      <c r="AA168" s="63">
        <v>0</v>
      </c>
      <c r="AB168" s="63">
        <v>0</v>
      </c>
      <c r="AC168" s="63">
        <v>0</v>
      </c>
      <c r="AD168" s="63">
        <v>0</v>
      </c>
      <c r="AE168" s="63">
        <v>0</v>
      </c>
      <c r="AF168" s="63">
        <v>0</v>
      </c>
      <c r="AG168" s="63">
        <v>0</v>
      </c>
      <c r="AH168" s="63">
        <v>0</v>
      </c>
      <c r="AI168" s="63">
        <v>0</v>
      </c>
      <c r="AJ168" s="63">
        <v>0</v>
      </c>
      <c r="AK168" s="63">
        <v>0</v>
      </c>
      <c r="AL168" s="63">
        <v>1</v>
      </c>
      <c r="AM168" s="63">
        <v>0</v>
      </c>
      <c r="AN168" s="63">
        <v>0</v>
      </c>
      <c r="AO168" s="63">
        <v>0</v>
      </c>
      <c r="AP168" s="63">
        <v>0</v>
      </c>
      <c r="AQ168" s="63">
        <v>0</v>
      </c>
      <c r="AR168" s="63">
        <v>0</v>
      </c>
      <c r="AS168" s="63">
        <v>0</v>
      </c>
      <c r="AT168" s="63">
        <v>0</v>
      </c>
      <c r="AU168" s="63">
        <v>1</v>
      </c>
      <c r="AV168" s="63">
        <v>0</v>
      </c>
      <c r="AW168" s="63">
        <v>0</v>
      </c>
      <c r="AX168" s="63">
        <v>0</v>
      </c>
      <c r="AY168" s="63">
        <v>0</v>
      </c>
      <c r="AZ168" s="63">
        <v>0</v>
      </c>
      <c r="BA168" s="63">
        <v>0</v>
      </c>
      <c r="BB168" s="63">
        <v>0</v>
      </c>
      <c r="BC168" s="63">
        <v>0</v>
      </c>
      <c r="BD168" s="63">
        <v>0</v>
      </c>
      <c r="BE168" s="63">
        <v>0</v>
      </c>
      <c r="BF168" s="63">
        <v>0</v>
      </c>
      <c r="BG168" s="63">
        <v>1</v>
      </c>
      <c r="BH168" s="63">
        <v>0</v>
      </c>
      <c r="BI168" s="63">
        <v>0</v>
      </c>
      <c r="BJ168" s="63">
        <v>0</v>
      </c>
      <c r="BK168" s="63">
        <v>0</v>
      </c>
      <c r="BL168" s="63">
        <v>0</v>
      </c>
      <c r="BM168" s="63">
        <v>0</v>
      </c>
      <c r="BN168" s="63">
        <v>0</v>
      </c>
      <c r="BO168" s="63">
        <v>0</v>
      </c>
      <c r="BP168" s="63">
        <v>0</v>
      </c>
      <c r="BQ168" s="63">
        <v>0</v>
      </c>
      <c r="BR168" s="63">
        <v>0</v>
      </c>
      <c r="BS168" s="63">
        <v>1</v>
      </c>
      <c r="BT168" s="63">
        <v>0</v>
      </c>
      <c r="BU168" s="63">
        <v>0</v>
      </c>
      <c r="BV168" s="63">
        <v>0</v>
      </c>
      <c r="BW168" s="63">
        <v>0</v>
      </c>
      <c r="BX168" s="63">
        <v>0</v>
      </c>
      <c r="BY168" s="63">
        <v>0</v>
      </c>
      <c r="BZ168" s="63">
        <v>0</v>
      </c>
      <c r="CA168" s="63">
        <v>0</v>
      </c>
      <c r="CB168" s="63">
        <v>0</v>
      </c>
      <c r="CC168" s="63">
        <v>0</v>
      </c>
      <c r="CD168" s="63">
        <v>0</v>
      </c>
      <c r="CE168" s="63">
        <v>0</v>
      </c>
      <c r="CF168" s="63">
        <v>0</v>
      </c>
      <c r="CG168" s="63">
        <v>0</v>
      </c>
      <c r="CH168" s="63">
        <v>0</v>
      </c>
      <c r="CI168" s="63">
        <v>0</v>
      </c>
      <c r="CJ168" s="63">
        <v>0</v>
      </c>
      <c r="CK168" s="63">
        <v>0</v>
      </c>
      <c r="CL168" s="63">
        <v>0</v>
      </c>
      <c r="CM168" s="63">
        <v>0</v>
      </c>
      <c r="CN168" s="63">
        <v>0</v>
      </c>
      <c r="CO168" s="63">
        <v>0</v>
      </c>
      <c r="CP168" s="63">
        <v>0</v>
      </c>
      <c r="CQ168" s="63">
        <v>0</v>
      </c>
      <c r="CR168" s="63">
        <v>0</v>
      </c>
      <c r="CS168" s="63">
        <v>0</v>
      </c>
      <c r="CT168" s="63">
        <v>0</v>
      </c>
      <c r="CU168" s="61"/>
    </row>
    <row r="169" spans="2:99" ht="12.75">
      <c r="B169" s="1">
        <v>70</v>
      </c>
      <c r="C169" s="63">
        <v>0</v>
      </c>
      <c r="D169" s="63">
        <v>0</v>
      </c>
      <c r="E169" s="63">
        <v>0</v>
      </c>
      <c r="F169" s="63">
        <v>0</v>
      </c>
      <c r="G169" s="63">
        <v>0</v>
      </c>
      <c r="H169" s="63">
        <v>0</v>
      </c>
      <c r="I169" s="63">
        <v>0</v>
      </c>
      <c r="J169" s="63">
        <v>0</v>
      </c>
      <c r="K169" s="63">
        <v>0</v>
      </c>
      <c r="L169" s="63">
        <v>0</v>
      </c>
      <c r="M169" s="63">
        <v>0</v>
      </c>
      <c r="N169" s="63">
        <v>0</v>
      </c>
      <c r="O169" s="63">
        <v>0</v>
      </c>
      <c r="P169" s="63">
        <v>0</v>
      </c>
      <c r="Q169" s="63">
        <v>0</v>
      </c>
      <c r="R169" s="63">
        <v>0</v>
      </c>
      <c r="S169" s="63">
        <v>0</v>
      </c>
      <c r="T169" s="63">
        <v>0</v>
      </c>
      <c r="U169" s="63">
        <v>0</v>
      </c>
      <c r="V169" s="63">
        <v>0</v>
      </c>
      <c r="W169" s="63">
        <v>0</v>
      </c>
      <c r="X169" s="63">
        <v>0</v>
      </c>
      <c r="Y169" s="63">
        <v>0</v>
      </c>
      <c r="Z169" s="63">
        <v>0</v>
      </c>
      <c r="AA169" s="63">
        <v>0</v>
      </c>
      <c r="AB169" s="63">
        <v>0</v>
      </c>
      <c r="AC169" s="63">
        <v>0</v>
      </c>
      <c r="AD169" s="63">
        <v>0</v>
      </c>
      <c r="AE169" s="63">
        <v>0</v>
      </c>
      <c r="AF169" s="63">
        <v>0</v>
      </c>
      <c r="AG169" s="63">
        <v>0</v>
      </c>
      <c r="AH169" s="63">
        <v>0</v>
      </c>
      <c r="AI169" s="63">
        <v>0</v>
      </c>
      <c r="AJ169" s="63">
        <v>0</v>
      </c>
      <c r="AK169" s="63">
        <v>0</v>
      </c>
      <c r="AL169" s="63">
        <v>0</v>
      </c>
      <c r="AM169" s="63">
        <v>0</v>
      </c>
      <c r="AN169" s="63">
        <v>0</v>
      </c>
      <c r="AO169" s="63">
        <v>0</v>
      </c>
      <c r="AP169" s="63">
        <v>0</v>
      </c>
      <c r="AQ169" s="63">
        <v>0</v>
      </c>
      <c r="AR169" s="63">
        <v>0</v>
      </c>
      <c r="AS169" s="63">
        <v>0</v>
      </c>
      <c r="AT169" s="63">
        <v>0</v>
      </c>
      <c r="AU169" s="63">
        <v>0</v>
      </c>
      <c r="AV169" s="63">
        <v>1</v>
      </c>
      <c r="AW169" s="63">
        <v>0</v>
      </c>
      <c r="AX169" s="63">
        <v>0</v>
      </c>
      <c r="AY169" s="63">
        <v>0</v>
      </c>
      <c r="AZ169" s="63">
        <v>0</v>
      </c>
      <c r="BA169" s="63">
        <v>0</v>
      </c>
      <c r="BB169" s="63">
        <v>0</v>
      </c>
      <c r="BC169" s="63">
        <v>0</v>
      </c>
      <c r="BD169" s="63">
        <v>0</v>
      </c>
      <c r="BE169" s="63">
        <v>0</v>
      </c>
      <c r="BF169" s="63">
        <v>1</v>
      </c>
      <c r="BG169" s="63">
        <v>0</v>
      </c>
      <c r="BH169" s="63">
        <v>0</v>
      </c>
      <c r="BI169" s="63">
        <v>0</v>
      </c>
      <c r="BJ169" s="63">
        <v>0</v>
      </c>
      <c r="BK169" s="63">
        <v>0</v>
      </c>
      <c r="BL169" s="63">
        <v>0</v>
      </c>
      <c r="BM169" s="63">
        <v>0</v>
      </c>
      <c r="BN169" s="63">
        <v>0</v>
      </c>
      <c r="BO169" s="63">
        <v>0</v>
      </c>
      <c r="BP169" s="63">
        <v>1</v>
      </c>
      <c r="BQ169" s="63">
        <v>0</v>
      </c>
      <c r="BR169" s="63">
        <v>0</v>
      </c>
      <c r="BS169" s="63">
        <v>0</v>
      </c>
      <c r="BT169" s="63">
        <v>1</v>
      </c>
      <c r="BU169" s="63">
        <v>1</v>
      </c>
      <c r="BV169" s="63">
        <v>1</v>
      </c>
      <c r="BW169" s="63">
        <v>0</v>
      </c>
      <c r="BX169" s="63">
        <v>0</v>
      </c>
      <c r="BY169" s="63">
        <v>0</v>
      </c>
      <c r="BZ169" s="63">
        <v>1</v>
      </c>
      <c r="CA169" s="63">
        <v>0</v>
      </c>
      <c r="CB169" s="63">
        <v>0</v>
      </c>
      <c r="CC169" s="63">
        <v>0</v>
      </c>
      <c r="CD169" s="63">
        <v>0</v>
      </c>
      <c r="CE169" s="63">
        <v>0</v>
      </c>
      <c r="CF169" s="63">
        <v>0</v>
      </c>
      <c r="CG169" s="63">
        <v>0</v>
      </c>
      <c r="CH169" s="63">
        <v>0</v>
      </c>
      <c r="CI169" s="63">
        <v>0</v>
      </c>
      <c r="CJ169" s="63">
        <v>0</v>
      </c>
      <c r="CK169" s="63">
        <v>0</v>
      </c>
      <c r="CL169" s="63">
        <v>0</v>
      </c>
      <c r="CM169" s="63">
        <v>1</v>
      </c>
      <c r="CN169" s="63">
        <v>0</v>
      </c>
      <c r="CO169" s="63">
        <v>1</v>
      </c>
      <c r="CP169" s="63">
        <v>0</v>
      </c>
      <c r="CQ169" s="63">
        <v>0</v>
      </c>
      <c r="CR169" s="63">
        <v>0</v>
      </c>
      <c r="CS169" s="63">
        <v>0</v>
      </c>
      <c r="CT169" s="63">
        <v>0</v>
      </c>
      <c r="CU169" s="61"/>
    </row>
    <row r="170" spans="2:99" ht="12.75">
      <c r="B170" s="1">
        <v>71</v>
      </c>
      <c r="C170" s="63">
        <v>0</v>
      </c>
      <c r="D170" s="63">
        <v>0</v>
      </c>
      <c r="E170" s="63">
        <v>0</v>
      </c>
      <c r="F170" s="63">
        <v>0</v>
      </c>
      <c r="G170" s="63">
        <v>0</v>
      </c>
      <c r="H170" s="63">
        <v>0</v>
      </c>
      <c r="I170" s="63">
        <v>0</v>
      </c>
      <c r="J170" s="63">
        <v>0</v>
      </c>
      <c r="K170" s="63">
        <v>0</v>
      </c>
      <c r="L170" s="63">
        <v>1</v>
      </c>
      <c r="M170" s="63">
        <v>0</v>
      </c>
      <c r="N170" s="63">
        <v>0</v>
      </c>
      <c r="O170" s="63">
        <v>0</v>
      </c>
      <c r="P170" s="63">
        <v>0</v>
      </c>
      <c r="Q170" s="63">
        <v>0</v>
      </c>
      <c r="R170" s="63">
        <v>0</v>
      </c>
      <c r="S170" s="63">
        <v>0</v>
      </c>
      <c r="T170" s="63">
        <v>0</v>
      </c>
      <c r="U170" s="63">
        <v>0</v>
      </c>
      <c r="V170" s="63">
        <v>0</v>
      </c>
      <c r="W170" s="63">
        <v>0</v>
      </c>
      <c r="X170" s="63">
        <v>0</v>
      </c>
      <c r="Y170" s="63">
        <v>0</v>
      </c>
      <c r="Z170" s="63">
        <v>0</v>
      </c>
      <c r="AA170" s="63">
        <v>0</v>
      </c>
      <c r="AB170" s="63">
        <v>0</v>
      </c>
      <c r="AC170" s="63">
        <v>0</v>
      </c>
      <c r="AD170" s="63">
        <v>0</v>
      </c>
      <c r="AE170" s="63">
        <v>0</v>
      </c>
      <c r="AF170" s="63">
        <v>0</v>
      </c>
      <c r="AG170" s="63">
        <v>0</v>
      </c>
      <c r="AH170" s="63">
        <v>0</v>
      </c>
      <c r="AI170" s="63">
        <v>0</v>
      </c>
      <c r="AJ170" s="63">
        <v>0</v>
      </c>
      <c r="AK170" s="63">
        <v>0</v>
      </c>
      <c r="AL170" s="63">
        <v>0</v>
      </c>
      <c r="AM170" s="63">
        <v>0</v>
      </c>
      <c r="AN170" s="63">
        <v>0</v>
      </c>
      <c r="AO170" s="63">
        <v>0</v>
      </c>
      <c r="AP170" s="63">
        <v>0</v>
      </c>
      <c r="AQ170" s="63">
        <v>0</v>
      </c>
      <c r="AR170" s="63">
        <v>0</v>
      </c>
      <c r="AS170" s="63">
        <v>0</v>
      </c>
      <c r="AT170" s="63">
        <v>0</v>
      </c>
      <c r="AU170" s="63">
        <v>0</v>
      </c>
      <c r="AV170" s="63">
        <v>1</v>
      </c>
      <c r="AW170" s="63">
        <v>0</v>
      </c>
      <c r="AX170" s="63">
        <v>0</v>
      </c>
      <c r="AY170" s="63">
        <v>0</v>
      </c>
      <c r="AZ170" s="63">
        <v>0</v>
      </c>
      <c r="BA170" s="63">
        <v>0</v>
      </c>
      <c r="BB170" s="63">
        <v>0</v>
      </c>
      <c r="BC170" s="63">
        <v>0</v>
      </c>
      <c r="BD170" s="63">
        <v>0</v>
      </c>
      <c r="BE170" s="63">
        <v>1</v>
      </c>
      <c r="BF170" s="63">
        <v>0</v>
      </c>
      <c r="BG170" s="63">
        <v>0</v>
      </c>
      <c r="BH170" s="63">
        <v>0</v>
      </c>
      <c r="BI170" s="63">
        <v>0</v>
      </c>
      <c r="BJ170" s="63">
        <v>0</v>
      </c>
      <c r="BK170" s="63">
        <v>0</v>
      </c>
      <c r="BL170" s="63">
        <v>0</v>
      </c>
      <c r="BM170" s="63">
        <v>0</v>
      </c>
      <c r="BN170" s="63">
        <v>0</v>
      </c>
      <c r="BO170" s="63">
        <v>0</v>
      </c>
      <c r="BP170" s="63">
        <v>0</v>
      </c>
      <c r="BQ170" s="63">
        <v>0</v>
      </c>
      <c r="BR170" s="63">
        <v>0</v>
      </c>
      <c r="BS170" s="63">
        <v>0</v>
      </c>
      <c r="BT170" s="63">
        <v>1</v>
      </c>
      <c r="BU170" s="63">
        <v>1</v>
      </c>
      <c r="BV170" s="63">
        <v>1</v>
      </c>
      <c r="BW170" s="63">
        <v>0</v>
      </c>
      <c r="BX170" s="63">
        <v>0</v>
      </c>
      <c r="BY170" s="63">
        <v>0</v>
      </c>
      <c r="BZ170" s="63">
        <v>0</v>
      </c>
      <c r="CA170" s="63">
        <v>0</v>
      </c>
      <c r="CB170" s="63">
        <v>0</v>
      </c>
      <c r="CC170" s="63">
        <v>0</v>
      </c>
      <c r="CD170" s="63">
        <v>0</v>
      </c>
      <c r="CE170" s="63">
        <v>0</v>
      </c>
      <c r="CF170" s="63">
        <v>0</v>
      </c>
      <c r="CG170" s="63">
        <v>0</v>
      </c>
      <c r="CH170" s="63">
        <v>0</v>
      </c>
      <c r="CI170" s="63">
        <v>0</v>
      </c>
      <c r="CJ170" s="63">
        <v>0</v>
      </c>
      <c r="CK170" s="63">
        <v>0</v>
      </c>
      <c r="CL170" s="63">
        <v>0</v>
      </c>
      <c r="CM170" s="63">
        <v>0</v>
      </c>
      <c r="CN170" s="63">
        <v>1</v>
      </c>
      <c r="CO170" s="63">
        <v>0</v>
      </c>
      <c r="CP170" s="63">
        <v>0</v>
      </c>
      <c r="CQ170" s="63">
        <v>0</v>
      </c>
      <c r="CR170" s="63">
        <v>0</v>
      </c>
      <c r="CS170" s="63">
        <v>0</v>
      </c>
      <c r="CT170" s="63">
        <v>0</v>
      </c>
      <c r="CU170" s="61"/>
    </row>
    <row r="171" spans="2:99" ht="12.75">
      <c r="B171" s="1">
        <v>72</v>
      </c>
      <c r="C171" s="63">
        <v>0</v>
      </c>
      <c r="D171" s="63">
        <v>0</v>
      </c>
      <c r="E171" s="63">
        <v>0</v>
      </c>
      <c r="F171" s="63">
        <v>0</v>
      </c>
      <c r="G171" s="63">
        <v>0</v>
      </c>
      <c r="H171" s="63">
        <v>0</v>
      </c>
      <c r="I171" s="63">
        <v>0</v>
      </c>
      <c r="J171" s="63">
        <v>0</v>
      </c>
      <c r="K171" s="63">
        <v>0</v>
      </c>
      <c r="L171" s="63">
        <v>0</v>
      </c>
      <c r="M171" s="63">
        <v>0</v>
      </c>
      <c r="N171" s="63">
        <v>0</v>
      </c>
      <c r="O171" s="63">
        <v>0</v>
      </c>
      <c r="P171" s="63">
        <v>0</v>
      </c>
      <c r="Q171" s="63">
        <v>0</v>
      </c>
      <c r="R171" s="63">
        <v>0</v>
      </c>
      <c r="S171" s="63">
        <v>0</v>
      </c>
      <c r="T171" s="63">
        <v>0</v>
      </c>
      <c r="U171" s="63">
        <v>0</v>
      </c>
      <c r="V171" s="63">
        <v>0</v>
      </c>
      <c r="W171" s="63">
        <v>0</v>
      </c>
      <c r="X171" s="63">
        <v>0</v>
      </c>
      <c r="Y171" s="63">
        <v>0</v>
      </c>
      <c r="Z171" s="63">
        <v>0</v>
      </c>
      <c r="AA171" s="63">
        <v>0</v>
      </c>
      <c r="AB171" s="63">
        <v>0</v>
      </c>
      <c r="AC171" s="63">
        <v>0</v>
      </c>
      <c r="AD171" s="63">
        <v>0</v>
      </c>
      <c r="AE171" s="63">
        <v>0</v>
      </c>
      <c r="AF171" s="63">
        <v>0</v>
      </c>
      <c r="AG171" s="63">
        <v>0</v>
      </c>
      <c r="AH171" s="63">
        <v>0</v>
      </c>
      <c r="AI171" s="63">
        <v>0</v>
      </c>
      <c r="AJ171" s="63">
        <v>1</v>
      </c>
      <c r="AK171" s="63">
        <v>0</v>
      </c>
      <c r="AL171" s="63">
        <v>0</v>
      </c>
      <c r="AM171" s="63">
        <v>0</v>
      </c>
      <c r="AN171" s="63">
        <v>0</v>
      </c>
      <c r="AO171" s="63">
        <v>0</v>
      </c>
      <c r="AP171" s="63">
        <v>0</v>
      </c>
      <c r="AQ171" s="63">
        <v>0</v>
      </c>
      <c r="AR171" s="63">
        <v>0</v>
      </c>
      <c r="AS171" s="63">
        <v>0</v>
      </c>
      <c r="AT171" s="63">
        <v>0</v>
      </c>
      <c r="AU171" s="63">
        <v>0</v>
      </c>
      <c r="AV171" s="63">
        <v>0</v>
      </c>
      <c r="AW171" s="63">
        <v>0</v>
      </c>
      <c r="AX171" s="63">
        <v>0</v>
      </c>
      <c r="AY171" s="63">
        <v>0</v>
      </c>
      <c r="AZ171" s="63">
        <v>0</v>
      </c>
      <c r="BA171" s="63">
        <v>0</v>
      </c>
      <c r="BB171" s="63">
        <v>0</v>
      </c>
      <c r="BC171" s="63">
        <v>0</v>
      </c>
      <c r="BD171" s="63">
        <v>0</v>
      </c>
      <c r="BE171" s="63">
        <v>0</v>
      </c>
      <c r="BF171" s="63">
        <v>0</v>
      </c>
      <c r="BG171" s="63">
        <v>0</v>
      </c>
      <c r="BH171" s="63">
        <v>0</v>
      </c>
      <c r="BI171" s="63">
        <v>0</v>
      </c>
      <c r="BJ171" s="63">
        <v>0</v>
      </c>
      <c r="BK171" s="63">
        <v>0</v>
      </c>
      <c r="BL171" s="63">
        <v>0</v>
      </c>
      <c r="BM171" s="63">
        <v>0</v>
      </c>
      <c r="BN171" s="63">
        <v>0</v>
      </c>
      <c r="BO171" s="63">
        <v>0</v>
      </c>
      <c r="BP171" s="63">
        <v>0</v>
      </c>
      <c r="BQ171" s="63">
        <v>0</v>
      </c>
      <c r="BR171" s="63">
        <v>0</v>
      </c>
      <c r="BS171" s="63">
        <v>0</v>
      </c>
      <c r="BT171" s="63">
        <v>1</v>
      </c>
      <c r="BU171" s="63">
        <v>1</v>
      </c>
      <c r="BV171" s="63">
        <v>1</v>
      </c>
      <c r="BW171" s="63">
        <v>0</v>
      </c>
      <c r="BX171" s="63">
        <v>0</v>
      </c>
      <c r="BY171" s="63">
        <v>0</v>
      </c>
      <c r="BZ171" s="63">
        <v>1</v>
      </c>
      <c r="CA171" s="63">
        <v>0</v>
      </c>
      <c r="CB171" s="63">
        <v>0</v>
      </c>
      <c r="CC171" s="63">
        <v>0</v>
      </c>
      <c r="CD171" s="63">
        <v>0</v>
      </c>
      <c r="CE171" s="63">
        <v>0</v>
      </c>
      <c r="CF171" s="63">
        <v>0</v>
      </c>
      <c r="CG171" s="63">
        <v>0</v>
      </c>
      <c r="CH171" s="63">
        <v>0</v>
      </c>
      <c r="CI171" s="63">
        <v>1</v>
      </c>
      <c r="CJ171" s="63">
        <v>0</v>
      </c>
      <c r="CK171" s="63">
        <v>0</v>
      </c>
      <c r="CL171" s="63">
        <v>0</v>
      </c>
      <c r="CM171" s="63">
        <v>0</v>
      </c>
      <c r="CN171" s="63">
        <v>1</v>
      </c>
      <c r="CO171" s="63">
        <v>0</v>
      </c>
      <c r="CP171" s="63">
        <v>0</v>
      </c>
      <c r="CQ171" s="63">
        <v>0</v>
      </c>
      <c r="CR171" s="63">
        <v>0</v>
      </c>
      <c r="CS171" s="63">
        <v>0</v>
      </c>
      <c r="CT171" s="63">
        <v>0</v>
      </c>
      <c r="CU171" s="61"/>
    </row>
    <row r="172" spans="2:99" ht="12.75">
      <c r="B172" s="1">
        <v>73</v>
      </c>
      <c r="C172" s="63">
        <v>0</v>
      </c>
      <c r="D172" s="63">
        <v>0</v>
      </c>
      <c r="E172" s="63">
        <v>0</v>
      </c>
      <c r="F172" s="63">
        <v>0</v>
      </c>
      <c r="G172" s="63">
        <v>0</v>
      </c>
      <c r="H172" s="63">
        <v>0</v>
      </c>
      <c r="I172" s="63">
        <v>0</v>
      </c>
      <c r="J172" s="63">
        <v>0</v>
      </c>
      <c r="K172" s="63">
        <v>0</v>
      </c>
      <c r="L172" s="63">
        <v>0</v>
      </c>
      <c r="M172" s="63">
        <v>0</v>
      </c>
      <c r="N172" s="63">
        <v>0</v>
      </c>
      <c r="O172" s="63">
        <v>0</v>
      </c>
      <c r="P172" s="63">
        <v>0</v>
      </c>
      <c r="Q172" s="63">
        <v>0</v>
      </c>
      <c r="R172" s="63">
        <v>0</v>
      </c>
      <c r="S172" s="63">
        <v>0</v>
      </c>
      <c r="T172" s="63">
        <v>0</v>
      </c>
      <c r="U172" s="63">
        <v>0</v>
      </c>
      <c r="V172" s="63">
        <v>0</v>
      </c>
      <c r="W172" s="63">
        <v>0</v>
      </c>
      <c r="X172" s="63">
        <v>0</v>
      </c>
      <c r="Y172" s="63">
        <v>0</v>
      </c>
      <c r="Z172" s="63">
        <v>0</v>
      </c>
      <c r="AA172" s="63">
        <v>0</v>
      </c>
      <c r="AB172" s="63">
        <v>0</v>
      </c>
      <c r="AC172" s="63">
        <v>0</v>
      </c>
      <c r="AD172" s="63">
        <v>0</v>
      </c>
      <c r="AE172" s="63">
        <v>0</v>
      </c>
      <c r="AF172" s="63">
        <v>0</v>
      </c>
      <c r="AG172" s="63">
        <v>0</v>
      </c>
      <c r="AH172" s="63">
        <v>0</v>
      </c>
      <c r="AI172" s="63">
        <v>0</v>
      </c>
      <c r="AJ172" s="63">
        <v>0</v>
      </c>
      <c r="AK172" s="63">
        <v>0</v>
      </c>
      <c r="AL172" s="63">
        <v>0</v>
      </c>
      <c r="AM172" s="63">
        <v>0</v>
      </c>
      <c r="AN172" s="63">
        <v>0</v>
      </c>
      <c r="AO172" s="63">
        <v>0</v>
      </c>
      <c r="AP172" s="63">
        <v>1</v>
      </c>
      <c r="AQ172" s="63">
        <v>0</v>
      </c>
      <c r="AR172" s="63">
        <v>0</v>
      </c>
      <c r="AS172" s="63">
        <v>0</v>
      </c>
      <c r="AT172" s="63">
        <v>0</v>
      </c>
      <c r="AU172" s="63">
        <v>0</v>
      </c>
      <c r="AV172" s="63">
        <v>0</v>
      </c>
      <c r="AW172" s="63">
        <v>0</v>
      </c>
      <c r="AX172" s="63">
        <v>0</v>
      </c>
      <c r="AY172" s="63">
        <v>0</v>
      </c>
      <c r="AZ172" s="63">
        <v>0</v>
      </c>
      <c r="BA172" s="63">
        <v>0</v>
      </c>
      <c r="BB172" s="63">
        <v>0</v>
      </c>
      <c r="BC172" s="63">
        <v>0</v>
      </c>
      <c r="BD172" s="63">
        <v>0</v>
      </c>
      <c r="BE172" s="63">
        <v>0</v>
      </c>
      <c r="BF172" s="63">
        <v>0</v>
      </c>
      <c r="BG172" s="63">
        <v>0</v>
      </c>
      <c r="BH172" s="63">
        <v>0</v>
      </c>
      <c r="BI172" s="63">
        <v>0</v>
      </c>
      <c r="BJ172" s="63">
        <v>0</v>
      </c>
      <c r="BK172" s="63">
        <v>0</v>
      </c>
      <c r="BL172" s="63">
        <v>0</v>
      </c>
      <c r="BM172" s="63">
        <v>0</v>
      </c>
      <c r="BN172" s="63">
        <v>0</v>
      </c>
      <c r="BO172" s="63">
        <v>0</v>
      </c>
      <c r="BP172" s="63">
        <v>0</v>
      </c>
      <c r="BQ172" s="63">
        <v>0</v>
      </c>
      <c r="BR172" s="63">
        <v>0</v>
      </c>
      <c r="BS172" s="63">
        <v>0</v>
      </c>
      <c r="BT172" s="63">
        <v>0</v>
      </c>
      <c r="BU172" s="63">
        <v>0</v>
      </c>
      <c r="BV172" s="63">
        <v>0</v>
      </c>
      <c r="BW172" s="63">
        <v>1</v>
      </c>
      <c r="BX172" s="63">
        <v>1</v>
      </c>
      <c r="BY172" s="63">
        <v>0</v>
      </c>
      <c r="BZ172" s="63">
        <v>0</v>
      </c>
      <c r="CA172" s="63">
        <v>1</v>
      </c>
      <c r="CB172" s="63">
        <v>0</v>
      </c>
      <c r="CC172" s="63">
        <v>0</v>
      </c>
      <c r="CD172" s="63">
        <v>0</v>
      </c>
      <c r="CE172" s="63">
        <v>0</v>
      </c>
      <c r="CF172" s="63">
        <v>0</v>
      </c>
      <c r="CG172" s="63">
        <v>0</v>
      </c>
      <c r="CH172" s="63">
        <v>0</v>
      </c>
      <c r="CI172" s="63">
        <v>0</v>
      </c>
      <c r="CJ172" s="63">
        <v>0</v>
      </c>
      <c r="CK172" s="63">
        <v>0</v>
      </c>
      <c r="CL172" s="63">
        <v>0</v>
      </c>
      <c r="CM172" s="63">
        <v>0</v>
      </c>
      <c r="CN172" s="63">
        <v>0</v>
      </c>
      <c r="CO172" s="63">
        <v>0</v>
      </c>
      <c r="CP172" s="63">
        <v>1</v>
      </c>
      <c r="CQ172" s="63">
        <v>1</v>
      </c>
      <c r="CR172" s="63">
        <v>0</v>
      </c>
      <c r="CS172" s="63">
        <v>0</v>
      </c>
      <c r="CT172" s="63">
        <v>0</v>
      </c>
      <c r="CU172" s="61"/>
    </row>
    <row r="173" spans="2:99" ht="12.75">
      <c r="B173" s="1">
        <v>74</v>
      </c>
      <c r="C173" s="63">
        <v>0</v>
      </c>
      <c r="D173" s="63">
        <v>0</v>
      </c>
      <c r="E173" s="63">
        <v>0</v>
      </c>
      <c r="F173" s="63">
        <v>0</v>
      </c>
      <c r="G173" s="63">
        <v>0</v>
      </c>
      <c r="H173" s="63">
        <v>0</v>
      </c>
      <c r="I173" s="63">
        <v>0</v>
      </c>
      <c r="J173" s="63">
        <v>0</v>
      </c>
      <c r="K173" s="63">
        <v>0</v>
      </c>
      <c r="L173" s="63">
        <v>0</v>
      </c>
      <c r="M173" s="63">
        <v>0</v>
      </c>
      <c r="N173" s="63">
        <v>0</v>
      </c>
      <c r="O173" s="63">
        <v>0</v>
      </c>
      <c r="P173" s="63">
        <v>0</v>
      </c>
      <c r="Q173" s="63">
        <v>0</v>
      </c>
      <c r="R173" s="63">
        <v>0</v>
      </c>
      <c r="S173" s="63">
        <v>0</v>
      </c>
      <c r="T173" s="63">
        <v>0</v>
      </c>
      <c r="U173" s="63">
        <v>0</v>
      </c>
      <c r="V173" s="63">
        <v>0</v>
      </c>
      <c r="W173" s="63">
        <v>0</v>
      </c>
      <c r="X173" s="63">
        <v>0</v>
      </c>
      <c r="Y173" s="63">
        <v>0</v>
      </c>
      <c r="Z173" s="63">
        <v>0</v>
      </c>
      <c r="AA173" s="63">
        <v>0</v>
      </c>
      <c r="AB173" s="63">
        <v>0</v>
      </c>
      <c r="AC173" s="63">
        <v>0</v>
      </c>
      <c r="AD173" s="63">
        <v>0</v>
      </c>
      <c r="AE173" s="63">
        <v>0</v>
      </c>
      <c r="AF173" s="63">
        <v>0</v>
      </c>
      <c r="AG173" s="63">
        <v>0</v>
      </c>
      <c r="AH173" s="63">
        <v>0</v>
      </c>
      <c r="AI173" s="63">
        <v>0</v>
      </c>
      <c r="AJ173" s="63">
        <v>0</v>
      </c>
      <c r="AK173" s="63">
        <v>0</v>
      </c>
      <c r="AL173" s="63">
        <v>0</v>
      </c>
      <c r="AM173" s="63">
        <v>0</v>
      </c>
      <c r="AN173" s="63">
        <v>0</v>
      </c>
      <c r="AO173" s="63">
        <v>0</v>
      </c>
      <c r="AP173" s="63">
        <v>0</v>
      </c>
      <c r="AQ173" s="63">
        <v>1</v>
      </c>
      <c r="AR173" s="63">
        <v>0</v>
      </c>
      <c r="AS173" s="63">
        <v>0</v>
      </c>
      <c r="AT173" s="63">
        <v>0</v>
      </c>
      <c r="AU173" s="63">
        <v>0</v>
      </c>
      <c r="AV173" s="63">
        <v>0</v>
      </c>
      <c r="AW173" s="63">
        <v>0</v>
      </c>
      <c r="AX173" s="63">
        <v>0</v>
      </c>
      <c r="AY173" s="63">
        <v>0</v>
      </c>
      <c r="AZ173" s="63">
        <v>0</v>
      </c>
      <c r="BA173" s="63">
        <v>0</v>
      </c>
      <c r="BB173" s="63">
        <v>0</v>
      </c>
      <c r="BC173" s="63">
        <v>0</v>
      </c>
      <c r="BD173" s="63">
        <v>0</v>
      </c>
      <c r="BE173" s="63">
        <v>0</v>
      </c>
      <c r="BF173" s="63">
        <v>0</v>
      </c>
      <c r="BG173" s="63">
        <v>0</v>
      </c>
      <c r="BH173" s="63">
        <v>0</v>
      </c>
      <c r="BI173" s="63">
        <v>1</v>
      </c>
      <c r="BJ173" s="63">
        <v>0</v>
      </c>
      <c r="BK173" s="63">
        <v>0</v>
      </c>
      <c r="BL173" s="63">
        <v>0</v>
      </c>
      <c r="BM173" s="63">
        <v>0</v>
      </c>
      <c r="BN173" s="63">
        <v>0</v>
      </c>
      <c r="BO173" s="63">
        <v>0</v>
      </c>
      <c r="BP173" s="63">
        <v>0</v>
      </c>
      <c r="BQ173" s="63">
        <v>0</v>
      </c>
      <c r="BR173" s="63">
        <v>0</v>
      </c>
      <c r="BS173" s="63">
        <v>0</v>
      </c>
      <c r="BT173" s="63">
        <v>0</v>
      </c>
      <c r="BU173" s="63">
        <v>0</v>
      </c>
      <c r="BV173" s="63">
        <v>0</v>
      </c>
      <c r="BW173" s="63">
        <v>1</v>
      </c>
      <c r="BX173" s="63">
        <v>1</v>
      </c>
      <c r="BY173" s="63">
        <v>0</v>
      </c>
      <c r="BZ173" s="63">
        <v>0</v>
      </c>
      <c r="CA173" s="63">
        <v>0</v>
      </c>
      <c r="CB173" s="63">
        <v>0</v>
      </c>
      <c r="CC173" s="63">
        <v>0</v>
      </c>
      <c r="CD173" s="63">
        <v>0</v>
      </c>
      <c r="CE173" s="63">
        <v>0</v>
      </c>
      <c r="CF173" s="63">
        <v>0</v>
      </c>
      <c r="CG173" s="63">
        <v>0</v>
      </c>
      <c r="CH173" s="63">
        <v>0</v>
      </c>
      <c r="CI173" s="63">
        <v>0</v>
      </c>
      <c r="CJ173" s="63">
        <v>0</v>
      </c>
      <c r="CK173" s="63">
        <v>0</v>
      </c>
      <c r="CL173" s="63">
        <v>0</v>
      </c>
      <c r="CM173" s="63">
        <v>0</v>
      </c>
      <c r="CN173" s="63">
        <v>0</v>
      </c>
      <c r="CO173" s="63">
        <v>0</v>
      </c>
      <c r="CP173" s="63">
        <v>1</v>
      </c>
      <c r="CQ173" s="63">
        <v>0</v>
      </c>
      <c r="CR173" s="63">
        <v>0</v>
      </c>
      <c r="CS173" s="63">
        <v>0</v>
      </c>
      <c r="CT173" s="63">
        <v>0</v>
      </c>
      <c r="CU173" s="61"/>
    </row>
    <row r="174" spans="2:99" ht="12.75">
      <c r="B174" s="1">
        <v>75</v>
      </c>
      <c r="C174" s="63">
        <v>0</v>
      </c>
      <c r="D174" s="63">
        <v>0</v>
      </c>
      <c r="E174" s="63">
        <v>0</v>
      </c>
      <c r="F174" s="63">
        <v>0</v>
      </c>
      <c r="G174" s="63">
        <v>0</v>
      </c>
      <c r="H174" s="63">
        <v>0</v>
      </c>
      <c r="I174" s="63">
        <v>0</v>
      </c>
      <c r="J174" s="63">
        <v>0</v>
      </c>
      <c r="K174" s="63">
        <v>0</v>
      </c>
      <c r="L174" s="63">
        <v>0</v>
      </c>
      <c r="M174" s="63">
        <v>0</v>
      </c>
      <c r="N174" s="63">
        <v>0</v>
      </c>
      <c r="O174" s="63">
        <v>0</v>
      </c>
      <c r="P174" s="63">
        <v>0</v>
      </c>
      <c r="Q174" s="63">
        <v>0</v>
      </c>
      <c r="R174" s="63">
        <v>0</v>
      </c>
      <c r="S174" s="63">
        <v>0</v>
      </c>
      <c r="T174" s="63">
        <v>0</v>
      </c>
      <c r="U174" s="63">
        <v>0</v>
      </c>
      <c r="V174" s="63">
        <v>0</v>
      </c>
      <c r="W174" s="63">
        <v>0</v>
      </c>
      <c r="X174" s="63">
        <v>0</v>
      </c>
      <c r="Y174" s="63">
        <v>0</v>
      </c>
      <c r="Z174" s="63">
        <v>0</v>
      </c>
      <c r="AA174" s="63">
        <v>0</v>
      </c>
      <c r="AB174" s="63">
        <v>0</v>
      </c>
      <c r="AC174" s="63">
        <v>0</v>
      </c>
      <c r="AD174" s="63">
        <v>0</v>
      </c>
      <c r="AE174" s="63">
        <v>0</v>
      </c>
      <c r="AF174" s="63">
        <v>0</v>
      </c>
      <c r="AG174" s="63">
        <v>0</v>
      </c>
      <c r="AH174" s="63">
        <v>0</v>
      </c>
      <c r="AI174" s="63">
        <v>0</v>
      </c>
      <c r="AJ174" s="63">
        <v>0</v>
      </c>
      <c r="AK174" s="63">
        <v>0</v>
      </c>
      <c r="AL174" s="63">
        <v>0</v>
      </c>
      <c r="AM174" s="63">
        <v>0</v>
      </c>
      <c r="AN174" s="63">
        <v>0</v>
      </c>
      <c r="AO174" s="63">
        <v>0</v>
      </c>
      <c r="AP174" s="63">
        <v>0</v>
      </c>
      <c r="AQ174" s="63">
        <v>0</v>
      </c>
      <c r="AR174" s="63">
        <v>0</v>
      </c>
      <c r="AS174" s="63">
        <v>0</v>
      </c>
      <c r="AT174" s="63">
        <v>0</v>
      </c>
      <c r="AU174" s="63">
        <v>0</v>
      </c>
      <c r="AV174" s="63">
        <v>0</v>
      </c>
      <c r="AW174" s="63">
        <v>0</v>
      </c>
      <c r="AX174" s="63">
        <v>0</v>
      </c>
      <c r="AY174" s="63">
        <v>0</v>
      </c>
      <c r="AZ174" s="63">
        <v>0</v>
      </c>
      <c r="BA174" s="63">
        <v>1</v>
      </c>
      <c r="BB174" s="63">
        <v>0</v>
      </c>
      <c r="BC174" s="63">
        <v>0</v>
      </c>
      <c r="BD174" s="63">
        <v>1</v>
      </c>
      <c r="BE174" s="63">
        <v>0</v>
      </c>
      <c r="BF174" s="63">
        <v>1</v>
      </c>
      <c r="BG174" s="63">
        <v>0</v>
      </c>
      <c r="BH174" s="63">
        <v>0</v>
      </c>
      <c r="BI174" s="63">
        <v>1</v>
      </c>
      <c r="BJ174" s="63">
        <v>0</v>
      </c>
      <c r="BK174" s="63">
        <v>0</v>
      </c>
      <c r="BL174" s="63">
        <v>0</v>
      </c>
      <c r="BM174" s="63">
        <v>1</v>
      </c>
      <c r="BN174" s="63">
        <v>0</v>
      </c>
      <c r="BO174" s="63">
        <v>0</v>
      </c>
      <c r="BP174" s="63">
        <v>0</v>
      </c>
      <c r="BQ174" s="63">
        <v>0</v>
      </c>
      <c r="BR174" s="63">
        <v>0</v>
      </c>
      <c r="BS174" s="63">
        <v>0</v>
      </c>
      <c r="BT174" s="63">
        <v>0</v>
      </c>
      <c r="BU174" s="63">
        <v>0</v>
      </c>
      <c r="BV174" s="63">
        <v>0</v>
      </c>
      <c r="BW174" s="63">
        <v>0</v>
      </c>
      <c r="BX174" s="63">
        <v>0</v>
      </c>
      <c r="BY174" s="63">
        <v>1</v>
      </c>
      <c r="BZ174" s="63">
        <v>0</v>
      </c>
      <c r="CA174" s="63">
        <v>0</v>
      </c>
      <c r="CB174" s="63">
        <v>0</v>
      </c>
      <c r="CC174" s="63">
        <v>0</v>
      </c>
      <c r="CD174" s="63">
        <v>0</v>
      </c>
      <c r="CE174" s="63">
        <v>0</v>
      </c>
      <c r="CF174" s="63">
        <v>0</v>
      </c>
      <c r="CG174" s="63">
        <v>0</v>
      </c>
      <c r="CH174" s="63">
        <v>0</v>
      </c>
      <c r="CI174" s="63">
        <v>0</v>
      </c>
      <c r="CJ174" s="63">
        <v>0</v>
      </c>
      <c r="CK174" s="63">
        <v>1</v>
      </c>
      <c r="CL174" s="63">
        <v>1</v>
      </c>
      <c r="CM174" s="63">
        <v>0</v>
      </c>
      <c r="CN174" s="63">
        <v>0</v>
      </c>
      <c r="CO174" s="63">
        <v>1</v>
      </c>
      <c r="CP174" s="63">
        <v>0</v>
      </c>
      <c r="CQ174" s="63">
        <v>0</v>
      </c>
      <c r="CR174" s="63">
        <v>1</v>
      </c>
      <c r="CS174" s="63">
        <v>0</v>
      </c>
      <c r="CT174" s="63">
        <v>0</v>
      </c>
      <c r="CU174" s="61"/>
    </row>
    <row r="175" spans="2:99" ht="12.75">
      <c r="B175" s="1">
        <v>76</v>
      </c>
      <c r="C175" s="63">
        <v>0</v>
      </c>
      <c r="D175" s="63">
        <v>0</v>
      </c>
      <c r="E175" s="63">
        <v>0</v>
      </c>
      <c r="F175" s="63">
        <v>0</v>
      </c>
      <c r="G175" s="63">
        <v>0</v>
      </c>
      <c r="H175" s="63">
        <v>0</v>
      </c>
      <c r="I175" s="63">
        <v>0</v>
      </c>
      <c r="J175" s="63">
        <v>0</v>
      </c>
      <c r="K175" s="63">
        <v>0</v>
      </c>
      <c r="L175" s="63">
        <v>0</v>
      </c>
      <c r="M175" s="63">
        <v>0</v>
      </c>
      <c r="N175" s="63">
        <v>1</v>
      </c>
      <c r="O175" s="63">
        <v>0</v>
      </c>
      <c r="P175" s="63">
        <v>0</v>
      </c>
      <c r="Q175" s="63">
        <v>0</v>
      </c>
      <c r="R175" s="63">
        <v>0</v>
      </c>
      <c r="S175" s="63">
        <v>0</v>
      </c>
      <c r="T175" s="63">
        <v>0</v>
      </c>
      <c r="U175" s="63">
        <v>0</v>
      </c>
      <c r="V175" s="63">
        <v>1</v>
      </c>
      <c r="W175" s="63">
        <v>0</v>
      </c>
      <c r="X175" s="63">
        <v>0</v>
      </c>
      <c r="Y175" s="63">
        <v>0</v>
      </c>
      <c r="Z175" s="63">
        <v>0</v>
      </c>
      <c r="AA175" s="63">
        <v>0</v>
      </c>
      <c r="AB175" s="63">
        <v>0</v>
      </c>
      <c r="AC175" s="63">
        <v>0</v>
      </c>
      <c r="AD175" s="63">
        <v>0</v>
      </c>
      <c r="AE175" s="63">
        <v>0</v>
      </c>
      <c r="AF175" s="63">
        <v>0</v>
      </c>
      <c r="AG175" s="63">
        <v>0</v>
      </c>
      <c r="AH175" s="63">
        <v>0</v>
      </c>
      <c r="AI175" s="63">
        <v>0</v>
      </c>
      <c r="AJ175" s="63">
        <v>1</v>
      </c>
      <c r="AK175" s="63">
        <v>0</v>
      </c>
      <c r="AL175" s="63">
        <v>0</v>
      </c>
      <c r="AM175" s="63">
        <v>0</v>
      </c>
      <c r="AN175" s="63">
        <v>1</v>
      </c>
      <c r="AO175" s="63">
        <v>0</v>
      </c>
      <c r="AP175" s="63">
        <v>1</v>
      </c>
      <c r="AQ175" s="63">
        <v>0</v>
      </c>
      <c r="AR175" s="63">
        <v>0</v>
      </c>
      <c r="AS175" s="63">
        <v>0</v>
      </c>
      <c r="AT175" s="63">
        <v>0</v>
      </c>
      <c r="AU175" s="63">
        <v>0</v>
      </c>
      <c r="AV175" s="63">
        <v>0</v>
      </c>
      <c r="AW175" s="63">
        <v>0</v>
      </c>
      <c r="AX175" s="63">
        <v>0</v>
      </c>
      <c r="AY175" s="63">
        <v>0</v>
      </c>
      <c r="AZ175" s="63">
        <v>0</v>
      </c>
      <c r="BA175" s="63">
        <v>0</v>
      </c>
      <c r="BB175" s="63">
        <v>0</v>
      </c>
      <c r="BC175" s="63">
        <v>0</v>
      </c>
      <c r="BD175" s="63">
        <v>0</v>
      </c>
      <c r="BE175" s="63">
        <v>0</v>
      </c>
      <c r="BF175" s="63">
        <v>1</v>
      </c>
      <c r="BG175" s="63">
        <v>0</v>
      </c>
      <c r="BH175" s="63">
        <v>0</v>
      </c>
      <c r="BI175" s="63">
        <v>0</v>
      </c>
      <c r="BJ175" s="63">
        <v>0</v>
      </c>
      <c r="BK175" s="63">
        <v>0</v>
      </c>
      <c r="BL175" s="63">
        <v>1</v>
      </c>
      <c r="BM175" s="63">
        <v>0</v>
      </c>
      <c r="BN175" s="63">
        <v>0</v>
      </c>
      <c r="BO175" s="63">
        <v>0</v>
      </c>
      <c r="BP175" s="63">
        <v>0</v>
      </c>
      <c r="BQ175" s="63">
        <v>0</v>
      </c>
      <c r="BR175" s="63">
        <v>0</v>
      </c>
      <c r="BS175" s="63">
        <v>0</v>
      </c>
      <c r="BT175" s="63">
        <v>1</v>
      </c>
      <c r="BU175" s="63">
        <v>0</v>
      </c>
      <c r="BV175" s="63">
        <v>1</v>
      </c>
      <c r="BW175" s="63">
        <v>0</v>
      </c>
      <c r="BX175" s="63">
        <v>0</v>
      </c>
      <c r="BY175" s="63">
        <v>0</v>
      </c>
      <c r="BZ175" s="63">
        <v>1</v>
      </c>
      <c r="CA175" s="63">
        <v>0</v>
      </c>
      <c r="CB175" s="63">
        <v>0</v>
      </c>
      <c r="CC175" s="63">
        <v>0</v>
      </c>
      <c r="CD175" s="63">
        <v>0</v>
      </c>
      <c r="CE175" s="63">
        <v>0</v>
      </c>
      <c r="CF175" s="63">
        <v>0</v>
      </c>
      <c r="CG175" s="63">
        <v>0</v>
      </c>
      <c r="CH175" s="63">
        <v>0</v>
      </c>
      <c r="CI175" s="63">
        <v>0</v>
      </c>
      <c r="CJ175" s="63">
        <v>0</v>
      </c>
      <c r="CK175" s="63">
        <v>0</v>
      </c>
      <c r="CL175" s="63">
        <v>0</v>
      </c>
      <c r="CM175" s="63">
        <v>0</v>
      </c>
      <c r="CN175" s="63">
        <v>0</v>
      </c>
      <c r="CO175" s="63">
        <v>0</v>
      </c>
      <c r="CP175" s="63">
        <v>0</v>
      </c>
      <c r="CQ175" s="63">
        <v>0</v>
      </c>
      <c r="CR175" s="63">
        <v>0</v>
      </c>
      <c r="CS175" s="63">
        <v>0</v>
      </c>
      <c r="CT175" s="63">
        <v>0</v>
      </c>
      <c r="CU175" s="61"/>
    </row>
    <row r="176" spans="2:99" ht="12.75">
      <c r="B176" s="1">
        <v>77</v>
      </c>
      <c r="C176" s="63">
        <v>0</v>
      </c>
      <c r="D176" s="63">
        <v>0</v>
      </c>
      <c r="E176" s="63">
        <v>0</v>
      </c>
      <c r="F176" s="63">
        <v>0</v>
      </c>
      <c r="G176" s="63">
        <v>0</v>
      </c>
      <c r="H176" s="63">
        <v>0</v>
      </c>
      <c r="I176" s="63">
        <v>0</v>
      </c>
      <c r="J176" s="63">
        <v>0</v>
      </c>
      <c r="K176" s="63">
        <v>0</v>
      </c>
      <c r="L176" s="63">
        <v>0</v>
      </c>
      <c r="M176" s="63">
        <v>0</v>
      </c>
      <c r="N176" s="63">
        <v>1</v>
      </c>
      <c r="O176" s="63">
        <v>0</v>
      </c>
      <c r="P176" s="63">
        <v>0</v>
      </c>
      <c r="Q176" s="63">
        <v>0</v>
      </c>
      <c r="R176" s="63">
        <v>0</v>
      </c>
      <c r="S176" s="63">
        <v>0</v>
      </c>
      <c r="T176" s="63">
        <v>0</v>
      </c>
      <c r="U176" s="63">
        <v>0</v>
      </c>
      <c r="V176" s="63">
        <v>1</v>
      </c>
      <c r="W176" s="63">
        <v>0</v>
      </c>
      <c r="X176" s="63">
        <v>0</v>
      </c>
      <c r="Y176" s="63">
        <v>0</v>
      </c>
      <c r="Z176" s="63">
        <v>0</v>
      </c>
      <c r="AA176" s="63">
        <v>0</v>
      </c>
      <c r="AB176" s="63">
        <v>0</v>
      </c>
      <c r="AC176" s="63">
        <v>0</v>
      </c>
      <c r="AD176" s="63">
        <v>0</v>
      </c>
      <c r="AE176" s="63">
        <v>0</v>
      </c>
      <c r="AF176" s="63">
        <v>0</v>
      </c>
      <c r="AG176" s="63">
        <v>0</v>
      </c>
      <c r="AH176" s="63">
        <v>0</v>
      </c>
      <c r="AI176" s="63">
        <v>0</v>
      </c>
      <c r="AJ176" s="63">
        <v>0</v>
      </c>
      <c r="AK176" s="63">
        <v>0</v>
      </c>
      <c r="AL176" s="63">
        <v>0</v>
      </c>
      <c r="AM176" s="63">
        <v>0</v>
      </c>
      <c r="AN176" s="63">
        <v>0</v>
      </c>
      <c r="AO176" s="63">
        <v>0</v>
      </c>
      <c r="AP176" s="63">
        <v>1</v>
      </c>
      <c r="AQ176" s="63">
        <v>0</v>
      </c>
      <c r="AR176" s="63">
        <v>0</v>
      </c>
      <c r="AS176" s="63">
        <v>0</v>
      </c>
      <c r="AT176" s="63">
        <v>0</v>
      </c>
      <c r="AU176" s="63">
        <v>0</v>
      </c>
      <c r="AV176" s="63">
        <v>0</v>
      </c>
      <c r="AW176" s="63">
        <v>0</v>
      </c>
      <c r="AX176" s="63">
        <v>0</v>
      </c>
      <c r="AY176" s="63">
        <v>0</v>
      </c>
      <c r="AZ176" s="63">
        <v>0</v>
      </c>
      <c r="BA176" s="63">
        <v>0</v>
      </c>
      <c r="BB176" s="63">
        <v>0</v>
      </c>
      <c r="BC176" s="63">
        <v>0</v>
      </c>
      <c r="BD176" s="63">
        <v>0</v>
      </c>
      <c r="BE176" s="63">
        <v>0</v>
      </c>
      <c r="BF176" s="63">
        <v>0</v>
      </c>
      <c r="BG176" s="63">
        <v>0</v>
      </c>
      <c r="BH176" s="63">
        <v>0</v>
      </c>
      <c r="BI176" s="63">
        <v>0</v>
      </c>
      <c r="BJ176" s="63">
        <v>0</v>
      </c>
      <c r="BK176" s="63">
        <v>1</v>
      </c>
      <c r="BL176" s="63">
        <v>0</v>
      </c>
      <c r="BM176" s="63">
        <v>0</v>
      </c>
      <c r="BN176" s="63">
        <v>0</v>
      </c>
      <c r="BO176" s="63">
        <v>0</v>
      </c>
      <c r="BP176" s="63">
        <v>0</v>
      </c>
      <c r="BQ176" s="63">
        <v>0</v>
      </c>
      <c r="BR176" s="63">
        <v>0</v>
      </c>
      <c r="BS176" s="63">
        <v>0</v>
      </c>
      <c r="BT176" s="63">
        <v>0</v>
      </c>
      <c r="BU176" s="63">
        <v>0</v>
      </c>
      <c r="BV176" s="63">
        <v>0</v>
      </c>
      <c r="BW176" s="63">
        <v>1</v>
      </c>
      <c r="BX176" s="63">
        <v>0</v>
      </c>
      <c r="BY176" s="63">
        <v>0</v>
      </c>
      <c r="BZ176" s="63">
        <v>0</v>
      </c>
      <c r="CA176" s="63">
        <v>1</v>
      </c>
      <c r="CB176" s="63">
        <v>0</v>
      </c>
      <c r="CC176" s="63">
        <v>0</v>
      </c>
      <c r="CD176" s="63">
        <v>0</v>
      </c>
      <c r="CE176" s="63">
        <v>0</v>
      </c>
      <c r="CF176" s="63">
        <v>0</v>
      </c>
      <c r="CG176" s="63">
        <v>0</v>
      </c>
      <c r="CH176" s="63">
        <v>0</v>
      </c>
      <c r="CI176" s="63">
        <v>0</v>
      </c>
      <c r="CJ176" s="63">
        <v>0</v>
      </c>
      <c r="CK176" s="63">
        <v>0</v>
      </c>
      <c r="CL176" s="63">
        <v>0</v>
      </c>
      <c r="CM176" s="63">
        <v>0</v>
      </c>
      <c r="CN176" s="63">
        <v>0</v>
      </c>
      <c r="CO176" s="63">
        <v>0</v>
      </c>
      <c r="CP176" s="63">
        <v>0</v>
      </c>
      <c r="CQ176" s="63">
        <v>0</v>
      </c>
      <c r="CR176" s="63">
        <v>0</v>
      </c>
      <c r="CS176" s="63">
        <v>0</v>
      </c>
      <c r="CT176" s="63">
        <v>0</v>
      </c>
      <c r="CU176" s="61"/>
    </row>
    <row r="177" spans="2:99" ht="12.75">
      <c r="B177" s="1">
        <v>78</v>
      </c>
      <c r="C177" s="63">
        <v>0</v>
      </c>
      <c r="D177" s="63">
        <v>0</v>
      </c>
      <c r="E177" s="63">
        <v>0</v>
      </c>
      <c r="F177" s="63">
        <v>0</v>
      </c>
      <c r="G177" s="63">
        <v>0</v>
      </c>
      <c r="H177" s="63">
        <v>0</v>
      </c>
      <c r="I177" s="63">
        <v>0</v>
      </c>
      <c r="J177" s="63">
        <v>0</v>
      </c>
      <c r="K177" s="63">
        <v>0</v>
      </c>
      <c r="L177" s="63">
        <v>0</v>
      </c>
      <c r="M177" s="63">
        <v>0</v>
      </c>
      <c r="N177" s="63">
        <v>1</v>
      </c>
      <c r="O177" s="63">
        <v>0</v>
      </c>
      <c r="P177" s="63">
        <v>0</v>
      </c>
      <c r="Q177" s="63">
        <v>0</v>
      </c>
      <c r="R177" s="63">
        <v>0</v>
      </c>
      <c r="S177" s="63">
        <v>0</v>
      </c>
      <c r="T177" s="63">
        <v>0</v>
      </c>
      <c r="U177" s="63">
        <v>0</v>
      </c>
      <c r="V177" s="63">
        <v>0</v>
      </c>
      <c r="W177" s="63">
        <v>0</v>
      </c>
      <c r="X177" s="63">
        <v>0</v>
      </c>
      <c r="Y177" s="63">
        <v>0</v>
      </c>
      <c r="Z177" s="63">
        <v>0</v>
      </c>
      <c r="AA177" s="63">
        <v>0</v>
      </c>
      <c r="AB177" s="63">
        <v>0</v>
      </c>
      <c r="AC177" s="63">
        <v>0</v>
      </c>
      <c r="AD177" s="63">
        <v>0</v>
      </c>
      <c r="AE177" s="63">
        <v>0</v>
      </c>
      <c r="AF177" s="63">
        <v>0</v>
      </c>
      <c r="AG177" s="63">
        <v>0</v>
      </c>
      <c r="AH177" s="63">
        <v>0</v>
      </c>
      <c r="AI177" s="63">
        <v>0</v>
      </c>
      <c r="AJ177" s="63">
        <v>0</v>
      </c>
      <c r="AK177" s="63">
        <v>0</v>
      </c>
      <c r="AL177" s="63">
        <v>0</v>
      </c>
      <c r="AM177" s="63">
        <v>0</v>
      </c>
      <c r="AN177" s="63">
        <v>1</v>
      </c>
      <c r="AO177" s="63">
        <v>0</v>
      </c>
      <c r="AP177" s="63">
        <v>0</v>
      </c>
      <c r="AQ177" s="63">
        <v>0</v>
      </c>
      <c r="AR177" s="63">
        <v>0</v>
      </c>
      <c r="AS177" s="63">
        <v>0</v>
      </c>
      <c r="AT177" s="63">
        <v>0</v>
      </c>
      <c r="AU177" s="63">
        <v>0</v>
      </c>
      <c r="AV177" s="63">
        <v>0</v>
      </c>
      <c r="AW177" s="63">
        <v>0</v>
      </c>
      <c r="AX177" s="63">
        <v>0</v>
      </c>
      <c r="AY177" s="63">
        <v>0</v>
      </c>
      <c r="AZ177" s="63">
        <v>0</v>
      </c>
      <c r="BA177" s="63">
        <v>0</v>
      </c>
      <c r="BB177" s="63">
        <v>1</v>
      </c>
      <c r="BC177" s="63">
        <v>0</v>
      </c>
      <c r="BD177" s="63">
        <v>0</v>
      </c>
      <c r="BE177" s="63">
        <v>0</v>
      </c>
      <c r="BF177" s="63">
        <v>0</v>
      </c>
      <c r="BG177" s="63">
        <v>0</v>
      </c>
      <c r="BH177" s="63">
        <v>0</v>
      </c>
      <c r="BI177" s="63">
        <v>0</v>
      </c>
      <c r="BJ177" s="63">
        <v>0</v>
      </c>
      <c r="BK177" s="63">
        <v>1</v>
      </c>
      <c r="BL177" s="63">
        <v>1</v>
      </c>
      <c r="BM177" s="63">
        <v>0</v>
      </c>
      <c r="BN177" s="63">
        <v>0</v>
      </c>
      <c r="BO177" s="63">
        <v>0</v>
      </c>
      <c r="BP177" s="63">
        <v>0</v>
      </c>
      <c r="BQ177" s="63">
        <v>0</v>
      </c>
      <c r="BR177" s="63">
        <v>0</v>
      </c>
      <c r="BS177" s="63">
        <v>0</v>
      </c>
      <c r="BT177" s="63">
        <v>0</v>
      </c>
      <c r="BU177" s="63">
        <v>0</v>
      </c>
      <c r="BV177" s="63">
        <v>0</v>
      </c>
      <c r="BW177" s="63">
        <v>0</v>
      </c>
      <c r="BX177" s="63">
        <v>0</v>
      </c>
      <c r="BY177" s="63">
        <v>0</v>
      </c>
      <c r="BZ177" s="63">
        <v>0</v>
      </c>
      <c r="CA177" s="63">
        <v>0</v>
      </c>
      <c r="CB177" s="63">
        <v>1</v>
      </c>
      <c r="CC177" s="63">
        <v>0</v>
      </c>
      <c r="CD177" s="63">
        <v>0</v>
      </c>
      <c r="CE177" s="63">
        <v>0</v>
      </c>
      <c r="CF177" s="63">
        <v>0</v>
      </c>
      <c r="CG177" s="63">
        <v>0</v>
      </c>
      <c r="CH177" s="63">
        <v>0</v>
      </c>
      <c r="CI177" s="63">
        <v>0</v>
      </c>
      <c r="CJ177" s="63">
        <v>0</v>
      </c>
      <c r="CK177" s="63">
        <v>0</v>
      </c>
      <c r="CL177" s="63">
        <v>0</v>
      </c>
      <c r="CM177" s="63">
        <v>0</v>
      </c>
      <c r="CN177" s="63">
        <v>0</v>
      </c>
      <c r="CO177" s="63">
        <v>0</v>
      </c>
      <c r="CP177" s="63">
        <v>0</v>
      </c>
      <c r="CQ177" s="63">
        <v>0</v>
      </c>
      <c r="CR177" s="63">
        <v>0</v>
      </c>
      <c r="CS177" s="63">
        <v>0</v>
      </c>
      <c r="CT177" s="63">
        <v>0</v>
      </c>
      <c r="CU177" s="61"/>
    </row>
    <row r="178" spans="2:99" ht="12.75">
      <c r="B178" s="1">
        <v>79</v>
      </c>
      <c r="C178" s="63">
        <v>0</v>
      </c>
      <c r="D178" s="63">
        <v>0</v>
      </c>
      <c r="E178" s="63">
        <v>0</v>
      </c>
      <c r="F178" s="63">
        <v>0</v>
      </c>
      <c r="G178" s="63">
        <v>0</v>
      </c>
      <c r="H178" s="63">
        <v>0</v>
      </c>
      <c r="I178" s="63">
        <v>0</v>
      </c>
      <c r="J178" s="63">
        <v>0</v>
      </c>
      <c r="K178" s="63">
        <v>0</v>
      </c>
      <c r="L178" s="63">
        <v>0</v>
      </c>
      <c r="M178" s="63">
        <v>0</v>
      </c>
      <c r="N178" s="63">
        <v>0</v>
      </c>
      <c r="O178" s="63">
        <v>0</v>
      </c>
      <c r="P178" s="63">
        <v>0</v>
      </c>
      <c r="Q178" s="63">
        <v>0</v>
      </c>
      <c r="R178" s="63">
        <v>0</v>
      </c>
      <c r="S178" s="63">
        <v>0</v>
      </c>
      <c r="T178" s="63">
        <v>0</v>
      </c>
      <c r="U178" s="63">
        <v>0</v>
      </c>
      <c r="V178" s="63">
        <v>0</v>
      </c>
      <c r="W178" s="63">
        <v>0</v>
      </c>
      <c r="X178" s="63">
        <v>0</v>
      </c>
      <c r="Y178" s="63">
        <v>0</v>
      </c>
      <c r="Z178" s="63">
        <v>0</v>
      </c>
      <c r="AA178" s="63">
        <v>0</v>
      </c>
      <c r="AB178" s="63">
        <v>0</v>
      </c>
      <c r="AC178" s="63">
        <v>0</v>
      </c>
      <c r="AD178" s="63">
        <v>0</v>
      </c>
      <c r="AE178" s="63">
        <v>0</v>
      </c>
      <c r="AF178" s="63">
        <v>0</v>
      </c>
      <c r="AG178" s="63">
        <v>0</v>
      </c>
      <c r="AH178" s="63">
        <v>0</v>
      </c>
      <c r="AI178" s="63">
        <v>0</v>
      </c>
      <c r="AJ178" s="63">
        <v>0</v>
      </c>
      <c r="AK178" s="63">
        <v>0</v>
      </c>
      <c r="AL178" s="63">
        <v>0</v>
      </c>
      <c r="AM178" s="63">
        <v>0</v>
      </c>
      <c r="AN178" s="63">
        <v>0</v>
      </c>
      <c r="AO178" s="63">
        <v>0</v>
      </c>
      <c r="AP178" s="63">
        <v>0</v>
      </c>
      <c r="AQ178" s="63">
        <v>1</v>
      </c>
      <c r="AR178" s="63">
        <v>0</v>
      </c>
      <c r="AS178" s="63">
        <v>0</v>
      </c>
      <c r="AT178" s="63">
        <v>0</v>
      </c>
      <c r="AU178" s="63">
        <v>0</v>
      </c>
      <c r="AV178" s="63">
        <v>0</v>
      </c>
      <c r="AW178" s="63">
        <v>0</v>
      </c>
      <c r="AX178" s="63">
        <v>0</v>
      </c>
      <c r="AY178" s="63">
        <v>0</v>
      </c>
      <c r="AZ178" s="63">
        <v>0</v>
      </c>
      <c r="BA178" s="63">
        <v>0</v>
      </c>
      <c r="BB178" s="63">
        <v>0</v>
      </c>
      <c r="BC178" s="63">
        <v>0</v>
      </c>
      <c r="BD178" s="63">
        <v>0</v>
      </c>
      <c r="BE178" s="63">
        <v>0</v>
      </c>
      <c r="BF178" s="63">
        <v>0</v>
      </c>
      <c r="BG178" s="63">
        <v>0</v>
      </c>
      <c r="BH178" s="63">
        <v>0</v>
      </c>
      <c r="BI178" s="63">
        <v>0</v>
      </c>
      <c r="BJ178" s="63">
        <v>0</v>
      </c>
      <c r="BK178" s="63">
        <v>0</v>
      </c>
      <c r="BL178" s="63">
        <v>0</v>
      </c>
      <c r="BM178" s="63">
        <v>0</v>
      </c>
      <c r="BN178" s="63">
        <v>0</v>
      </c>
      <c r="BO178" s="63">
        <v>0</v>
      </c>
      <c r="BP178" s="63">
        <v>0</v>
      </c>
      <c r="BQ178" s="63">
        <v>0</v>
      </c>
      <c r="BR178" s="63">
        <v>0</v>
      </c>
      <c r="BS178" s="63">
        <v>0</v>
      </c>
      <c r="BT178" s="63">
        <v>0</v>
      </c>
      <c r="BU178" s="63">
        <v>0</v>
      </c>
      <c r="BV178" s="63">
        <v>0</v>
      </c>
      <c r="BW178" s="63">
        <v>0</v>
      </c>
      <c r="BX178" s="63">
        <v>0</v>
      </c>
      <c r="BY178" s="63">
        <v>0</v>
      </c>
      <c r="BZ178" s="63">
        <v>0</v>
      </c>
      <c r="CA178" s="63">
        <v>0</v>
      </c>
      <c r="CB178" s="63">
        <v>0</v>
      </c>
      <c r="CC178" s="63">
        <v>1</v>
      </c>
      <c r="CD178" s="63">
        <v>0</v>
      </c>
      <c r="CE178" s="63">
        <v>0</v>
      </c>
      <c r="CF178" s="63">
        <v>0</v>
      </c>
      <c r="CG178" s="63">
        <v>0</v>
      </c>
      <c r="CH178" s="63">
        <v>0</v>
      </c>
      <c r="CI178" s="63">
        <v>0</v>
      </c>
      <c r="CJ178" s="63">
        <v>1</v>
      </c>
      <c r="CK178" s="63">
        <v>0</v>
      </c>
      <c r="CL178" s="63">
        <v>0</v>
      </c>
      <c r="CM178" s="63">
        <v>0</v>
      </c>
      <c r="CN178" s="63">
        <v>0</v>
      </c>
      <c r="CO178" s="63">
        <v>0</v>
      </c>
      <c r="CP178" s="63">
        <v>0</v>
      </c>
      <c r="CQ178" s="63">
        <v>0</v>
      </c>
      <c r="CR178" s="63">
        <v>0</v>
      </c>
      <c r="CS178" s="63">
        <v>1</v>
      </c>
      <c r="CT178" s="63">
        <v>0</v>
      </c>
      <c r="CU178" s="61"/>
    </row>
    <row r="179" spans="2:99" ht="12.75">
      <c r="B179" s="1">
        <v>80</v>
      </c>
      <c r="C179" s="63">
        <v>0</v>
      </c>
      <c r="D179" s="63">
        <v>0</v>
      </c>
      <c r="E179" s="63">
        <v>0</v>
      </c>
      <c r="F179" s="63">
        <v>0</v>
      </c>
      <c r="G179" s="63">
        <v>0</v>
      </c>
      <c r="H179" s="63">
        <v>0</v>
      </c>
      <c r="I179" s="63">
        <v>0</v>
      </c>
      <c r="J179" s="63">
        <v>0</v>
      </c>
      <c r="K179" s="63">
        <v>0</v>
      </c>
      <c r="L179" s="63">
        <v>0</v>
      </c>
      <c r="M179" s="63">
        <v>0</v>
      </c>
      <c r="N179" s="63">
        <v>0</v>
      </c>
      <c r="O179" s="63">
        <v>0</v>
      </c>
      <c r="P179" s="63">
        <v>0</v>
      </c>
      <c r="Q179" s="63">
        <v>0</v>
      </c>
      <c r="R179" s="63">
        <v>0</v>
      </c>
      <c r="S179" s="63">
        <v>0</v>
      </c>
      <c r="T179" s="63">
        <v>0</v>
      </c>
      <c r="U179" s="63">
        <v>0</v>
      </c>
      <c r="V179" s="63">
        <v>0</v>
      </c>
      <c r="W179" s="63">
        <v>0</v>
      </c>
      <c r="X179" s="63">
        <v>0</v>
      </c>
      <c r="Y179" s="63">
        <v>1</v>
      </c>
      <c r="Z179" s="63">
        <v>0</v>
      </c>
      <c r="AA179" s="63">
        <v>0</v>
      </c>
      <c r="AB179" s="63">
        <v>0</v>
      </c>
      <c r="AC179" s="63">
        <v>0</v>
      </c>
      <c r="AD179" s="63">
        <v>0</v>
      </c>
      <c r="AE179" s="63">
        <v>0</v>
      </c>
      <c r="AF179" s="63">
        <v>0</v>
      </c>
      <c r="AG179" s="63">
        <v>0</v>
      </c>
      <c r="AH179" s="63">
        <v>0</v>
      </c>
      <c r="AI179" s="63">
        <v>0</v>
      </c>
      <c r="AJ179" s="63">
        <v>0</v>
      </c>
      <c r="AK179" s="63">
        <v>0</v>
      </c>
      <c r="AL179" s="63">
        <v>0</v>
      </c>
      <c r="AM179" s="63">
        <v>0</v>
      </c>
      <c r="AN179" s="63">
        <v>0</v>
      </c>
      <c r="AO179" s="63">
        <v>0</v>
      </c>
      <c r="AP179" s="63">
        <v>0</v>
      </c>
      <c r="AQ179" s="63">
        <v>0</v>
      </c>
      <c r="AR179" s="63">
        <v>0</v>
      </c>
      <c r="AS179" s="63">
        <v>0</v>
      </c>
      <c r="AT179" s="63">
        <v>0</v>
      </c>
      <c r="AU179" s="63">
        <v>0</v>
      </c>
      <c r="AV179" s="63">
        <v>0</v>
      </c>
      <c r="AW179" s="63">
        <v>0</v>
      </c>
      <c r="AX179" s="63">
        <v>0</v>
      </c>
      <c r="AY179" s="63">
        <v>0</v>
      </c>
      <c r="AZ179" s="63">
        <v>0</v>
      </c>
      <c r="BA179" s="63">
        <v>0</v>
      </c>
      <c r="BB179" s="63">
        <v>0</v>
      </c>
      <c r="BC179" s="63">
        <v>0</v>
      </c>
      <c r="BD179" s="63">
        <v>0</v>
      </c>
      <c r="BE179" s="63">
        <v>0</v>
      </c>
      <c r="BF179" s="63">
        <v>0</v>
      </c>
      <c r="BG179" s="63">
        <v>0</v>
      </c>
      <c r="BH179" s="63">
        <v>0</v>
      </c>
      <c r="BI179" s="63">
        <v>0</v>
      </c>
      <c r="BJ179" s="63">
        <v>1</v>
      </c>
      <c r="BK179" s="63">
        <v>0</v>
      </c>
      <c r="BL179" s="63">
        <v>0</v>
      </c>
      <c r="BM179" s="63">
        <v>0</v>
      </c>
      <c r="BN179" s="63">
        <v>0</v>
      </c>
      <c r="BO179" s="63">
        <v>0</v>
      </c>
      <c r="BP179" s="63">
        <v>0</v>
      </c>
      <c r="BQ179" s="63">
        <v>0</v>
      </c>
      <c r="BR179" s="63">
        <v>0</v>
      </c>
      <c r="BS179" s="63">
        <v>0</v>
      </c>
      <c r="BT179" s="63">
        <v>0</v>
      </c>
      <c r="BU179" s="63">
        <v>0</v>
      </c>
      <c r="BV179" s="63">
        <v>0</v>
      </c>
      <c r="BW179" s="63">
        <v>0</v>
      </c>
      <c r="BX179" s="63">
        <v>0</v>
      </c>
      <c r="BY179" s="63">
        <v>0</v>
      </c>
      <c r="BZ179" s="63">
        <v>0</v>
      </c>
      <c r="CA179" s="63">
        <v>0</v>
      </c>
      <c r="CB179" s="63">
        <v>0</v>
      </c>
      <c r="CC179" s="63">
        <v>0</v>
      </c>
      <c r="CD179" s="63">
        <v>1</v>
      </c>
      <c r="CE179" s="63">
        <v>1</v>
      </c>
      <c r="CF179" s="63">
        <v>0</v>
      </c>
      <c r="CG179" s="63">
        <v>0</v>
      </c>
      <c r="CH179" s="63">
        <v>0</v>
      </c>
      <c r="CI179" s="63">
        <v>0</v>
      </c>
      <c r="CJ179" s="63">
        <v>0</v>
      </c>
      <c r="CK179" s="63">
        <v>0</v>
      </c>
      <c r="CL179" s="63">
        <v>0</v>
      </c>
      <c r="CM179" s="63">
        <v>0</v>
      </c>
      <c r="CN179" s="63">
        <v>0</v>
      </c>
      <c r="CO179" s="63">
        <v>0</v>
      </c>
      <c r="CP179" s="63">
        <v>0</v>
      </c>
      <c r="CQ179" s="63">
        <v>0</v>
      </c>
      <c r="CR179" s="63">
        <v>0</v>
      </c>
      <c r="CS179" s="63">
        <v>0</v>
      </c>
      <c r="CT179" s="63">
        <v>0</v>
      </c>
      <c r="CU179" s="61"/>
    </row>
    <row r="180" spans="2:99" ht="12.75">
      <c r="B180" s="1">
        <v>81</v>
      </c>
      <c r="C180" s="63">
        <v>0</v>
      </c>
      <c r="D180" s="63">
        <v>0</v>
      </c>
      <c r="E180" s="63">
        <v>0</v>
      </c>
      <c r="F180" s="63">
        <v>0</v>
      </c>
      <c r="G180" s="63">
        <v>0</v>
      </c>
      <c r="H180" s="63">
        <v>0</v>
      </c>
      <c r="I180" s="63">
        <v>0</v>
      </c>
      <c r="J180" s="63">
        <v>0</v>
      </c>
      <c r="K180" s="63">
        <v>1</v>
      </c>
      <c r="L180" s="63">
        <v>0</v>
      </c>
      <c r="M180" s="63">
        <v>0</v>
      </c>
      <c r="N180" s="63">
        <v>0</v>
      </c>
      <c r="O180" s="63">
        <v>0</v>
      </c>
      <c r="P180" s="63">
        <v>0</v>
      </c>
      <c r="Q180" s="63">
        <v>0</v>
      </c>
      <c r="R180" s="63">
        <v>0</v>
      </c>
      <c r="S180" s="63">
        <v>0</v>
      </c>
      <c r="T180" s="63">
        <v>0</v>
      </c>
      <c r="U180" s="63">
        <v>0</v>
      </c>
      <c r="V180" s="63">
        <v>0</v>
      </c>
      <c r="W180" s="63">
        <v>0</v>
      </c>
      <c r="X180" s="63">
        <v>0</v>
      </c>
      <c r="Y180" s="63">
        <v>1</v>
      </c>
      <c r="Z180" s="63">
        <v>0</v>
      </c>
      <c r="AA180" s="63">
        <v>0</v>
      </c>
      <c r="AB180" s="63">
        <v>0</v>
      </c>
      <c r="AC180" s="63">
        <v>0</v>
      </c>
      <c r="AD180" s="63">
        <v>0</v>
      </c>
      <c r="AE180" s="63">
        <v>0</v>
      </c>
      <c r="AF180" s="63">
        <v>0</v>
      </c>
      <c r="AG180" s="63">
        <v>0</v>
      </c>
      <c r="AH180" s="63">
        <v>0</v>
      </c>
      <c r="AI180" s="63">
        <v>0</v>
      </c>
      <c r="AJ180" s="63">
        <v>0</v>
      </c>
      <c r="AK180" s="63">
        <v>0</v>
      </c>
      <c r="AL180" s="63">
        <v>0</v>
      </c>
      <c r="AM180" s="63">
        <v>0</v>
      </c>
      <c r="AN180" s="63">
        <v>0</v>
      </c>
      <c r="AO180" s="63">
        <v>0</v>
      </c>
      <c r="AP180" s="63">
        <v>0</v>
      </c>
      <c r="AQ180" s="63">
        <v>0</v>
      </c>
      <c r="AR180" s="63">
        <v>0</v>
      </c>
      <c r="AS180" s="63">
        <v>0</v>
      </c>
      <c r="AT180" s="63">
        <v>0</v>
      </c>
      <c r="AU180" s="63">
        <v>0</v>
      </c>
      <c r="AV180" s="63">
        <v>0</v>
      </c>
      <c r="AW180" s="63">
        <v>1</v>
      </c>
      <c r="AX180" s="63">
        <v>0</v>
      </c>
      <c r="AY180" s="63">
        <v>0</v>
      </c>
      <c r="AZ180" s="63">
        <v>0</v>
      </c>
      <c r="BA180" s="63">
        <v>0</v>
      </c>
      <c r="BB180" s="63">
        <v>0</v>
      </c>
      <c r="BC180" s="63">
        <v>0</v>
      </c>
      <c r="BD180" s="63">
        <v>0</v>
      </c>
      <c r="BE180" s="63">
        <v>1</v>
      </c>
      <c r="BF180" s="63">
        <v>0</v>
      </c>
      <c r="BG180" s="63">
        <v>0</v>
      </c>
      <c r="BH180" s="63">
        <v>0</v>
      </c>
      <c r="BI180" s="63">
        <v>0</v>
      </c>
      <c r="BJ180" s="63">
        <v>1</v>
      </c>
      <c r="BK180" s="63">
        <v>0</v>
      </c>
      <c r="BL180" s="63">
        <v>0</v>
      </c>
      <c r="BM180" s="63">
        <v>0</v>
      </c>
      <c r="BN180" s="63">
        <v>0</v>
      </c>
      <c r="BO180" s="63">
        <v>0</v>
      </c>
      <c r="BP180" s="63">
        <v>0</v>
      </c>
      <c r="BQ180" s="63">
        <v>0</v>
      </c>
      <c r="BR180" s="63">
        <v>0</v>
      </c>
      <c r="BS180" s="63">
        <v>0</v>
      </c>
      <c r="BT180" s="63">
        <v>0</v>
      </c>
      <c r="BU180" s="63">
        <v>0</v>
      </c>
      <c r="BV180" s="63">
        <v>0</v>
      </c>
      <c r="BW180" s="63">
        <v>0</v>
      </c>
      <c r="BX180" s="63">
        <v>0</v>
      </c>
      <c r="BY180" s="63">
        <v>0</v>
      </c>
      <c r="BZ180" s="63">
        <v>0</v>
      </c>
      <c r="CA180" s="63">
        <v>0</v>
      </c>
      <c r="CB180" s="63">
        <v>0</v>
      </c>
      <c r="CC180" s="63">
        <v>0</v>
      </c>
      <c r="CD180" s="63">
        <v>1</v>
      </c>
      <c r="CE180" s="63">
        <v>1</v>
      </c>
      <c r="CF180" s="63">
        <v>0</v>
      </c>
      <c r="CG180" s="63">
        <v>0</v>
      </c>
      <c r="CH180" s="63">
        <v>1</v>
      </c>
      <c r="CI180" s="63">
        <v>1</v>
      </c>
      <c r="CJ180" s="63">
        <v>0</v>
      </c>
      <c r="CK180" s="63">
        <v>0</v>
      </c>
      <c r="CL180" s="63">
        <v>0</v>
      </c>
      <c r="CM180" s="63">
        <v>0</v>
      </c>
      <c r="CN180" s="63">
        <v>1</v>
      </c>
      <c r="CO180" s="63">
        <v>0</v>
      </c>
      <c r="CP180" s="63">
        <v>0</v>
      </c>
      <c r="CQ180" s="63">
        <v>0</v>
      </c>
      <c r="CR180" s="63">
        <v>0</v>
      </c>
      <c r="CS180" s="63">
        <v>0</v>
      </c>
      <c r="CT180" s="63">
        <v>0</v>
      </c>
      <c r="CU180" s="61"/>
    </row>
    <row r="181" spans="2:99" ht="12.75">
      <c r="B181" s="1">
        <v>82</v>
      </c>
      <c r="C181" s="63">
        <v>1</v>
      </c>
      <c r="D181" s="63">
        <v>0</v>
      </c>
      <c r="E181" s="63">
        <v>0</v>
      </c>
      <c r="F181" s="63">
        <v>0</v>
      </c>
      <c r="G181" s="63">
        <v>1</v>
      </c>
      <c r="H181" s="63">
        <v>1</v>
      </c>
      <c r="I181" s="63">
        <v>0</v>
      </c>
      <c r="J181" s="63">
        <v>0</v>
      </c>
      <c r="K181" s="63">
        <v>0</v>
      </c>
      <c r="L181" s="63">
        <v>0</v>
      </c>
      <c r="M181" s="63">
        <v>0</v>
      </c>
      <c r="N181" s="63">
        <v>0</v>
      </c>
      <c r="O181" s="63">
        <v>0</v>
      </c>
      <c r="P181" s="63">
        <v>0</v>
      </c>
      <c r="Q181" s="63">
        <v>0</v>
      </c>
      <c r="R181" s="63">
        <v>0</v>
      </c>
      <c r="S181" s="63">
        <v>0</v>
      </c>
      <c r="T181" s="63">
        <v>0</v>
      </c>
      <c r="U181" s="63">
        <v>0</v>
      </c>
      <c r="V181" s="63">
        <v>0</v>
      </c>
      <c r="W181" s="63">
        <v>0</v>
      </c>
      <c r="X181" s="63">
        <v>0</v>
      </c>
      <c r="Y181" s="63">
        <v>0</v>
      </c>
      <c r="Z181" s="63">
        <v>0</v>
      </c>
      <c r="AA181" s="63">
        <v>0</v>
      </c>
      <c r="AB181" s="63">
        <v>0</v>
      </c>
      <c r="AC181" s="63">
        <v>0</v>
      </c>
      <c r="AD181" s="63">
        <v>0</v>
      </c>
      <c r="AE181" s="63">
        <v>0</v>
      </c>
      <c r="AF181" s="63">
        <v>0</v>
      </c>
      <c r="AG181" s="63">
        <v>0</v>
      </c>
      <c r="AH181" s="63">
        <v>0</v>
      </c>
      <c r="AI181" s="63">
        <v>0</v>
      </c>
      <c r="AJ181" s="63">
        <v>0</v>
      </c>
      <c r="AK181" s="63">
        <v>0</v>
      </c>
      <c r="AL181" s="63">
        <v>0</v>
      </c>
      <c r="AM181" s="63">
        <v>1</v>
      </c>
      <c r="AN181" s="63">
        <v>0</v>
      </c>
      <c r="AO181" s="63">
        <v>0</v>
      </c>
      <c r="AP181" s="63">
        <v>0</v>
      </c>
      <c r="AQ181" s="63">
        <v>0</v>
      </c>
      <c r="AR181" s="63">
        <v>1</v>
      </c>
      <c r="AS181" s="63">
        <v>0</v>
      </c>
      <c r="AT181" s="63">
        <v>1</v>
      </c>
      <c r="AU181" s="63">
        <v>0</v>
      </c>
      <c r="AV181" s="63">
        <v>0</v>
      </c>
      <c r="AW181" s="63">
        <v>0</v>
      </c>
      <c r="AX181" s="63">
        <v>0</v>
      </c>
      <c r="AY181" s="63">
        <v>0</v>
      </c>
      <c r="AZ181" s="63">
        <v>0</v>
      </c>
      <c r="BA181" s="63">
        <v>0</v>
      </c>
      <c r="BB181" s="63">
        <v>0</v>
      </c>
      <c r="BC181" s="63">
        <v>0</v>
      </c>
      <c r="BD181" s="63">
        <v>0</v>
      </c>
      <c r="BE181" s="63">
        <v>0</v>
      </c>
      <c r="BF181" s="63">
        <v>0</v>
      </c>
      <c r="BG181" s="63">
        <v>0</v>
      </c>
      <c r="BH181" s="63">
        <v>0</v>
      </c>
      <c r="BI181" s="63">
        <v>0</v>
      </c>
      <c r="BJ181" s="63">
        <v>0</v>
      </c>
      <c r="BK181" s="63">
        <v>0</v>
      </c>
      <c r="BL181" s="63">
        <v>0</v>
      </c>
      <c r="BM181" s="63">
        <v>0</v>
      </c>
      <c r="BN181" s="63">
        <v>0</v>
      </c>
      <c r="BO181" s="63">
        <v>0</v>
      </c>
      <c r="BP181" s="63">
        <v>0</v>
      </c>
      <c r="BQ181" s="63">
        <v>0</v>
      </c>
      <c r="BR181" s="63">
        <v>1</v>
      </c>
      <c r="BS181" s="63">
        <v>0</v>
      </c>
      <c r="BT181" s="63">
        <v>0</v>
      </c>
      <c r="BU181" s="63">
        <v>0</v>
      </c>
      <c r="BV181" s="63">
        <v>0</v>
      </c>
      <c r="BW181" s="63">
        <v>0</v>
      </c>
      <c r="BX181" s="63">
        <v>0</v>
      </c>
      <c r="BY181" s="63">
        <v>0</v>
      </c>
      <c r="BZ181" s="63">
        <v>0</v>
      </c>
      <c r="CA181" s="63">
        <v>0</v>
      </c>
      <c r="CB181" s="63">
        <v>0</v>
      </c>
      <c r="CC181" s="63">
        <v>0</v>
      </c>
      <c r="CD181" s="63">
        <v>0</v>
      </c>
      <c r="CE181" s="63">
        <v>0</v>
      </c>
      <c r="CF181" s="63">
        <v>1</v>
      </c>
      <c r="CG181" s="63">
        <v>0</v>
      </c>
      <c r="CH181" s="63">
        <v>0</v>
      </c>
      <c r="CI181" s="63">
        <v>0</v>
      </c>
      <c r="CJ181" s="63">
        <v>0</v>
      </c>
      <c r="CK181" s="63">
        <v>0</v>
      </c>
      <c r="CL181" s="63">
        <v>0</v>
      </c>
      <c r="CM181" s="63">
        <v>0</v>
      </c>
      <c r="CN181" s="63">
        <v>0</v>
      </c>
      <c r="CO181" s="63">
        <v>0</v>
      </c>
      <c r="CP181" s="63">
        <v>0</v>
      </c>
      <c r="CQ181" s="63">
        <v>0</v>
      </c>
      <c r="CR181" s="63">
        <v>0</v>
      </c>
      <c r="CS181" s="63">
        <v>0</v>
      </c>
      <c r="CT181" s="63">
        <v>0</v>
      </c>
      <c r="CU181" s="61"/>
    </row>
    <row r="182" spans="2:99" ht="12.75">
      <c r="B182" s="1">
        <v>83</v>
      </c>
      <c r="C182" s="63">
        <v>0</v>
      </c>
      <c r="D182" s="63">
        <v>0</v>
      </c>
      <c r="E182" s="63">
        <v>0</v>
      </c>
      <c r="F182" s="63">
        <v>1</v>
      </c>
      <c r="G182" s="63">
        <v>0</v>
      </c>
      <c r="H182" s="63">
        <v>0</v>
      </c>
      <c r="I182" s="63">
        <v>0</v>
      </c>
      <c r="J182" s="63">
        <v>0</v>
      </c>
      <c r="K182" s="63">
        <v>0</v>
      </c>
      <c r="L182" s="63">
        <v>0</v>
      </c>
      <c r="M182" s="63">
        <v>0</v>
      </c>
      <c r="N182" s="63">
        <v>0</v>
      </c>
      <c r="O182" s="63">
        <v>0</v>
      </c>
      <c r="P182" s="63">
        <v>0</v>
      </c>
      <c r="Q182" s="63">
        <v>1</v>
      </c>
      <c r="R182" s="63">
        <v>0</v>
      </c>
      <c r="S182" s="63">
        <v>0</v>
      </c>
      <c r="T182" s="63">
        <v>0</v>
      </c>
      <c r="U182" s="63">
        <v>0</v>
      </c>
      <c r="V182" s="63">
        <v>0</v>
      </c>
      <c r="W182" s="63">
        <v>1</v>
      </c>
      <c r="X182" s="63">
        <v>0</v>
      </c>
      <c r="Y182" s="63">
        <v>0</v>
      </c>
      <c r="Z182" s="63">
        <v>0</v>
      </c>
      <c r="AA182" s="63">
        <v>0</v>
      </c>
      <c r="AB182" s="63">
        <v>1</v>
      </c>
      <c r="AC182" s="63">
        <v>1</v>
      </c>
      <c r="AD182" s="63">
        <v>0</v>
      </c>
      <c r="AE182" s="63">
        <v>1</v>
      </c>
      <c r="AF182" s="63">
        <v>0</v>
      </c>
      <c r="AG182" s="63">
        <v>0</v>
      </c>
      <c r="AH182" s="63">
        <v>0</v>
      </c>
      <c r="AI182" s="63">
        <v>0</v>
      </c>
      <c r="AJ182" s="63">
        <v>0</v>
      </c>
      <c r="AK182" s="63">
        <v>1</v>
      </c>
      <c r="AL182" s="63">
        <v>0</v>
      </c>
      <c r="AM182" s="63">
        <v>0</v>
      </c>
      <c r="AN182" s="63">
        <v>0</v>
      </c>
      <c r="AO182" s="63">
        <v>1</v>
      </c>
      <c r="AP182" s="63">
        <v>0</v>
      </c>
      <c r="AQ182" s="63">
        <v>0</v>
      </c>
      <c r="AR182" s="63">
        <v>0</v>
      </c>
      <c r="AS182" s="63">
        <v>0</v>
      </c>
      <c r="AT182" s="63">
        <v>0</v>
      </c>
      <c r="AU182" s="63">
        <v>0</v>
      </c>
      <c r="AV182" s="63">
        <v>0</v>
      </c>
      <c r="AW182" s="63">
        <v>0</v>
      </c>
      <c r="AX182" s="63">
        <v>0</v>
      </c>
      <c r="AY182" s="63">
        <v>0</v>
      </c>
      <c r="AZ182" s="63">
        <v>0</v>
      </c>
      <c r="BA182" s="63">
        <v>0</v>
      </c>
      <c r="BB182" s="63">
        <v>0</v>
      </c>
      <c r="BC182" s="63">
        <v>0</v>
      </c>
      <c r="BD182" s="63">
        <v>0</v>
      </c>
      <c r="BE182" s="63">
        <v>0</v>
      </c>
      <c r="BF182" s="63">
        <v>0</v>
      </c>
      <c r="BG182" s="63">
        <v>0</v>
      </c>
      <c r="BH182" s="63">
        <v>0</v>
      </c>
      <c r="BI182" s="63">
        <v>0</v>
      </c>
      <c r="BJ182" s="63">
        <v>0</v>
      </c>
      <c r="BK182" s="63">
        <v>0</v>
      </c>
      <c r="BL182" s="63">
        <v>0</v>
      </c>
      <c r="BM182" s="63">
        <v>0</v>
      </c>
      <c r="BN182" s="63">
        <v>0</v>
      </c>
      <c r="BO182" s="63">
        <v>0</v>
      </c>
      <c r="BP182" s="63">
        <v>0</v>
      </c>
      <c r="BQ182" s="63">
        <v>0</v>
      </c>
      <c r="BR182" s="63">
        <v>0</v>
      </c>
      <c r="BS182" s="63">
        <v>0</v>
      </c>
      <c r="BT182" s="63">
        <v>0</v>
      </c>
      <c r="BU182" s="63">
        <v>0</v>
      </c>
      <c r="BV182" s="63">
        <v>0</v>
      </c>
      <c r="BW182" s="63">
        <v>0</v>
      </c>
      <c r="BX182" s="63">
        <v>0</v>
      </c>
      <c r="BY182" s="63">
        <v>0</v>
      </c>
      <c r="BZ182" s="63">
        <v>0</v>
      </c>
      <c r="CA182" s="63">
        <v>0</v>
      </c>
      <c r="CB182" s="63">
        <v>0</v>
      </c>
      <c r="CC182" s="63">
        <v>0</v>
      </c>
      <c r="CD182" s="63">
        <v>0</v>
      </c>
      <c r="CE182" s="63">
        <v>0</v>
      </c>
      <c r="CF182" s="63">
        <v>0</v>
      </c>
      <c r="CG182" s="63">
        <v>1</v>
      </c>
      <c r="CH182" s="63">
        <v>0</v>
      </c>
      <c r="CI182" s="63">
        <v>0</v>
      </c>
      <c r="CJ182" s="63">
        <v>0</v>
      </c>
      <c r="CK182" s="63">
        <v>0</v>
      </c>
      <c r="CL182" s="63">
        <v>0</v>
      </c>
      <c r="CM182" s="63">
        <v>0</v>
      </c>
      <c r="CN182" s="63">
        <v>0</v>
      </c>
      <c r="CO182" s="63">
        <v>0</v>
      </c>
      <c r="CP182" s="63">
        <v>0</v>
      </c>
      <c r="CQ182" s="63">
        <v>0</v>
      </c>
      <c r="CR182" s="63">
        <v>0</v>
      </c>
      <c r="CS182" s="63">
        <v>0</v>
      </c>
      <c r="CT182" s="63">
        <v>0</v>
      </c>
      <c r="CU182" s="61"/>
    </row>
    <row r="183" spans="2:99" ht="12.75">
      <c r="B183" s="1">
        <v>84</v>
      </c>
      <c r="C183" s="63">
        <v>0</v>
      </c>
      <c r="D183" s="63">
        <v>0</v>
      </c>
      <c r="E183" s="63">
        <v>0</v>
      </c>
      <c r="F183" s="63">
        <v>0</v>
      </c>
      <c r="G183" s="63">
        <v>0</v>
      </c>
      <c r="H183" s="63">
        <v>0</v>
      </c>
      <c r="I183" s="63">
        <v>1</v>
      </c>
      <c r="J183" s="63">
        <v>0</v>
      </c>
      <c r="K183" s="63">
        <v>0</v>
      </c>
      <c r="L183" s="63">
        <v>0</v>
      </c>
      <c r="M183" s="63">
        <v>0</v>
      </c>
      <c r="N183" s="63">
        <v>0</v>
      </c>
      <c r="O183" s="63">
        <v>0</v>
      </c>
      <c r="P183" s="63">
        <v>0</v>
      </c>
      <c r="Q183" s="63">
        <v>0</v>
      </c>
      <c r="R183" s="63">
        <v>0</v>
      </c>
      <c r="S183" s="63">
        <v>0</v>
      </c>
      <c r="T183" s="63">
        <v>0</v>
      </c>
      <c r="U183" s="63">
        <v>0</v>
      </c>
      <c r="V183" s="63">
        <v>0</v>
      </c>
      <c r="W183" s="63">
        <v>0</v>
      </c>
      <c r="X183" s="63">
        <v>0</v>
      </c>
      <c r="Y183" s="63">
        <v>1</v>
      </c>
      <c r="Z183" s="63">
        <v>0</v>
      </c>
      <c r="AA183" s="63">
        <v>0</v>
      </c>
      <c r="AB183" s="63">
        <v>0</v>
      </c>
      <c r="AC183" s="63">
        <v>0</v>
      </c>
      <c r="AD183" s="63">
        <v>0</v>
      </c>
      <c r="AE183" s="63">
        <v>0</v>
      </c>
      <c r="AF183" s="63">
        <v>0</v>
      </c>
      <c r="AG183" s="63">
        <v>0</v>
      </c>
      <c r="AH183" s="63">
        <v>1</v>
      </c>
      <c r="AI183" s="63">
        <v>0</v>
      </c>
      <c r="AJ183" s="63">
        <v>0</v>
      </c>
      <c r="AK183" s="63">
        <v>0</v>
      </c>
      <c r="AL183" s="63">
        <v>0</v>
      </c>
      <c r="AM183" s="63">
        <v>0</v>
      </c>
      <c r="AN183" s="63">
        <v>0</v>
      </c>
      <c r="AO183" s="63">
        <v>0</v>
      </c>
      <c r="AP183" s="63">
        <v>0</v>
      </c>
      <c r="AQ183" s="63">
        <v>0</v>
      </c>
      <c r="AR183" s="63">
        <v>0</v>
      </c>
      <c r="AS183" s="63">
        <v>0</v>
      </c>
      <c r="AT183" s="63">
        <v>0</v>
      </c>
      <c r="AU183" s="63">
        <v>0</v>
      </c>
      <c r="AV183" s="63">
        <v>0</v>
      </c>
      <c r="AW183" s="63">
        <v>0</v>
      </c>
      <c r="AX183" s="63">
        <v>0</v>
      </c>
      <c r="AY183" s="63">
        <v>0</v>
      </c>
      <c r="AZ183" s="63">
        <v>0</v>
      </c>
      <c r="BA183" s="63">
        <v>0</v>
      </c>
      <c r="BB183" s="63">
        <v>1</v>
      </c>
      <c r="BC183" s="63">
        <v>0</v>
      </c>
      <c r="BD183" s="63">
        <v>0</v>
      </c>
      <c r="BE183" s="63">
        <v>0</v>
      </c>
      <c r="BF183" s="63">
        <v>0</v>
      </c>
      <c r="BG183" s="63">
        <v>0</v>
      </c>
      <c r="BH183" s="63">
        <v>0</v>
      </c>
      <c r="BI183" s="63">
        <v>0</v>
      </c>
      <c r="BJ183" s="63">
        <v>0</v>
      </c>
      <c r="BK183" s="63">
        <v>0</v>
      </c>
      <c r="BL183" s="63">
        <v>0</v>
      </c>
      <c r="BM183" s="63">
        <v>0</v>
      </c>
      <c r="BN183" s="63">
        <v>0</v>
      </c>
      <c r="BO183" s="63">
        <v>0</v>
      </c>
      <c r="BP183" s="63">
        <v>0</v>
      </c>
      <c r="BQ183" s="63">
        <v>0</v>
      </c>
      <c r="BR183" s="63">
        <v>0</v>
      </c>
      <c r="BS183" s="63">
        <v>0</v>
      </c>
      <c r="BT183" s="63">
        <v>0</v>
      </c>
      <c r="BU183" s="63">
        <v>0</v>
      </c>
      <c r="BV183" s="63">
        <v>0</v>
      </c>
      <c r="BW183" s="63">
        <v>0</v>
      </c>
      <c r="BX183" s="63">
        <v>0</v>
      </c>
      <c r="BY183" s="63">
        <v>0</v>
      </c>
      <c r="BZ183" s="63">
        <v>0</v>
      </c>
      <c r="CA183" s="63">
        <v>0</v>
      </c>
      <c r="CB183" s="63">
        <v>0</v>
      </c>
      <c r="CC183" s="63">
        <v>0</v>
      </c>
      <c r="CD183" s="63">
        <v>0</v>
      </c>
      <c r="CE183" s="63">
        <v>1</v>
      </c>
      <c r="CF183" s="63">
        <v>0</v>
      </c>
      <c r="CG183" s="63">
        <v>0</v>
      </c>
      <c r="CH183" s="63">
        <v>1</v>
      </c>
      <c r="CI183" s="63">
        <v>1</v>
      </c>
      <c r="CJ183" s="63">
        <v>0</v>
      </c>
      <c r="CK183" s="63">
        <v>0</v>
      </c>
      <c r="CL183" s="63">
        <v>0</v>
      </c>
      <c r="CM183" s="63">
        <v>0</v>
      </c>
      <c r="CN183" s="63">
        <v>0</v>
      </c>
      <c r="CO183" s="63">
        <v>0</v>
      </c>
      <c r="CP183" s="63">
        <v>0</v>
      </c>
      <c r="CQ183" s="63">
        <v>0</v>
      </c>
      <c r="CR183" s="63">
        <v>0</v>
      </c>
      <c r="CS183" s="63">
        <v>0</v>
      </c>
      <c r="CT183" s="63">
        <v>0</v>
      </c>
      <c r="CU183" s="61"/>
    </row>
    <row r="184" spans="2:99" ht="12.75">
      <c r="B184" s="1">
        <v>85</v>
      </c>
      <c r="C184" s="63">
        <v>0</v>
      </c>
      <c r="D184" s="63">
        <v>0</v>
      </c>
      <c r="E184" s="63">
        <v>0</v>
      </c>
      <c r="F184" s="63">
        <v>0</v>
      </c>
      <c r="G184" s="63">
        <v>0</v>
      </c>
      <c r="H184" s="63">
        <v>0</v>
      </c>
      <c r="I184" s="63">
        <v>0</v>
      </c>
      <c r="J184" s="63">
        <v>0</v>
      </c>
      <c r="K184" s="63">
        <v>0</v>
      </c>
      <c r="L184" s="63">
        <v>0</v>
      </c>
      <c r="M184" s="63">
        <v>0</v>
      </c>
      <c r="N184" s="63">
        <v>0</v>
      </c>
      <c r="O184" s="63">
        <v>0</v>
      </c>
      <c r="P184" s="63">
        <v>0</v>
      </c>
      <c r="Q184" s="63">
        <v>0</v>
      </c>
      <c r="R184" s="63">
        <v>0</v>
      </c>
      <c r="S184" s="63">
        <v>0</v>
      </c>
      <c r="T184" s="63">
        <v>0</v>
      </c>
      <c r="U184" s="63">
        <v>0</v>
      </c>
      <c r="V184" s="63">
        <v>0</v>
      </c>
      <c r="W184" s="63">
        <v>0</v>
      </c>
      <c r="X184" s="63">
        <v>0</v>
      </c>
      <c r="Y184" s="63">
        <v>1</v>
      </c>
      <c r="Z184" s="63">
        <v>0</v>
      </c>
      <c r="AA184" s="63">
        <v>0</v>
      </c>
      <c r="AB184" s="63">
        <v>0</v>
      </c>
      <c r="AC184" s="63">
        <v>0</v>
      </c>
      <c r="AD184" s="63">
        <v>0</v>
      </c>
      <c r="AE184" s="63">
        <v>0</v>
      </c>
      <c r="AF184" s="63">
        <v>0</v>
      </c>
      <c r="AG184" s="63">
        <v>1</v>
      </c>
      <c r="AH184" s="63">
        <v>1</v>
      </c>
      <c r="AI184" s="63">
        <v>0</v>
      </c>
      <c r="AJ184" s="63">
        <v>1</v>
      </c>
      <c r="AK184" s="63">
        <v>0</v>
      </c>
      <c r="AL184" s="63">
        <v>0</v>
      </c>
      <c r="AM184" s="63">
        <v>0</v>
      </c>
      <c r="AN184" s="63">
        <v>0</v>
      </c>
      <c r="AO184" s="63">
        <v>0</v>
      </c>
      <c r="AP184" s="63">
        <v>0</v>
      </c>
      <c r="AQ184" s="63">
        <v>0</v>
      </c>
      <c r="AR184" s="63">
        <v>0</v>
      </c>
      <c r="AS184" s="63">
        <v>0</v>
      </c>
      <c r="AT184" s="63">
        <v>0</v>
      </c>
      <c r="AU184" s="63">
        <v>0</v>
      </c>
      <c r="AV184" s="63">
        <v>0</v>
      </c>
      <c r="AW184" s="63">
        <v>0</v>
      </c>
      <c r="AX184" s="63">
        <v>0</v>
      </c>
      <c r="AY184" s="63">
        <v>0</v>
      </c>
      <c r="AZ184" s="63">
        <v>0</v>
      </c>
      <c r="BA184" s="63">
        <v>0</v>
      </c>
      <c r="BB184" s="63">
        <v>0</v>
      </c>
      <c r="BC184" s="63">
        <v>0</v>
      </c>
      <c r="BD184" s="63">
        <v>0</v>
      </c>
      <c r="BE184" s="63">
        <v>0</v>
      </c>
      <c r="BF184" s="63">
        <v>0</v>
      </c>
      <c r="BG184" s="63">
        <v>0</v>
      </c>
      <c r="BH184" s="63">
        <v>0</v>
      </c>
      <c r="BI184" s="63">
        <v>0</v>
      </c>
      <c r="BJ184" s="63">
        <v>0</v>
      </c>
      <c r="BK184" s="63">
        <v>0</v>
      </c>
      <c r="BL184" s="63">
        <v>0</v>
      </c>
      <c r="BM184" s="63">
        <v>0</v>
      </c>
      <c r="BN184" s="63">
        <v>0</v>
      </c>
      <c r="BO184" s="63">
        <v>0</v>
      </c>
      <c r="BP184" s="63">
        <v>0</v>
      </c>
      <c r="BQ184" s="63">
        <v>0</v>
      </c>
      <c r="BR184" s="63">
        <v>0</v>
      </c>
      <c r="BS184" s="63">
        <v>0</v>
      </c>
      <c r="BT184" s="63">
        <v>0</v>
      </c>
      <c r="BU184" s="63">
        <v>0</v>
      </c>
      <c r="BV184" s="63">
        <v>1</v>
      </c>
      <c r="BW184" s="63">
        <v>0</v>
      </c>
      <c r="BX184" s="63">
        <v>0</v>
      </c>
      <c r="BY184" s="63">
        <v>0</v>
      </c>
      <c r="BZ184" s="63">
        <v>0</v>
      </c>
      <c r="CA184" s="63">
        <v>0</v>
      </c>
      <c r="CB184" s="63">
        <v>0</v>
      </c>
      <c r="CC184" s="63">
        <v>0</v>
      </c>
      <c r="CD184" s="63">
        <v>0</v>
      </c>
      <c r="CE184" s="63">
        <v>1</v>
      </c>
      <c r="CF184" s="63">
        <v>0</v>
      </c>
      <c r="CG184" s="63">
        <v>0</v>
      </c>
      <c r="CH184" s="63">
        <v>1</v>
      </c>
      <c r="CI184" s="63">
        <v>1</v>
      </c>
      <c r="CJ184" s="63">
        <v>0</v>
      </c>
      <c r="CK184" s="63">
        <v>0</v>
      </c>
      <c r="CL184" s="63">
        <v>0</v>
      </c>
      <c r="CM184" s="63">
        <v>0</v>
      </c>
      <c r="CN184" s="63">
        <v>1</v>
      </c>
      <c r="CO184" s="63">
        <v>0</v>
      </c>
      <c r="CP184" s="63">
        <v>0</v>
      </c>
      <c r="CQ184" s="63">
        <v>0</v>
      </c>
      <c r="CR184" s="63">
        <v>0</v>
      </c>
      <c r="CS184" s="63">
        <v>0</v>
      </c>
      <c r="CT184" s="63">
        <v>0</v>
      </c>
      <c r="CU184" s="61"/>
    </row>
    <row r="185" spans="2:99" ht="12.75">
      <c r="B185" s="1">
        <v>86</v>
      </c>
      <c r="C185" s="63">
        <v>0</v>
      </c>
      <c r="D185" s="63">
        <v>0</v>
      </c>
      <c r="E185" s="63">
        <v>0</v>
      </c>
      <c r="F185" s="63">
        <v>0</v>
      </c>
      <c r="G185" s="63">
        <v>0</v>
      </c>
      <c r="H185" s="63">
        <v>0</v>
      </c>
      <c r="I185" s="63">
        <v>0</v>
      </c>
      <c r="J185" s="63">
        <v>0</v>
      </c>
      <c r="K185" s="63">
        <v>0</v>
      </c>
      <c r="L185" s="63">
        <v>0</v>
      </c>
      <c r="M185" s="63">
        <v>0</v>
      </c>
      <c r="N185" s="63">
        <v>0</v>
      </c>
      <c r="O185" s="63">
        <v>0</v>
      </c>
      <c r="P185" s="63">
        <v>0</v>
      </c>
      <c r="Q185" s="63">
        <v>0</v>
      </c>
      <c r="R185" s="63">
        <v>0</v>
      </c>
      <c r="S185" s="63">
        <v>0</v>
      </c>
      <c r="T185" s="63">
        <v>0</v>
      </c>
      <c r="U185" s="63">
        <v>0</v>
      </c>
      <c r="V185" s="63">
        <v>0</v>
      </c>
      <c r="W185" s="63">
        <v>0</v>
      </c>
      <c r="X185" s="63">
        <v>0</v>
      </c>
      <c r="Y185" s="63">
        <v>0</v>
      </c>
      <c r="Z185" s="63">
        <v>0</v>
      </c>
      <c r="AA185" s="63">
        <v>0</v>
      </c>
      <c r="AB185" s="63">
        <v>0</v>
      </c>
      <c r="AC185" s="63">
        <v>0</v>
      </c>
      <c r="AD185" s="63">
        <v>0</v>
      </c>
      <c r="AE185" s="63">
        <v>0</v>
      </c>
      <c r="AF185" s="63">
        <v>0</v>
      </c>
      <c r="AG185" s="63">
        <v>0</v>
      </c>
      <c r="AH185" s="63">
        <v>0</v>
      </c>
      <c r="AI185" s="63">
        <v>0</v>
      </c>
      <c r="AJ185" s="63">
        <v>0</v>
      </c>
      <c r="AK185" s="63">
        <v>0</v>
      </c>
      <c r="AL185" s="63">
        <v>0</v>
      </c>
      <c r="AM185" s="63">
        <v>0</v>
      </c>
      <c r="AN185" s="63">
        <v>0</v>
      </c>
      <c r="AO185" s="63">
        <v>0</v>
      </c>
      <c r="AP185" s="63">
        <v>0</v>
      </c>
      <c r="AQ185" s="63">
        <v>1</v>
      </c>
      <c r="AR185" s="63">
        <v>0</v>
      </c>
      <c r="AS185" s="63">
        <v>0</v>
      </c>
      <c r="AT185" s="63">
        <v>0</v>
      </c>
      <c r="AU185" s="63">
        <v>0</v>
      </c>
      <c r="AV185" s="63">
        <v>0</v>
      </c>
      <c r="AW185" s="63">
        <v>0</v>
      </c>
      <c r="AX185" s="63">
        <v>0</v>
      </c>
      <c r="AY185" s="63">
        <v>0</v>
      </c>
      <c r="AZ185" s="63">
        <v>0</v>
      </c>
      <c r="BA185" s="63">
        <v>0</v>
      </c>
      <c r="BB185" s="63">
        <v>0</v>
      </c>
      <c r="BC185" s="63">
        <v>0</v>
      </c>
      <c r="BD185" s="63">
        <v>0</v>
      </c>
      <c r="BE185" s="63">
        <v>0</v>
      </c>
      <c r="BF185" s="63">
        <v>0</v>
      </c>
      <c r="BG185" s="63">
        <v>0</v>
      </c>
      <c r="BH185" s="63">
        <v>0</v>
      </c>
      <c r="BI185" s="63">
        <v>0</v>
      </c>
      <c r="BJ185" s="63">
        <v>0</v>
      </c>
      <c r="BK185" s="63">
        <v>0</v>
      </c>
      <c r="BL185" s="63">
        <v>0</v>
      </c>
      <c r="BM185" s="63">
        <v>0</v>
      </c>
      <c r="BN185" s="63">
        <v>1</v>
      </c>
      <c r="BO185" s="63">
        <v>0</v>
      </c>
      <c r="BP185" s="63">
        <v>0</v>
      </c>
      <c r="BQ185" s="63">
        <v>0</v>
      </c>
      <c r="BR185" s="63">
        <v>0</v>
      </c>
      <c r="BS185" s="63">
        <v>0</v>
      </c>
      <c r="BT185" s="63">
        <v>0</v>
      </c>
      <c r="BU185" s="63">
        <v>0</v>
      </c>
      <c r="BV185" s="63">
        <v>0</v>
      </c>
      <c r="BW185" s="63">
        <v>0</v>
      </c>
      <c r="BX185" s="63">
        <v>0</v>
      </c>
      <c r="BY185" s="63">
        <v>0</v>
      </c>
      <c r="BZ185" s="63">
        <v>0</v>
      </c>
      <c r="CA185" s="63">
        <v>0</v>
      </c>
      <c r="CB185" s="63">
        <v>0</v>
      </c>
      <c r="CC185" s="63">
        <v>1</v>
      </c>
      <c r="CD185" s="63">
        <v>0</v>
      </c>
      <c r="CE185" s="63">
        <v>0</v>
      </c>
      <c r="CF185" s="63">
        <v>0</v>
      </c>
      <c r="CG185" s="63">
        <v>0</v>
      </c>
      <c r="CH185" s="63">
        <v>0</v>
      </c>
      <c r="CI185" s="63">
        <v>0</v>
      </c>
      <c r="CJ185" s="63">
        <v>1</v>
      </c>
      <c r="CK185" s="63">
        <v>0</v>
      </c>
      <c r="CL185" s="63">
        <v>0</v>
      </c>
      <c r="CM185" s="63">
        <v>0</v>
      </c>
      <c r="CN185" s="63">
        <v>0</v>
      </c>
      <c r="CO185" s="63">
        <v>0</v>
      </c>
      <c r="CP185" s="63">
        <v>0</v>
      </c>
      <c r="CQ185" s="63">
        <v>0</v>
      </c>
      <c r="CR185" s="63">
        <v>0</v>
      </c>
      <c r="CS185" s="63">
        <v>1</v>
      </c>
      <c r="CT185" s="63">
        <v>0</v>
      </c>
      <c r="CU185" s="61"/>
    </row>
    <row r="186" spans="2:99" ht="12.75">
      <c r="B186" s="1">
        <v>87</v>
      </c>
      <c r="C186" s="63">
        <v>0</v>
      </c>
      <c r="D186" s="63">
        <v>0</v>
      </c>
      <c r="E186" s="63">
        <v>0</v>
      </c>
      <c r="F186" s="63">
        <v>0</v>
      </c>
      <c r="G186" s="63">
        <v>0</v>
      </c>
      <c r="H186" s="63">
        <v>0</v>
      </c>
      <c r="I186" s="63">
        <v>0</v>
      </c>
      <c r="J186" s="63">
        <v>0</v>
      </c>
      <c r="K186" s="63">
        <v>0</v>
      </c>
      <c r="L186" s="63">
        <v>0</v>
      </c>
      <c r="M186" s="63">
        <v>0</v>
      </c>
      <c r="N186" s="63">
        <v>0</v>
      </c>
      <c r="O186" s="63">
        <v>0</v>
      </c>
      <c r="P186" s="63">
        <v>0</v>
      </c>
      <c r="Q186" s="63">
        <v>0</v>
      </c>
      <c r="R186" s="63">
        <v>0</v>
      </c>
      <c r="S186" s="63">
        <v>0</v>
      </c>
      <c r="T186" s="63">
        <v>0</v>
      </c>
      <c r="U186" s="63">
        <v>0</v>
      </c>
      <c r="V186" s="63">
        <v>0</v>
      </c>
      <c r="W186" s="63">
        <v>0</v>
      </c>
      <c r="X186" s="63">
        <v>0</v>
      </c>
      <c r="Y186" s="63">
        <v>0</v>
      </c>
      <c r="Z186" s="63">
        <v>0</v>
      </c>
      <c r="AA186" s="63">
        <v>0</v>
      </c>
      <c r="AB186" s="63">
        <v>0</v>
      </c>
      <c r="AC186" s="63">
        <v>0</v>
      </c>
      <c r="AD186" s="63">
        <v>0</v>
      </c>
      <c r="AE186" s="63">
        <v>0</v>
      </c>
      <c r="AF186" s="63">
        <v>0</v>
      </c>
      <c r="AG186" s="63">
        <v>0</v>
      </c>
      <c r="AH186" s="63">
        <v>0</v>
      </c>
      <c r="AI186" s="63">
        <v>0</v>
      </c>
      <c r="AJ186" s="63">
        <v>0</v>
      </c>
      <c r="AK186" s="63">
        <v>0</v>
      </c>
      <c r="AL186" s="63">
        <v>0</v>
      </c>
      <c r="AM186" s="63">
        <v>0</v>
      </c>
      <c r="AN186" s="63">
        <v>0</v>
      </c>
      <c r="AO186" s="63">
        <v>0</v>
      </c>
      <c r="AP186" s="63">
        <v>0</v>
      </c>
      <c r="AQ186" s="63">
        <v>0</v>
      </c>
      <c r="AR186" s="63">
        <v>0</v>
      </c>
      <c r="AS186" s="63">
        <v>0</v>
      </c>
      <c r="AT186" s="63">
        <v>0</v>
      </c>
      <c r="AU186" s="63">
        <v>0</v>
      </c>
      <c r="AV186" s="63">
        <v>0</v>
      </c>
      <c r="AW186" s="63">
        <v>0</v>
      </c>
      <c r="AX186" s="63">
        <v>0</v>
      </c>
      <c r="AY186" s="63">
        <v>1</v>
      </c>
      <c r="AZ186" s="63">
        <v>1</v>
      </c>
      <c r="BA186" s="63">
        <v>0</v>
      </c>
      <c r="BB186" s="63">
        <v>0</v>
      </c>
      <c r="BC186" s="63">
        <v>1</v>
      </c>
      <c r="BD186" s="63">
        <v>0</v>
      </c>
      <c r="BE186" s="63">
        <v>0</v>
      </c>
      <c r="BF186" s="63">
        <v>0</v>
      </c>
      <c r="BG186" s="63">
        <v>0</v>
      </c>
      <c r="BH186" s="63">
        <v>0</v>
      </c>
      <c r="BI186" s="63">
        <v>0</v>
      </c>
      <c r="BJ186" s="63">
        <v>0</v>
      </c>
      <c r="BK186" s="63">
        <v>0</v>
      </c>
      <c r="BL186" s="63">
        <v>0</v>
      </c>
      <c r="BM186" s="63">
        <v>1</v>
      </c>
      <c r="BN186" s="63">
        <v>1</v>
      </c>
      <c r="BO186" s="63">
        <v>0</v>
      </c>
      <c r="BP186" s="63">
        <v>0</v>
      </c>
      <c r="BQ186" s="63">
        <v>0</v>
      </c>
      <c r="BR186" s="63">
        <v>0</v>
      </c>
      <c r="BS186" s="63">
        <v>0</v>
      </c>
      <c r="BT186" s="63">
        <v>0</v>
      </c>
      <c r="BU186" s="63">
        <v>0</v>
      </c>
      <c r="BV186" s="63">
        <v>0</v>
      </c>
      <c r="BW186" s="63">
        <v>0</v>
      </c>
      <c r="BX186" s="63">
        <v>0</v>
      </c>
      <c r="BY186" s="63">
        <v>1</v>
      </c>
      <c r="BZ186" s="63">
        <v>0</v>
      </c>
      <c r="CA186" s="63">
        <v>0</v>
      </c>
      <c r="CB186" s="63">
        <v>0</v>
      </c>
      <c r="CC186" s="63">
        <v>0</v>
      </c>
      <c r="CD186" s="63">
        <v>0</v>
      </c>
      <c r="CE186" s="63">
        <v>0</v>
      </c>
      <c r="CF186" s="63">
        <v>0</v>
      </c>
      <c r="CG186" s="63">
        <v>0</v>
      </c>
      <c r="CH186" s="63">
        <v>0</v>
      </c>
      <c r="CI186" s="63">
        <v>0</v>
      </c>
      <c r="CJ186" s="63">
        <v>0</v>
      </c>
      <c r="CK186" s="63">
        <v>1</v>
      </c>
      <c r="CL186" s="63">
        <v>0</v>
      </c>
      <c r="CM186" s="63">
        <v>0</v>
      </c>
      <c r="CN186" s="63">
        <v>0</v>
      </c>
      <c r="CO186" s="63">
        <v>0</v>
      </c>
      <c r="CP186" s="63">
        <v>0</v>
      </c>
      <c r="CQ186" s="63">
        <v>0</v>
      </c>
      <c r="CR186" s="63">
        <v>1</v>
      </c>
      <c r="CS186" s="63">
        <v>1</v>
      </c>
      <c r="CT186" s="63">
        <v>0</v>
      </c>
      <c r="CU186" s="61"/>
    </row>
    <row r="187" spans="2:99" ht="12.75">
      <c r="B187" s="1">
        <v>88</v>
      </c>
      <c r="C187" s="63">
        <v>0</v>
      </c>
      <c r="D187" s="63">
        <v>0</v>
      </c>
      <c r="E187" s="63">
        <v>0</v>
      </c>
      <c r="F187" s="63">
        <v>0</v>
      </c>
      <c r="G187" s="63">
        <v>0</v>
      </c>
      <c r="H187" s="63">
        <v>0</v>
      </c>
      <c r="I187" s="63">
        <v>0</v>
      </c>
      <c r="J187" s="63">
        <v>0</v>
      </c>
      <c r="K187" s="63">
        <v>0</v>
      </c>
      <c r="L187" s="63">
        <v>0</v>
      </c>
      <c r="M187" s="63">
        <v>0</v>
      </c>
      <c r="N187" s="63">
        <v>0</v>
      </c>
      <c r="O187" s="63">
        <v>0</v>
      </c>
      <c r="P187" s="63">
        <v>0</v>
      </c>
      <c r="Q187" s="63">
        <v>0</v>
      </c>
      <c r="R187" s="63">
        <v>0</v>
      </c>
      <c r="S187" s="63">
        <v>0</v>
      </c>
      <c r="T187" s="63">
        <v>0</v>
      </c>
      <c r="U187" s="63">
        <v>0</v>
      </c>
      <c r="V187" s="63">
        <v>0</v>
      </c>
      <c r="W187" s="63">
        <v>0</v>
      </c>
      <c r="X187" s="63">
        <v>0</v>
      </c>
      <c r="Y187" s="63">
        <v>0</v>
      </c>
      <c r="Z187" s="63">
        <v>0</v>
      </c>
      <c r="AA187" s="63">
        <v>0</v>
      </c>
      <c r="AB187" s="63">
        <v>0</v>
      </c>
      <c r="AC187" s="63">
        <v>0</v>
      </c>
      <c r="AD187" s="63">
        <v>0</v>
      </c>
      <c r="AE187" s="63">
        <v>0</v>
      </c>
      <c r="AF187" s="63">
        <v>0</v>
      </c>
      <c r="AG187" s="63">
        <v>0</v>
      </c>
      <c r="AH187" s="63">
        <v>0</v>
      </c>
      <c r="AI187" s="63">
        <v>0</v>
      </c>
      <c r="AJ187" s="63">
        <v>0</v>
      </c>
      <c r="AK187" s="63">
        <v>0</v>
      </c>
      <c r="AL187" s="63">
        <v>0</v>
      </c>
      <c r="AM187" s="63">
        <v>0</v>
      </c>
      <c r="AN187" s="63">
        <v>0</v>
      </c>
      <c r="AO187" s="63">
        <v>0</v>
      </c>
      <c r="AP187" s="63">
        <v>0</v>
      </c>
      <c r="AQ187" s="63">
        <v>0</v>
      </c>
      <c r="AR187" s="63">
        <v>0</v>
      </c>
      <c r="AS187" s="63">
        <v>0</v>
      </c>
      <c r="AT187" s="63">
        <v>0</v>
      </c>
      <c r="AU187" s="63">
        <v>0</v>
      </c>
      <c r="AV187" s="63">
        <v>0</v>
      </c>
      <c r="AW187" s="63">
        <v>0</v>
      </c>
      <c r="AX187" s="63">
        <v>0</v>
      </c>
      <c r="AY187" s="63">
        <v>0</v>
      </c>
      <c r="AZ187" s="63">
        <v>0</v>
      </c>
      <c r="BA187" s="63">
        <v>1</v>
      </c>
      <c r="BB187" s="63">
        <v>0</v>
      </c>
      <c r="BC187" s="63">
        <v>0</v>
      </c>
      <c r="BD187" s="63">
        <v>0</v>
      </c>
      <c r="BE187" s="63">
        <v>0</v>
      </c>
      <c r="BF187" s="63">
        <v>1</v>
      </c>
      <c r="BG187" s="63">
        <v>0</v>
      </c>
      <c r="BH187" s="63">
        <v>0</v>
      </c>
      <c r="BI187" s="63">
        <v>1</v>
      </c>
      <c r="BJ187" s="63">
        <v>0</v>
      </c>
      <c r="BK187" s="63">
        <v>0</v>
      </c>
      <c r="BL187" s="63">
        <v>0</v>
      </c>
      <c r="BM187" s="63">
        <v>0</v>
      </c>
      <c r="BN187" s="63">
        <v>0</v>
      </c>
      <c r="BO187" s="63">
        <v>0</v>
      </c>
      <c r="BP187" s="63">
        <v>0</v>
      </c>
      <c r="BQ187" s="63">
        <v>0</v>
      </c>
      <c r="BR187" s="63">
        <v>0</v>
      </c>
      <c r="BS187" s="63">
        <v>0</v>
      </c>
      <c r="BT187" s="63">
        <v>0</v>
      </c>
      <c r="BU187" s="63">
        <v>0</v>
      </c>
      <c r="BV187" s="63">
        <v>0</v>
      </c>
      <c r="BW187" s="63">
        <v>0</v>
      </c>
      <c r="BX187" s="63">
        <v>0</v>
      </c>
      <c r="BY187" s="63">
        <v>1</v>
      </c>
      <c r="BZ187" s="63">
        <v>0</v>
      </c>
      <c r="CA187" s="63">
        <v>0</v>
      </c>
      <c r="CB187" s="63">
        <v>0</v>
      </c>
      <c r="CC187" s="63">
        <v>0</v>
      </c>
      <c r="CD187" s="63">
        <v>0</v>
      </c>
      <c r="CE187" s="63">
        <v>0</v>
      </c>
      <c r="CF187" s="63">
        <v>0</v>
      </c>
      <c r="CG187" s="63">
        <v>0</v>
      </c>
      <c r="CH187" s="63">
        <v>0</v>
      </c>
      <c r="CI187" s="63">
        <v>0</v>
      </c>
      <c r="CJ187" s="63">
        <v>0</v>
      </c>
      <c r="CK187" s="63">
        <v>0</v>
      </c>
      <c r="CL187" s="63">
        <v>1</v>
      </c>
      <c r="CM187" s="63">
        <v>0</v>
      </c>
      <c r="CN187" s="63">
        <v>0</v>
      </c>
      <c r="CO187" s="63">
        <v>1</v>
      </c>
      <c r="CP187" s="63">
        <v>0</v>
      </c>
      <c r="CQ187" s="63">
        <v>0</v>
      </c>
      <c r="CR187" s="63">
        <v>0</v>
      </c>
      <c r="CS187" s="63">
        <v>0</v>
      </c>
      <c r="CT187" s="63">
        <v>0</v>
      </c>
      <c r="CU187" s="61"/>
    </row>
    <row r="188" spans="2:99" ht="12.75">
      <c r="B188" s="1">
        <v>89</v>
      </c>
      <c r="C188" s="63">
        <v>0</v>
      </c>
      <c r="D188" s="63">
        <v>0</v>
      </c>
      <c r="E188" s="63">
        <v>0</v>
      </c>
      <c r="F188" s="63">
        <v>0</v>
      </c>
      <c r="G188" s="63">
        <v>0</v>
      </c>
      <c r="H188" s="63">
        <v>0</v>
      </c>
      <c r="I188" s="63">
        <v>0</v>
      </c>
      <c r="J188" s="63">
        <v>0</v>
      </c>
      <c r="K188" s="63">
        <v>0</v>
      </c>
      <c r="L188" s="63">
        <v>0</v>
      </c>
      <c r="M188" s="63">
        <v>0</v>
      </c>
      <c r="N188" s="63">
        <v>0</v>
      </c>
      <c r="O188" s="63">
        <v>0</v>
      </c>
      <c r="P188" s="63">
        <v>0</v>
      </c>
      <c r="Q188" s="63">
        <v>0</v>
      </c>
      <c r="R188" s="63">
        <v>0</v>
      </c>
      <c r="S188" s="63">
        <v>0</v>
      </c>
      <c r="T188" s="63">
        <v>0</v>
      </c>
      <c r="U188" s="63">
        <v>0</v>
      </c>
      <c r="V188" s="63">
        <v>0</v>
      </c>
      <c r="W188" s="63">
        <v>0</v>
      </c>
      <c r="X188" s="63">
        <v>1</v>
      </c>
      <c r="Y188" s="63">
        <v>0</v>
      </c>
      <c r="Z188" s="63">
        <v>0</v>
      </c>
      <c r="AA188" s="63">
        <v>0</v>
      </c>
      <c r="AB188" s="63">
        <v>0</v>
      </c>
      <c r="AC188" s="63">
        <v>0</v>
      </c>
      <c r="AD188" s="63">
        <v>0</v>
      </c>
      <c r="AE188" s="63">
        <v>0</v>
      </c>
      <c r="AF188" s="63">
        <v>0</v>
      </c>
      <c r="AG188" s="63">
        <v>0</v>
      </c>
      <c r="AH188" s="63">
        <v>0</v>
      </c>
      <c r="AI188" s="63">
        <v>0</v>
      </c>
      <c r="AJ188" s="63">
        <v>0</v>
      </c>
      <c r="AK188" s="63">
        <v>0</v>
      </c>
      <c r="AL188" s="63">
        <v>0</v>
      </c>
      <c r="AM188" s="63">
        <v>0</v>
      </c>
      <c r="AN188" s="63">
        <v>0</v>
      </c>
      <c r="AO188" s="63">
        <v>0</v>
      </c>
      <c r="AP188" s="63">
        <v>0</v>
      </c>
      <c r="AQ188" s="63">
        <v>0</v>
      </c>
      <c r="AR188" s="63">
        <v>0</v>
      </c>
      <c r="AS188" s="63">
        <v>0</v>
      </c>
      <c r="AT188" s="63">
        <v>0</v>
      </c>
      <c r="AU188" s="63">
        <v>0</v>
      </c>
      <c r="AV188" s="63">
        <v>0</v>
      </c>
      <c r="AW188" s="63">
        <v>0</v>
      </c>
      <c r="AX188" s="63">
        <v>0</v>
      </c>
      <c r="AY188" s="63">
        <v>0</v>
      </c>
      <c r="AZ188" s="63">
        <v>0</v>
      </c>
      <c r="BA188" s="63">
        <v>0</v>
      </c>
      <c r="BB188" s="63">
        <v>0</v>
      </c>
      <c r="BC188" s="63">
        <v>0</v>
      </c>
      <c r="BD188" s="63">
        <v>1</v>
      </c>
      <c r="BE188" s="63">
        <v>0</v>
      </c>
      <c r="BF188" s="63">
        <v>0</v>
      </c>
      <c r="BG188" s="63">
        <v>0</v>
      </c>
      <c r="BH188" s="63">
        <v>0</v>
      </c>
      <c r="BI188" s="63">
        <v>0</v>
      </c>
      <c r="BJ188" s="63">
        <v>0</v>
      </c>
      <c r="BK188" s="63">
        <v>0</v>
      </c>
      <c r="BL188" s="63">
        <v>0</v>
      </c>
      <c r="BM188" s="63">
        <v>0</v>
      </c>
      <c r="BN188" s="63">
        <v>0</v>
      </c>
      <c r="BO188" s="63">
        <v>0</v>
      </c>
      <c r="BP188" s="63">
        <v>1</v>
      </c>
      <c r="BQ188" s="63">
        <v>0</v>
      </c>
      <c r="BR188" s="63">
        <v>0</v>
      </c>
      <c r="BS188" s="63">
        <v>0</v>
      </c>
      <c r="BT188" s="63">
        <v>1</v>
      </c>
      <c r="BU188" s="63">
        <v>0</v>
      </c>
      <c r="BV188" s="63">
        <v>0</v>
      </c>
      <c r="BW188" s="63">
        <v>0</v>
      </c>
      <c r="BX188" s="63">
        <v>0</v>
      </c>
      <c r="BY188" s="63">
        <v>0</v>
      </c>
      <c r="BZ188" s="63">
        <v>0</v>
      </c>
      <c r="CA188" s="63">
        <v>0</v>
      </c>
      <c r="CB188" s="63">
        <v>0</v>
      </c>
      <c r="CC188" s="63">
        <v>0</v>
      </c>
      <c r="CD188" s="63">
        <v>0</v>
      </c>
      <c r="CE188" s="63">
        <v>0</v>
      </c>
      <c r="CF188" s="63">
        <v>0</v>
      </c>
      <c r="CG188" s="63">
        <v>0</v>
      </c>
      <c r="CH188" s="63">
        <v>0</v>
      </c>
      <c r="CI188" s="63">
        <v>0</v>
      </c>
      <c r="CJ188" s="63">
        <v>0</v>
      </c>
      <c r="CK188" s="63">
        <v>0</v>
      </c>
      <c r="CL188" s="63">
        <v>0</v>
      </c>
      <c r="CM188" s="63">
        <v>1</v>
      </c>
      <c r="CN188" s="63">
        <v>0</v>
      </c>
      <c r="CO188" s="63">
        <v>1</v>
      </c>
      <c r="CP188" s="63">
        <v>0</v>
      </c>
      <c r="CQ188" s="63">
        <v>0</v>
      </c>
      <c r="CR188" s="63">
        <v>0</v>
      </c>
      <c r="CS188" s="63">
        <v>0</v>
      </c>
      <c r="CT188" s="63">
        <v>0</v>
      </c>
      <c r="CU188" s="61"/>
    </row>
    <row r="189" spans="2:99" ht="12.75">
      <c r="B189" s="1">
        <v>90</v>
      </c>
      <c r="C189" s="63">
        <v>0</v>
      </c>
      <c r="D189" s="63">
        <v>0</v>
      </c>
      <c r="E189" s="63">
        <v>0</v>
      </c>
      <c r="F189" s="63">
        <v>0</v>
      </c>
      <c r="G189" s="63">
        <v>0</v>
      </c>
      <c r="H189" s="63">
        <v>0</v>
      </c>
      <c r="I189" s="63">
        <v>0</v>
      </c>
      <c r="J189" s="63">
        <v>0</v>
      </c>
      <c r="K189" s="63">
        <v>0</v>
      </c>
      <c r="L189" s="63">
        <v>0</v>
      </c>
      <c r="M189" s="63">
        <v>0</v>
      </c>
      <c r="N189" s="63">
        <v>0</v>
      </c>
      <c r="O189" s="63">
        <v>0</v>
      </c>
      <c r="P189" s="63">
        <v>0</v>
      </c>
      <c r="Q189" s="63">
        <v>0</v>
      </c>
      <c r="R189" s="63">
        <v>0</v>
      </c>
      <c r="S189" s="63">
        <v>0</v>
      </c>
      <c r="T189" s="63">
        <v>0</v>
      </c>
      <c r="U189" s="63">
        <v>0</v>
      </c>
      <c r="V189" s="63">
        <v>0</v>
      </c>
      <c r="W189" s="63">
        <v>0</v>
      </c>
      <c r="X189" s="63">
        <v>0</v>
      </c>
      <c r="Y189" s="63">
        <v>0</v>
      </c>
      <c r="Z189" s="63">
        <v>0</v>
      </c>
      <c r="AA189" s="63">
        <v>0</v>
      </c>
      <c r="AB189" s="63">
        <v>0</v>
      </c>
      <c r="AC189" s="63">
        <v>0</v>
      </c>
      <c r="AD189" s="63">
        <v>0</v>
      </c>
      <c r="AE189" s="63">
        <v>0</v>
      </c>
      <c r="AF189" s="63">
        <v>0</v>
      </c>
      <c r="AG189" s="63">
        <v>0</v>
      </c>
      <c r="AH189" s="63">
        <v>0</v>
      </c>
      <c r="AI189" s="63">
        <v>0</v>
      </c>
      <c r="AJ189" s="63">
        <v>0</v>
      </c>
      <c r="AK189" s="63">
        <v>0</v>
      </c>
      <c r="AL189" s="63">
        <v>0</v>
      </c>
      <c r="AM189" s="63">
        <v>0</v>
      </c>
      <c r="AN189" s="63">
        <v>0</v>
      </c>
      <c r="AO189" s="63">
        <v>0</v>
      </c>
      <c r="AP189" s="63">
        <v>0</v>
      </c>
      <c r="AQ189" s="63">
        <v>0</v>
      </c>
      <c r="AR189" s="63">
        <v>0</v>
      </c>
      <c r="AS189" s="63">
        <v>0</v>
      </c>
      <c r="AT189" s="63">
        <v>0</v>
      </c>
      <c r="AU189" s="63">
        <v>0</v>
      </c>
      <c r="AV189" s="63">
        <v>0</v>
      </c>
      <c r="AW189" s="63">
        <v>0</v>
      </c>
      <c r="AX189" s="63">
        <v>0</v>
      </c>
      <c r="AY189" s="63">
        <v>0</v>
      </c>
      <c r="AZ189" s="63">
        <v>0</v>
      </c>
      <c r="BA189" s="63">
        <v>0</v>
      </c>
      <c r="BB189" s="63">
        <v>0</v>
      </c>
      <c r="BC189" s="63">
        <v>0</v>
      </c>
      <c r="BD189" s="63">
        <v>0</v>
      </c>
      <c r="BE189" s="63">
        <v>1</v>
      </c>
      <c r="BF189" s="63">
        <v>0</v>
      </c>
      <c r="BG189" s="63">
        <v>0</v>
      </c>
      <c r="BH189" s="63">
        <v>0</v>
      </c>
      <c r="BI189" s="63">
        <v>0</v>
      </c>
      <c r="BJ189" s="63">
        <v>0</v>
      </c>
      <c r="BK189" s="63">
        <v>0</v>
      </c>
      <c r="BL189" s="63">
        <v>0</v>
      </c>
      <c r="BM189" s="63">
        <v>0</v>
      </c>
      <c r="BN189" s="63">
        <v>0</v>
      </c>
      <c r="BO189" s="63">
        <v>0</v>
      </c>
      <c r="BP189" s="63">
        <v>0</v>
      </c>
      <c r="BQ189" s="63">
        <v>0</v>
      </c>
      <c r="BR189" s="63">
        <v>0</v>
      </c>
      <c r="BS189" s="63">
        <v>0</v>
      </c>
      <c r="BT189" s="63">
        <v>0</v>
      </c>
      <c r="BU189" s="63">
        <v>1</v>
      </c>
      <c r="BV189" s="63">
        <v>1</v>
      </c>
      <c r="BW189" s="63">
        <v>0</v>
      </c>
      <c r="BX189" s="63">
        <v>0</v>
      </c>
      <c r="BY189" s="63">
        <v>0</v>
      </c>
      <c r="BZ189" s="63">
        <v>0</v>
      </c>
      <c r="CA189" s="63">
        <v>0</v>
      </c>
      <c r="CB189" s="63">
        <v>0</v>
      </c>
      <c r="CC189" s="63">
        <v>0</v>
      </c>
      <c r="CD189" s="63">
        <v>0</v>
      </c>
      <c r="CE189" s="63">
        <v>1</v>
      </c>
      <c r="CF189" s="63">
        <v>0</v>
      </c>
      <c r="CG189" s="63">
        <v>0</v>
      </c>
      <c r="CH189" s="63">
        <v>0</v>
      </c>
      <c r="CI189" s="63">
        <v>1</v>
      </c>
      <c r="CJ189" s="63">
        <v>0</v>
      </c>
      <c r="CK189" s="63">
        <v>0</v>
      </c>
      <c r="CL189" s="63">
        <v>0</v>
      </c>
      <c r="CM189" s="63">
        <v>0</v>
      </c>
      <c r="CN189" s="63">
        <v>1</v>
      </c>
      <c r="CO189" s="63">
        <v>0</v>
      </c>
      <c r="CP189" s="63">
        <v>0</v>
      </c>
      <c r="CQ189" s="63">
        <v>0</v>
      </c>
      <c r="CR189" s="63">
        <v>0</v>
      </c>
      <c r="CS189" s="63">
        <v>0</v>
      </c>
      <c r="CT189" s="63">
        <v>0</v>
      </c>
      <c r="CU189" s="61"/>
    </row>
    <row r="190" spans="2:99" ht="12.75">
      <c r="B190" s="1">
        <v>91</v>
      </c>
      <c r="C190" s="63">
        <v>0</v>
      </c>
      <c r="D190" s="63">
        <v>0</v>
      </c>
      <c r="E190" s="63">
        <v>0</v>
      </c>
      <c r="F190" s="63">
        <v>0</v>
      </c>
      <c r="G190" s="63">
        <v>0</v>
      </c>
      <c r="H190" s="63">
        <v>0</v>
      </c>
      <c r="I190" s="63">
        <v>0</v>
      </c>
      <c r="J190" s="63">
        <v>0</v>
      </c>
      <c r="K190" s="63">
        <v>0</v>
      </c>
      <c r="L190" s="63">
        <v>0</v>
      </c>
      <c r="M190" s="63">
        <v>0</v>
      </c>
      <c r="N190" s="63">
        <v>0</v>
      </c>
      <c r="O190" s="63">
        <v>0</v>
      </c>
      <c r="P190" s="63">
        <v>0</v>
      </c>
      <c r="Q190" s="63">
        <v>0</v>
      </c>
      <c r="R190" s="63">
        <v>0</v>
      </c>
      <c r="S190" s="63">
        <v>0</v>
      </c>
      <c r="T190" s="63">
        <v>0</v>
      </c>
      <c r="U190" s="63">
        <v>0</v>
      </c>
      <c r="V190" s="63">
        <v>0</v>
      </c>
      <c r="W190" s="63">
        <v>0</v>
      </c>
      <c r="X190" s="63">
        <v>0</v>
      </c>
      <c r="Y190" s="63">
        <v>0</v>
      </c>
      <c r="Z190" s="63">
        <v>0</v>
      </c>
      <c r="AA190" s="63">
        <v>0</v>
      </c>
      <c r="AB190" s="63">
        <v>0</v>
      </c>
      <c r="AC190" s="63">
        <v>0</v>
      </c>
      <c r="AD190" s="63">
        <v>0</v>
      </c>
      <c r="AE190" s="63">
        <v>0</v>
      </c>
      <c r="AF190" s="63">
        <v>0</v>
      </c>
      <c r="AG190" s="63">
        <v>0</v>
      </c>
      <c r="AH190" s="63">
        <v>0</v>
      </c>
      <c r="AI190" s="63">
        <v>0</v>
      </c>
      <c r="AJ190" s="63">
        <v>0</v>
      </c>
      <c r="AK190" s="63">
        <v>0</v>
      </c>
      <c r="AL190" s="63">
        <v>0</v>
      </c>
      <c r="AM190" s="63">
        <v>0</v>
      </c>
      <c r="AN190" s="63">
        <v>0</v>
      </c>
      <c r="AO190" s="63">
        <v>0</v>
      </c>
      <c r="AP190" s="63">
        <v>0</v>
      </c>
      <c r="AQ190" s="63">
        <v>0</v>
      </c>
      <c r="AR190" s="63">
        <v>0</v>
      </c>
      <c r="AS190" s="63">
        <v>0</v>
      </c>
      <c r="AT190" s="63">
        <v>0</v>
      </c>
      <c r="AU190" s="63">
        <v>0</v>
      </c>
      <c r="AV190" s="63">
        <v>0</v>
      </c>
      <c r="AW190" s="63">
        <v>0</v>
      </c>
      <c r="AX190" s="63">
        <v>0</v>
      </c>
      <c r="AY190" s="63">
        <v>0</v>
      </c>
      <c r="AZ190" s="63">
        <v>0</v>
      </c>
      <c r="BA190" s="63">
        <v>0</v>
      </c>
      <c r="BB190" s="63">
        <v>0</v>
      </c>
      <c r="BC190" s="63">
        <v>0</v>
      </c>
      <c r="BD190" s="63">
        <v>1</v>
      </c>
      <c r="BE190" s="63">
        <v>0</v>
      </c>
      <c r="BF190" s="63">
        <v>1</v>
      </c>
      <c r="BG190" s="63">
        <v>0</v>
      </c>
      <c r="BH190" s="63">
        <v>0</v>
      </c>
      <c r="BI190" s="63">
        <v>0</v>
      </c>
      <c r="BJ190" s="63">
        <v>0</v>
      </c>
      <c r="BK190" s="63">
        <v>0</v>
      </c>
      <c r="BL190" s="63">
        <v>0</v>
      </c>
      <c r="BM190" s="63">
        <v>0</v>
      </c>
      <c r="BN190" s="63">
        <v>0</v>
      </c>
      <c r="BO190" s="63">
        <v>0</v>
      </c>
      <c r="BP190" s="63">
        <v>0</v>
      </c>
      <c r="BQ190" s="63">
        <v>0</v>
      </c>
      <c r="BR190" s="63">
        <v>0</v>
      </c>
      <c r="BS190" s="63">
        <v>0</v>
      </c>
      <c r="BT190" s="63">
        <v>1</v>
      </c>
      <c r="BU190" s="63">
        <v>0</v>
      </c>
      <c r="BV190" s="63">
        <v>0</v>
      </c>
      <c r="BW190" s="63">
        <v>0</v>
      </c>
      <c r="BX190" s="63">
        <v>0</v>
      </c>
      <c r="BY190" s="63">
        <v>1</v>
      </c>
      <c r="BZ190" s="63">
        <v>0</v>
      </c>
      <c r="CA190" s="63">
        <v>0</v>
      </c>
      <c r="CB190" s="63">
        <v>0</v>
      </c>
      <c r="CC190" s="63">
        <v>0</v>
      </c>
      <c r="CD190" s="63">
        <v>0</v>
      </c>
      <c r="CE190" s="63">
        <v>0</v>
      </c>
      <c r="CF190" s="63">
        <v>0</v>
      </c>
      <c r="CG190" s="63">
        <v>0</v>
      </c>
      <c r="CH190" s="63">
        <v>0</v>
      </c>
      <c r="CI190" s="63">
        <v>0</v>
      </c>
      <c r="CJ190" s="63">
        <v>0</v>
      </c>
      <c r="CK190" s="63">
        <v>0</v>
      </c>
      <c r="CL190" s="63">
        <v>1</v>
      </c>
      <c r="CM190" s="63">
        <v>1</v>
      </c>
      <c r="CN190" s="63">
        <v>0</v>
      </c>
      <c r="CO190" s="63">
        <v>1</v>
      </c>
      <c r="CP190" s="63">
        <v>0</v>
      </c>
      <c r="CQ190" s="63">
        <v>0</v>
      </c>
      <c r="CR190" s="63">
        <v>0</v>
      </c>
      <c r="CS190" s="63">
        <v>0</v>
      </c>
      <c r="CT190" s="63">
        <v>0</v>
      </c>
      <c r="CU190" s="61"/>
    </row>
    <row r="191" spans="2:99" ht="12.75">
      <c r="B191" s="1">
        <v>92</v>
      </c>
      <c r="C191" s="63">
        <v>0</v>
      </c>
      <c r="D191" s="63">
        <v>0</v>
      </c>
      <c r="E191" s="63">
        <v>0</v>
      </c>
      <c r="F191" s="63">
        <v>0</v>
      </c>
      <c r="G191" s="63">
        <v>0</v>
      </c>
      <c r="H191" s="63">
        <v>0</v>
      </c>
      <c r="I191" s="63">
        <v>0</v>
      </c>
      <c r="J191" s="63">
        <v>0</v>
      </c>
      <c r="K191" s="63">
        <v>0</v>
      </c>
      <c r="L191" s="63">
        <v>0</v>
      </c>
      <c r="M191" s="63">
        <v>0</v>
      </c>
      <c r="N191" s="63">
        <v>0</v>
      </c>
      <c r="O191" s="63">
        <v>0</v>
      </c>
      <c r="P191" s="63">
        <v>0</v>
      </c>
      <c r="Q191" s="63">
        <v>0</v>
      </c>
      <c r="R191" s="63">
        <v>0</v>
      </c>
      <c r="S191" s="63">
        <v>0</v>
      </c>
      <c r="T191" s="63">
        <v>0</v>
      </c>
      <c r="U191" s="63">
        <v>0</v>
      </c>
      <c r="V191" s="63">
        <v>0</v>
      </c>
      <c r="W191" s="63">
        <v>0</v>
      </c>
      <c r="X191" s="63">
        <v>0</v>
      </c>
      <c r="Y191" s="63">
        <v>0</v>
      </c>
      <c r="Z191" s="63">
        <v>0</v>
      </c>
      <c r="AA191" s="63">
        <v>0</v>
      </c>
      <c r="AB191" s="63">
        <v>0</v>
      </c>
      <c r="AC191" s="63">
        <v>0</v>
      </c>
      <c r="AD191" s="63">
        <v>0</v>
      </c>
      <c r="AE191" s="63">
        <v>0</v>
      </c>
      <c r="AF191" s="63">
        <v>0</v>
      </c>
      <c r="AG191" s="63">
        <v>0</v>
      </c>
      <c r="AH191" s="63">
        <v>0</v>
      </c>
      <c r="AI191" s="63">
        <v>0</v>
      </c>
      <c r="AJ191" s="63">
        <v>0</v>
      </c>
      <c r="AK191" s="63">
        <v>0</v>
      </c>
      <c r="AL191" s="63">
        <v>0</v>
      </c>
      <c r="AM191" s="63">
        <v>0</v>
      </c>
      <c r="AN191" s="63">
        <v>0</v>
      </c>
      <c r="AO191" s="63">
        <v>0</v>
      </c>
      <c r="AP191" s="63">
        <v>1</v>
      </c>
      <c r="AQ191" s="63">
        <v>0</v>
      </c>
      <c r="AR191" s="63">
        <v>0</v>
      </c>
      <c r="AS191" s="63">
        <v>0</v>
      </c>
      <c r="AT191" s="63">
        <v>0</v>
      </c>
      <c r="AU191" s="63">
        <v>0</v>
      </c>
      <c r="AV191" s="63">
        <v>0</v>
      </c>
      <c r="AW191" s="63">
        <v>0</v>
      </c>
      <c r="AX191" s="63">
        <v>0</v>
      </c>
      <c r="AY191" s="63">
        <v>0</v>
      </c>
      <c r="AZ191" s="63">
        <v>0</v>
      </c>
      <c r="BA191" s="63">
        <v>0</v>
      </c>
      <c r="BB191" s="63">
        <v>0</v>
      </c>
      <c r="BC191" s="63">
        <v>0</v>
      </c>
      <c r="BD191" s="63">
        <v>0</v>
      </c>
      <c r="BE191" s="63">
        <v>0</v>
      </c>
      <c r="BF191" s="63">
        <v>0</v>
      </c>
      <c r="BG191" s="63">
        <v>0</v>
      </c>
      <c r="BH191" s="63">
        <v>0</v>
      </c>
      <c r="BI191" s="63">
        <v>1</v>
      </c>
      <c r="BJ191" s="63">
        <v>0</v>
      </c>
      <c r="BK191" s="63">
        <v>0</v>
      </c>
      <c r="BL191" s="63">
        <v>0</v>
      </c>
      <c r="BM191" s="63">
        <v>0</v>
      </c>
      <c r="BN191" s="63">
        <v>0</v>
      </c>
      <c r="BO191" s="63">
        <v>0</v>
      </c>
      <c r="BP191" s="63">
        <v>0</v>
      </c>
      <c r="BQ191" s="63">
        <v>0</v>
      </c>
      <c r="BR191" s="63">
        <v>0</v>
      </c>
      <c r="BS191" s="63">
        <v>0</v>
      </c>
      <c r="BT191" s="63">
        <v>0</v>
      </c>
      <c r="BU191" s="63">
        <v>0</v>
      </c>
      <c r="BV191" s="63">
        <v>0</v>
      </c>
      <c r="BW191" s="63">
        <v>1</v>
      </c>
      <c r="BX191" s="63">
        <v>1</v>
      </c>
      <c r="BY191" s="63">
        <v>0</v>
      </c>
      <c r="BZ191" s="63">
        <v>0</v>
      </c>
      <c r="CA191" s="63">
        <v>0</v>
      </c>
      <c r="CB191" s="63">
        <v>0</v>
      </c>
      <c r="CC191" s="63">
        <v>0</v>
      </c>
      <c r="CD191" s="63">
        <v>0</v>
      </c>
      <c r="CE191" s="63">
        <v>0</v>
      </c>
      <c r="CF191" s="63">
        <v>0</v>
      </c>
      <c r="CG191" s="63">
        <v>0</v>
      </c>
      <c r="CH191" s="63">
        <v>0</v>
      </c>
      <c r="CI191" s="63">
        <v>0</v>
      </c>
      <c r="CJ191" s="63">
        <v>0</v>
      </c>
      <c r="CK191" s="63">
        <v>0</v>
      </c>
      <c r="CL191" s="63">
        <v>0</v>
      </c>
      <c r="CM191" s="63">
        <v>0</v>
      </c>
      <c r="CN191" s="63">
        <v>0</v>
      </c>
      <c r="CO191" s="63">
        <v>0</v>
      </c>
      <c r="CP191" s="63">
        <v>1</v>
      </c>
      <c r="CQ191" s="63">
        <v>1</v>
      </c>
      <c r="CR191" s="63">
        <v>0</v>
      </c>
      <c r="CS191" s="63">
        <v>0</v>
      </c>
      <c r="CT191" s="63">
        <v>0</v>
      </c>
      <c r="CU191" s="61"/>
    </row>
    <row r="192" spans="2:99" ht="12.75">
      <c r="B192" s="1">
        <v>93</v>
      </c>
      <c r="C192" s="63">
        <v>0</v>
      </c>
      <c r="D192" s="63">
        <v>0</v>
      </c>
      <c r="E192" s="63">
        <v>0</v>
      </c>
      <c r="F192" s="63">
        <v>0</v>
      </c>
      <c r="G192" s="63">
        <v>0</v>
      </c>
      <c r="H192" s="63">
        <v>0</v>
      </c>
      <c r="I192" s="63">
        <v>0</v>
      </c>
      <c r="J192" s="63">
        <v>0</v>
      </c>
      <c r="K192" s="63">
        <v>0</v>
      </c>
      <c r="L192" s="63">
        <v>0</v>
      </c>
      <c r="M192" s="63">
        <v>0</v>
      </c>
      <c r="N192" s="63">
        <v>0</v>
      </c>
      <c r="O192" s="63">
        <v>0</v>
      </c>
      <c r="P192" s="63">
        <v>0</v>
      </c>
      <c r="Q192" s="63">
        <v>0</v>
      </c>
      <c r="R192" s="63">
        <v>0</v>
      </c>
      <c r="S192" s="63">
        <v>0</v>
      </c>
      <c r="T192" s="63">
        <v>0</v>
      </c>
      <c r="U192" s="63">
        <v>0</v>
      </c>
      <c r="V192" s="63">
        <v>0</v>
      </c>
      <c r="W192" s="63">
        <v>0</v>
      </c>
      <c r="X192" s="63">
        <v>0</v>
      </c>
      <c r="Y192" s="63">
        <v>0</v>
      </c>
      <c r="Z192" s="63">
        <v>0</v>
      </c>
      <c r="AA192" s="63">
        <v>0</v>
      </c>
      <c r="AB192" s="63">
        <v>0</v>
      </c>
      <c r="AC192" s="63">
        <v>0</v>
      </c>
      <c r="AD192" s="63">
        <v>0</v>
      </c>
      <c r="AE192" s="63">
        <v>0</v>
      </c>
      <c r="AF192" s="63">
        <v>0</v>
      </c>
      <c r="AG192" s="63">
        <v>0</v>
      </c>
      <c r="AH192" s="63">
        <v>0</v>
      </c>
      <c r="AI192" s="63">
        <v>0</v>
      </c>
      <c r="AJ192" s="63">
        <v>0</v>
      </c>
      <c r="AK192" s="63">
        <v>0</v>
      </c>
      <c r="AL192" s="63">
        <v>0</v>
      </c>
      <c r="AM192" s="63">
        <v>0</v>
      </c>
      <c r="AN192" s="63">
        <v>0</v>
      </c>
      <c r="AO192" s="63">
        <v>0</v>
      </c>
      <c r="AP192" s="63">
        <v>1</v>
      </c>
      <c r="AQ192" s="63">
        <v>0</v>
      </c>
      <c r="AR192" s="63">
        <v>0</v>
      </c>
      <c r="AS192" s="63">
        <v>0</v>
      </c>
      <c r="AT192" s="63">
        <v>0</v>
      </c>
      <c r="AU192" s="63">
        <v>0</v>
      </c>
      <c r="AV192" s="63">
        <v>0</v>
      </c>
      <c r="AW192" s="63">
        <v>0</v>
      </c>
      <c r="AX192" s="63">
        <v>0</v>
      </c>
      <c r="AY192" s="63">
        <v>0</v>
      </c>
      <c r="AZ192" s="63">
        <v>0</v>
      </c>
      <c r="BA192" s="63">
        <v>1</v>
      </c>
      <c r="BB192" s="63">
        <v>0</v>
      </c>
      <c r="BC192" s="63">
        <v>0</v>
      </c>
      <c r="BD192" s="63">
        <v>0</v>
      </c>
      <c r="BE192" s="63">
        <v>0</v>
      </c>
      <c r="BF192" s="63">
        <v>0</v>
      </c>
      <c r="BG192" s="63">
        <v>0</v>
      </c>
      <c r="BH192" s="63">
        <v>0</v>
      </c>
      <c r="BI192" s="63">
        <v>1</v>
      </c>
      <c r="BJ192" s="63">
        <v>0</v>
      </c>
      <c r="BK192" s="63">
        <v>0</v>
      </c>
      <c r="BL192" s="63">
        <v>0</v>
      </c>
      <c r="BM192" s="63">
        <v>0</v>
      </c>
      <c r="BN192" s="63">
        <v>0</v>
      </c>
      <c r="BO192" s="63">
        <v>0</v>
      </c>
      <c r="BP192" s="63">
        <v>0</v>
      </c>
      <c r="BQ192" s="63">
        <v>0</v>
      </c>
      <c r="BR192" s="63">
        <v>0</v>
      </c>
      <c r="BS192" s="63">
        <v>0</v>
      </c>
      <c r="BT192" s="63">
        <v>0</v>
      </c>
      <c r="BU192" s="63">
        <v>0</v>
      </c>
      <c r="BV192" s="63">
        <v>0</v>
      </c>
      <c r="BW192" s="63">
        <v>1</v>
      </c>
      <c r="BX192" s="63">
        <v>0</v>
      </c>
      <c r="BY192" s="63">
        <v>0</v>
      </c>
      <c r="BZ192" s="63">
        <v>0</v>
      </c>
      <c r="CA192" s="63">
        <v>0</v>
      </c>
      <c r="CB192" s="63">
        <v>0</v>
      </c>
      <c r="CC192" s="63">
        <v>0</v>
      </c>
      <c r="CD192" s="63">
        <v>0</v>
      </c>
      <c r="CE192" s="63">
        <v>0</v>
      </c>
      <c r="CF192" s="63">
        <v>0</v>
      </c>
      <c r="CG192" s="63">
        <v>0</v>
      </c>
      <c r="CH192" s="63">
        <v>0</v>
      </c>
      <c r="CI192" s="63">
        <v>0</v>
      </c>
      <c r="CJ192" s="63">
        <v>0</v>
      </c>
      <c r="CK192" s="63">
        <v>0</v>
      </c>
      <c r="CL192" s="63">
        <v>0</v>
      </c>
      <c r="CM192" s="63">
        <v>0</v>
      </c>
      <c r="CN192" s="63">
        <v>0</v>
      </c>
      <c r="CO192" s="63">
        <v>0</v>
      </c>
      <c r="CP192" s="63">
        <v>1</v>
      </c>
      <c r="CQ192" s="63">
        <v>1</v>
      </c>
      <c r="CR192" s="63">
        <v>0</v>
      </c>
      <c r="CS192" s="63">
        <v>0</v>
      </c>
      <c r="CT192" s="63">
        <v>0</v>
      </c>
      <c r="CU192" s="61"/>
    </row>
    <row r="193" spans="1:99" ht="12.75">
      <c r="B193" s="1">
        <v>94</v>
      </c>
      <c r="C193" s="63">
        <v>0</v>
      </c>
      <c r="D193" s="63">
        <v>0</v>
      </c>
      <c r="E193" s="63">
        <v>0</v>
      </c>
      <c r="F193" s="63">
        <v>0</v>
      </c>
      <c r="G193" s="63">
        <v>0</v>
      </c>
      <c r="H193" s="63">
        <v>0</v>
      </c>
      <c r="I193" s="63">
        <v>0</v>
      </c>
      <c r="J193" s="63">
        <v>0</v>
      </c>
      <c r="K193" s="63">
        <v>0</v>
      </c>
      <c r="L193" s="63">
        <v>0</v>
      </c>
      <c r="M193" s="63">
        <v>0</v>
      </c>
      <c r="N193" s="63">
        <v>0</v>
      </c>
      <c r="O193" s="63">
        <v>0</v>
      </c>
      <c r="P193" s="63">
        <v>0</v>
      </c>
      <c r="Q193" s="63">
        <v>0</v>
      </c>
      <c r="R193" s="63">
        <v>0</v>
      </c>
      <c r="S193" s="63">
        <v>0</v>
      </c>
      <c r="T193" s="63">
        <v>0</v>
      </c>
      <c r="U193" s="63">
        <v>0</v>
      </c>
      <c r="V193" s="63">
        <v>0</v>
      </c>
      <c r="W193" s="63">
        <v>0</v>
      </c>
      <c r="X193" s="63">
        <v>0</v>
      </c>
      <c r="Y193" s="63">
        <v>0</v>
      </c>
      <c r="Z193" s="63">
        <v>0</v>
      </c>
      <c r="AA193" s="63">
        <v>0</v>
      </c>
      <c r="AB193" s="63">
        <v>0</v>
      </c>
      <c r="AC193" s="63">
        <v>0</v>
      </c>
      <c r="AD193" s="63">
        <v>0</v>
      </c>
      <c r="AE193" s="63">
        <v>0</v>
      </c>
      <c r="AF193" s="63">
        <v>0</v>
      </c>
      <c r="AG193" s="63">
        <v>0</v>
      </c>
      <c r="AH193" s="63">
        <v>0</v>
      </c>
      <c r="AI193" s="63">
        <v>0</v>
      </c>
      <c r="AJ193" s="63">
        <v>0</v>
      </c>
      <c r="AK193" s="63">
        <v>0</v>
      </c>
      <c r="AL193" s="63">
        <v>0</v>
      </c>
      <c r="AM193" s="63">
        <v>0</v>
      </c>
      <c r="AN193" s="63">
        <v>0</v>
      </c>
      <c r="AO193" s="63">
        <v>0</v>
      </c>
      <c r="AP193" s="63">
        <v>0</v>
      </c>
      <c r="AQ193" s="63">
        <v>1</v>
      </c>
      <c r="AR193" s="63">
        <v>0</v>
      </c>
      <c r="AS193" s="63">
        <v>0</v>
      </c>
      <c r="AT193" s="63">
        <v>0</v>
      </c>
      <c r="AU193" s="63">
        <v>0</v>
      </c>
      <c r="AV193" s="63">
        <v>0</v>
      </c>
      <c r="AW193" s="63">
        <v>0</v>
      </c>
      <c r="AX193" s="63">
        <v>0</v>
      </c>
      <c r="AY193" s="63">
        <v>0</v>
      </c>
      <c r="AZ193" s="63">
        <v>0</v>
      </c>
      <c r="BA193" s="63">
        <v>0</v>
      </c>
      <c r="BB193" s="63">
        <v>0</v>
      </c>
      <c r="BC193" s="63">
        <v>0</v>
      </c>
      <c r="BD193" s="63">
        <v>0</v>
      </c>
      <c r="BE193" s="63">
        <v>0</v>
      </c>
      <c r="BF193" s="63">
        <v>0</v>
      </c>
      <c r="BG193" s="63">
        <v>0</v>
      </c>
      <c r="BH193" s="63">
        <v>0</v>
      </c>
      <c r="BI193" s="63">
        <v>1</v>
      </c>
      <c r="BJ193" s="63">
        <v>0</v>
      </c>
      <c r="BK193" s="63">
        <v>0</v>
      </c>
      <c r="BL193" s="63">
        <v>0</v>
      </c>
      <c r="BM193" s="63">
        <v>1</v>
      </c>
      <c r="BN193" s="63">
        <v>1</v>
      </c>
      <c r="BO193" s="63">
        <v>0</v>
      </c>
      <c r="BP193" s="63">
        <v>0</v>
      </c>
      <c r="BQ193" s="63">
        <v>0</v>
      </c>
      <c r="BR193" s="63">
        <v>0</v>
      </c>
      <c r="BS193" s="63">
        <v>0</v>
      </c>
      <c r="BT193" s="63">
        <v>0</v>
      </c>
      <c r="BU193" s="63">
        <v>0</v>
      </c>
      <c r="BV193" s="63">
        <v>0</v>
      </c>
      <c r="BW193" s="63">
        <v>0</v>
      </c>
      <c r="BX193" s="63">
        <v>0</v>
      </c>
      <c r="BY193" s="63">
        <v>1</v>
      </c>
      <c r="BZ193" s="63">
        <v>0</v>
      </c>
      <c r="CA193" s="63">
        <v>0</v>
      </c>
      <c r="CB193" s="63">
        <v>0</v>
      </c>
      <c r="CC193" s="63">
        <v>0</v>
      </c>
      <c r="CD193" s="63">
        <v>0</v>
      </c>
      <c r="CE193" s="63">
        <v>0</v>
      </c>
      <c r="CF193" s="63">
        <v>0</v>
      </c>
      <c r="CG193" s="63">
        <v>0</v>
      </c>
      <c r="CH193" s="63">
        <v>0</v>
      </c>
      <c r="CI193" s="63">
        <v>0</v>
      </c>
      <c r="CJ193" s="63">
        <v>0</v>
      </c>
      <c r="CK193" s="63">
        <v>1</v>
      </c>
      <c r="CL193" s="63">
        <v>0</v>
      </c>
      <c r="CM193" s="63">
        <v>0</v>
      </c>
      <c r="CN193" s="63">
        <v>0</v>
      </c>
      <c r="CO193" s="63">
        <v>0</v>
      </c>
      <c r="CP193" s="63">
        <v>0</v>
      </c>
      <c r="CQ193" s="63">
        <v>0</v>
      </c>
      <c r="CR193" s="63">
        <v>1</v>
      </c>
      <c r="CS193" s="63">
        <v>0</v>
      </c>
      <c r="CT193" s="63">
        <v>0</v>
      </c>
      <c r="CU193" s="61"/>
    </row>
    <row r="194" spans="1:99" ht="12.75">
      <c r="B194" s="1">
        <v>95</v>
      </c>
      <c r="C194" s="63">
        <v>0</v>
      </c>
      <c r="D194" s="63">
        <v>0</v>
      </c>
      <c r="E194" s="63">
        <v>0</v>
      </c>
      <c r="F194" s="63">
        <v>0</v>
      </c>
      <c r="G194" s="63">
        <v>0</v>
      </c>
      <c r="H194" s="63">
        <v>0</v>
      </c>
      <c r="I194" s="63">
        <v>0</v>
      </c>
      <c r="J194" s="63">
        <v>0</v>
      </c>
      <c r="K194" s="63">
        <v>0</v>
      </c>
      <c r="L194" s="63">
        <v>0</v>
      </c>
      <c r="M194" s="63">
        <v>0</v>
      </c>
      <c r="N194" s="63">
        <v>0</v>
      </c>
      <c r="O194" s="63">
        <v>0</v>
      </c>
      <c r="P194" s="63">
        <v>0</v>
      </c>
      <c r="Q194" s="63">
        <v>0</v>
      </c>
      <c r="R194" s="63">
        <v>0</v>
      </c>
      <c r="S194" s="63">
        <v>0</v>
      </c>
      <c r="T194" s="63">
        <v>0</v>
      </c>
      <c r="U194" s="63">
        <v>0</v>
      </c>
      <c r="V194" s="63">
        <v>0</v>
      </c>
      <c r="W194" s="63">
        <v>0</v>
      </c>
      <c r="X194" s="63">
        <v>0</v>
      </c>
      <c r="Y194" s="63">
        <v>0</v>
      </c>
      <c r="Z194" s="63">
        <v>0</v>
      </c>
      <c r="AA194" s="63">
        <v>0</v>
      </c>
      <c r="AB194" s="63">
        <v>0</v>
      </c>
      <c r="AC194" s="63">
        <v>0</v>
      </c>
      <c r="AD194" s="63">
        <v>0</v>
      </c>
      <c r="AE194" s="63">
        <v>0</v>
      </c>
      <c r="AF194" s="63">
        <v>0</v>
      </c>
      <c r="AG194" s="63">
        <v>0</v>
      </c>
      <c r="AH194" s="63">
        <v>0</v>
      </c>
      <c r="AI194" s="63">
        <v>0</v>
      </c>
      <c r="AJ194" s="63">
        <v>0</v>
      </c>
      <c r="AK194" s="63">
        <v>0</v>
      </c>
      <c r="AL194" s="63">
        <v>0</v>
      </c>
      <c r="AM194" s="63">
        <v>0</v>
      </c>
      <c r="AN194" s="63">
        <v>0</v>
      </c>
      <c r="AO194" s="63">
        <v>0</v>
      </c>
      <c r="AP194" s="63">
        <v>0</v>
      </c>
      <c r="AQ194" s="63">
        <v>0</v>
      </c>
      <c r="AR194" s="63">
        <v>0</v>
      </c>
      <c r="AS194" s="63">
        <v>1</v>
      </c>
      <c r="AT194" s="63">
        <v>0</v>
      </c>
      <c r="AU194" s="63">
        <v>0</v>
      </c>
      <c r="AV194" s="63">
        <v>0</v>
      </c>
      <c r="AW194" s="63">
        <v>0</v>
      </c>
      <c r="AX194" s="63">
        <v>0</v>
      </c>
      <c r="AY194" s="63">
        <v>0</v>
      </c>
      <c r="AZ194" s="63">
        <v>1</v>
      </c>
      <c r="BA194" s="63">
        <v>0</v>
      </c>
      <c r="BB194" s="63">
        <v>0</v>
      </c>
      <c r="BC194" s="63">
        <v>0</v>
      </c>
      <c r="BD194" s="63">
        <v>0</v>
      </c>
      <c r="BE194" s="63">
        <v>0</v>
      </c>
      <c r="BF194" s="63">
        <v>0</v>
      </c>
      <c r="BG194" s="63">
        <v>0</v>
      </c>
      <c r="BH194" s="63">
        <v>0</v>
      </c>
      <c r="BI194" s="63">
        <v>0</v>
      </c>
      <c r="BJ194" s="63">
        <v>0</v>
      </c>
      <c r="BK194" s="63">
        <v>0</v>
      </c>
      <c r="BL194" s="63">
        <v>0</v>
      </c>
      <c r="BM194" s="63">
        <v>0</v>
      </c>
      <c r="BN194" s="63">
        <v>1</v>
      </c>
      <c r="BO194" s="63">
        <v>0</v>
      </c>
      <c r="BP194" s="63">
        <v>0</v>
      </c>
      <c r="BQ194" s="63">
        <v>0</v>
      </c>
      <c r="BR194" s="63">
        <v>0</v>
      </c>
      <c r="BS194" s="63">
        <v>0</v>
      </c>
      <c r="BT194" s="63">
        <v>0</v>
      </c>
      <c r="BU194" s="63">
        <v>0</v>
      </c>
      <c r="BV194" s="63">
        <v>0</v>
      </c>
      <c r="BW194" s="63">
        <v>0</v>
      </c>
      <c r="BX194" s="63">
        <v>0</v>
      </c>
      <c r="BY194" s="63">
        <v>0</v>
      </c>
      <c r="BZ194" s="63">
        <v>0</v>
      </c>
      <c r="CA194" s="63">
        <v>0</v>
      </c>
      <c r="CB194" s="63">
        <v>0</v>
      </c>
      <c r="CC194" s="63">
        <v>1</v>
      </c>
      <c r="CD194" s="63">
        <v>0</v>
      </c>
      <c r="CE194" s="63">
        <v>0</v>
      </c>
      <c r="CF194" s="63">
        <v>0</v>
      </c>
      <c r="CG194" s="63">
        <v>0</v>
      </c>
      <c r="CH194" s="63">
        <v>0</v>
      </c>
      <c r="CI194" s="63">
        <v>0</v>
      </c>
      <c r="CJ194" s="63">
        <v>1</v>
      </c>
      <c r="CK194" s="63">
        <v>1</v>
      </c>
      <c r="CL194" s="63">
        <v>0</v>
      </c>
      <c r="CM194" s="63">
        <v>0</v>
      </c>
      <c r="CN194" s="63">
        <v>0</v>
      </c>
      <c r="CO194" s="63">
        <v>0</v>
      </c>
      <c r="CP194" s="63">
        <v>0</v>
      </c>
      <c r="CQ194" s="63">
        <v>0</v>
      </c>
      <c r="CR194" s="63">
        <v>0</v>
      </c>
      <c r="CS194" s="63">
        <v>1</v>
      </c>
      <c r="CT194" s="63">
        <v>0</v>
      </c>
      <c r="CU194" s="61"/>
    </row>
    <row r="195" spans="1:99" ht="12.75">
      <c r="B195" s="1">
        <v>96</v>
      </c>
      <c r="C195" s="63">
        <v>0</v>
      </c>
      <c r="D195" s="63">
        <v>0</v>
      </c>
      <c r="E195" s="63">
        <v>0</v>
      </c>
      <c r="F195" s="63">
        <v>0</v>
      </c>
      <c r="G195" s="63">
        <v>0</v>
      </c>
      <c r="H195" s="63">
        <v>0</v>
      </c>
      <c r="I195" s="63">
        <v>0</v>
      </c>
      <c r="J195" s="63">
        <v>0</v>
      </c>
      <c r="K195" s="63">
        <v>0</v>
      </c>
      <c r="L195" s="63">
        <v>0</v>
      </c>
      <c r="M195" s="63">
        <v>0</v>
      </c>
      <c r="N195" s="63">
        <v>0</v>
      </c>
      <c r="O195" s="63">
        <v>0</v>
      </c>
      <c r="P195" s="63">
        <v>0</v>
      </c>
      <c r="Q195" s="63">
        <v>0</v>
      </c>
      <c r="R195" s="63">
        <v>0</v>
      </c>
      <c r="S195" s="63">
        <v>0</v>
      </c>
      <c r="T195" s="63">
        <v>0</v>
      </c>
      <c r="U195" s="63">
        <v>0</v>
      </c>
      <c r="V195" s="63">
        <v>0</v>
      </c>
      <c r="W195" s="63">
        <v>0</v>
      </c>
      <c r="X195" s="63">
        <v>0</v>
      </c>
      <c r="Y195" s="63">
        <v>0</v>
      </c>
      <c r="Z195" s="63">
        <v>0</v>
      </c>
      <c r="AA195" s="63">
        <v>0</v>
      </c>
      <c r="AB195" s="63">
        <v>0</v>
      </c>
      <c r="AC195" s="63">
        <v>0</v>
      </c>
      <c r="AD195" s="63">
        <v>0</v>
      </c>
      <c r="AE195" s="63">
        <v>0</v>
      </c>
      <c r="AF195" s="63">
        <v>0</v>
      </c>
      <c r="AG195" s="63">
        <v>0</v>
      </c>
      <c r="AH195" s="63">
        <v>0</v>
      </c>
      <c r="AI195" s="63">
        <v>0</v>
      </c>
      <c r="AJ195" s="63">
        <v>0</v>
      </c>
      <c r="AK195" s="63">
        <v>0</v>
      </c>
      <c r="AL195" s="63">
        <v>0</v>
      </c>
      <c r="AM195" s="63">
        <v>0</v>
      </c>
      <c r="AN195" s="63">
        <v>0</v>
      </c>
      <c r="AO195" s="63">
        <v>0</v>
      </c>
      <c r="AP195" s="63">
        <v>0</v>
      </c>
      <c r="AQ195" s="63">
        <v>0</v>
      </c>
      <c r="AR195" s="63">
        <v>0</v>
      </c>
      <c r="AS195" s="63">
        <v>0</v>
      </c>
      <c r="AT195" s="63">
        <v>0</v>
      </c>
      <c r="AU195" s="63">
        <v>0</v>
      </c>
      <c r="AV195" s="63">
        <v>0</v>
      </c>
      <c r="AW195" s="63">
        <v>0</v>
      </c>
      <c r="AX195" s="63">
        <v>0</v>
      </c>
      <c r="AY195" s="63">
        <v>0</v>
      </c>
      <c r="AZ195" s="63">
        <v>0</v>
      </c>
      <c r="BA195" s="63">
        <v>0</v>
      </c>
      <c r="BB195" s="63">
        <v>0</v>
      </c>
      <c r="BC195" s="63">
        <v>0</v>
      </c>
      <c r="BD195" s="63">
        <v>0</v>
      </c>
      <c r="BE195" s="63">
        <v>0</v>
      </c>
      <c r="BF195" s="63">
        <v>0</v>
      </c>
      <c r="BG195" s="63">
        <v>0</v>
      </c>
      <c r="BH195" s="63">
        <v>0</v>
      </c>
      <c r="BI195" s="63">
        <v>0</v>
      </c>
      <c r="BJ195" s="63">
        <v>0</v>
      </c>
      <c r="BK195" s="63">
        <v>0</v>
      </c>
      <c r="BL195" s="63">
        <v>0</v>
      </c>
      <c r="BM195" s="63">
        <v>0</v>
      </c>
      <c r="BN195" s="63">
        <v>0</v>
      </c>
      <c r="BO195" s="63">
        <v>0</v>
      </c>
      <c r="BP195" s="63">
        <v>0</v>
      </c>
      <c r="BQ195" s="63">
        <v>0</v>
      </c>
      <c r="BR195" s="63">
        <v>0</v>
      </c>
      <c r="BS195" s="63">
        <v>0</v>
      </c>
      <c r="BT195" s="63">
        <v>0</v>
      </c>
      <c r="BU195" s="63">
        <v>0</v>
      </c>
      <c r="BV195" s="63">
        <v>0</v>
      </c>
      <c r="BW195" s="63">
        <v>1</v>
      </c>
      <c r="BX195" s="63">
        <v>1</v>
      </c>
      <c r="BY195" s="63">
        <v>0</v>
      </c>
      <c r="BZ195" s="63">
        <v>0</v>
      </c>
      <c r="CA195" s="63">
        <v>1</v>
      </c>
      <c r="CB195" s="63">
        <v>0</v>
      </c>
      <c r="CC195" s="63">
        <v>0</v>
      </c>
      <c r="CD195" s="63">
        <v>0</v>
      </c>
      <c r="CE195" s="63">
        <v>0</v>
      </c>
      <c r="CF195" s="63">
        <v>0</v>
      </c>
      <c r="CG195" s="63">
        <v>0</v>
      </c>
      <c r="CH195" s="63">
        <v>0</v>
      </c>
      <c r="CI195" s="63">
        <v>0</v>
      </c>
      <c r="CJ195" s="63">
        <v>0</v>
      </c>
      <c r="CK195" s="63">
        <v>0</v>
      </c>
      <c r="CL195" s="63">
        <v>0</v>
      </c>
      <c r="CM195" s="63">
        <v>0</v>
      </c>
      <c r="CN195" s="63">
        <v>0</v>
      </c>
      <c r="CO195" s="63">
        <v>0</v>
      </c>
      <c r="CP195" s="63">
        <v>0</v>
      </c>
      <c r="CQ195" s="63">
        <v>0</v>
      </c>
      <c r="CR195" s="63">
        <v>0</v>
      </c>
      <c r="CS195" s="63">
        <v>0</v>
      </c>
      <c r="CT195" s="63">
        <v>0</v>
      </c>
      <c r="CU195" s="61"/>
    </row>
    <row r="196" spans="1:99" ht="12.75">
      <c r="B196" s="1">
        <v>97</v>
      </c>
      <c r="C196" s="63">
        <v>0</v>
      </c>
      <c r="D196" s="63">
        <v>0</v>
      </c>
      <c r="E196" s="63">
        <v>0</v>
      </c>
      <c r="F196" s="63">
        <v>0</v>
      </c>
      <c r="G196" s="63">
        <v>0</v>
      </c>
      <c r="H196" s="63">
        <v>0</v>
      </c>
      <c r="I196" s="63">
        <v>0</v>
      </c>
      <c r="J196" s="63">
        <v>0</v>
      </c>
      <c r="K196" s="63">
        <v>0</v>
      </c>
      <c r="L196" s="63">
        <v>0</v>
      </c>
      <c r="M196" s="63">
        <v>0</v>
      </c>
      <c r="N196" s="63">
        <v>0</v>
      </c>
      <c r="O196" s="63">
        <v>0</v>
      </c>
      <c r="P196" s="63">
        <v>0</v>
      </c>
      <c r="Q196" s="63">
        <v>1</v>
      </c>
      <c r="R196" s="63">
        <v>0</v>
      </c>
      <c r="S196" s="63">
        <v>0</v>
      </c>
      <c r="T196" s="63">
        <v>0</v>
      </c>
      <c r="U196" s="63">
        <v>0</v>
      </c>
      <c r="V196" s="63">
        <v>0</v>
      </c>
      <c r="W196" s="63">
        <v>0</v>
      </c>
      <c r="X196" s="63">
        <v>0</v>
      </c>
      <c r="Y196" s="63">
        <v>0</v>
      </c>
      <c r="Z196" s="63">
        <v>0</v>
      </c>
      <c r="AA196" s="63">
        <v>1</v>
      </c>
      <c r="AB196" s="63">
        <v>1</v>
      </c>
      <c r="AC196" s="63">
        <v>0</v>
      </c>
      <c r="AD196" s="63">
        <v>0</v>
      </c>
      <c r="AE196" s="63">
        <v>0</v>
      </c>
      <c r="AF196" s="63">
        <v>0</v>
      </c>
      <c r="AG196" s="63">
        <v>0</v>
      </c>
      <c r="AH196" s="63">
        <v>0</v>
      </c>
      <c r="AI196" s="63">
        <v>0</v>
      </c>
      <c r="AJ196" s="63">
        <v>0</v>
      </c>
      <c r="AK196" s="63">
        <v>0</v>
      </c>
      <c r="AL196" s="63">
        <v>0</v>
      </c>
      <c r="AM196" s="63">
        <v>0</v>
      </c>
      <c r="AN196" s="63">
        <v>0</v>
      </c>
      <c r="AO196" s="63">
        <v>0</v>
      </c>
      <c r="AP196" s="63">
        <v>0</v>
      </c>
      <c r="AQ196" s="63">
        <v>0</v>
      </c>
      <c r="AR196" s="63">
        <v>0</v>
      </c>
      <c r="AS196" s="63">
        <v>0</v>
      </c>
      <c r="AT196" s="63">
        <v>0</v>
      </c>
      <c r="AU196" s="63">
        <v>0</v>
      </c>
      <c r="AV196" s="63">
        <v>0</v>
      </c>
      <c r="AW196" s="63">
        <v>0</v>
      </c>
      <c r="AX196" s="63">
        <v>0</v>
      </c>
      <c r="AY196" s="63">
        <v>0</v>
      </c>
      <c r="AZ196" s="63">
        <v>0</v>
      </c>
      <c r="BA196" s="63">
        <v>0</v>
      </c>
      <c r="BB196" s="63">
        <v>0</v>
      </c>
      <c r="BC196" s="63">
        <v>0</v>
      </c>
      <c r="BD196" s="63">
        <v>0</v>
      </c>
      <c r="BE196" s="63">
        <v>0</v>
      </c>
      <c r="BF196" s="63">
        <v>0</v>
      </c>
      <c r="BG196" s="63">
        <v>0</v>
      </c>
      <c r="BH196" s="63">
        <v>0</v>
      </c>
      <c r="BI196" s="63">
        <v>0</v>
      </c>
      <c r="BJ196" s="63">
        <v>0</v>
      </c>
      <c r="BK196" s="63">
        <v>0</v>
      </c>
      <c r="BL196" s="63">
        <v>0</v>
      </c>
      <c r="BM196" s="63">
        <v>0</v>
      </c>
      <c r="BN196" s="63">
        <v>0</v>
      </c>
      <c r="BO196" s="63">
        <v>0</v>
      </c>
      <c r="BP196" s="63">
        <v>0</v>
      </c>
      <c r="BQ196" s="63">
        <v>0</v>
      </c>
      <c r="BR196" s="63">
        <v>1</v>
      </c>
      <c r="BS196" s="63">
        <v>0</v>
      </c>
      <c r="BT196" s="63">
        <v>0</v>
      </c>
      <c r="BU196" s="63">
        <v>0</v>
      </c>
      <c r="BV196" s="63">
        <v>0</v>
      </c>
      <c r="BW196" s="63">
        <v>0</v>
      </c>
      <c r="BX196" s="63">
        <v>0</v>
      </c>
      <c r="BY196" s="63">
        <v>0</v>
      </c>
      <c r="BZ196" s="63">
        <v>0</v>
      </c>
      <c r="CA196" s="63">
        <v>0</v>
      </c>
      <c r="CB196" s="63">
        <v>0</v>
      </c>
      <c r="CC196" s="63">
        <v>0</v>
      </c>
      <c r="CD196" s="63">
        <v>0</v>
      </c>
      <c r="CE196" s="63">
        <v>0</v>
      </c>
      <c r="CF196" s="63">
        <v>0</v>
      </c>
      <c r="CG196" s="63">
        <v>0</v>
      </c>
      <c r="CH196" s="63">
        <v>0</v>
      </c>
      <c r="CI196" s="63">
        <v>0</v>
      </c>
      <c r="CJ196" s="63">
        <v>0</v>
      </c>
      <c r="CK196" s="63">
        <v>0</v>
      </c>
      <c r="CL196" s="63">
        <v>0</v>
      </c>
      <c r="CM196" s="63">
        <v>0</v>
      </c>
      <c r="CN196" s="63">
        <v>0</v>
      </c>
      <c r="CO196" s="63">
        <v>0</v>
      </c>
      <c r="CP196" s="63">
        <v>0</v>
      </c>
      <c r="CQ196" s="63">
        <v>0</v>
      </c>
      <c r="CR196" s="63">
        <v>0</v>
      </c>
      <c r="CS196" s="63">
        <v>0</v>
      </c>
      <c r="CT196" s="63">
        <v>0</v>
      </c>
      <c r="CU196" s="61"/>
    </row>
    <row r="197" spans="1:99" ht="12.75">
      <c r="B197" s="1">
        <v>98</v>
      </c>
      <c r="C197" s="63">
        <v>0</v>
      </c>
      <c r="D197" s="63">
        <v>0</v>
      </c>
      <c r="E197" s="63">
        <v>0</v>
      </c>
      <c r="F197" s="63">
        <v>0</v>
      </c>
      <c r="G197" s="63">
        <v>1</v>
      </c>
      <c r="H197" s="63">
        <v>1</v>
      </c>
      <c r="I197" s="63">
        <v>0</v>
      </c>
      <c r="J197" s="63">
        <v>0</v>
      </c>
      <c r="K197" s="63">
        <v>0</v>
      </c>
      <c r="L197" s="63">
        <v>0</v>
      </c>
      <c r="M197" s="63">
        <v>0</v>
      </c>
      <c r="N197" s="63">
        <v>0</v>
      </c>
      <c r="O197" s="63">
        <v>0</v>
      </c>
      <c r="P197" s="63">
        <v>1</v>
      </c>
      <c r="Q197" s="63">
        <v>0</v>
      </c>
      <c r="R197" s="63">
        <v>0</v>
      </c>
      <c r="S197" s="63">
        <v>0</v>
      </c>
      <c r="T197" s="63">
        <v>0</v>
      </c>
      <c r="U197" s="63">
        <v>0</v>
      </c>
      <c r="V197" s="63">
        <v>0</v>
      </c>
      <c r="W197" s="63">
        <v>0</v>
      </c>
      <c r="X197" s="63">
        <v>0</v>
      </c>
      <c r="Y197" s="63">
        <v>0</v>
      </c>
      <c r="Z197" s="63">
        <v>1</v>
      </c>
      <c r="AA197" s="63">
        <v>0</v>
      </c>
      <c r="AB197" s="63">
        <v>0</v>
      </c>
      <c r="AC197" s="63">
        <v>0</v>
      </c>
      <c r="AD197" s="63">
        <v>0</v>
      </c>
      <c r="AE197" s="63">
        <v>0</v>
      </c>
      <c r="AF197" s="63">
        <v>1</v>
      </c>
      <c r="AG197" s="63">
        <v>0</v>
      </c>
      <c r="AH197" s="63">
        <v>0</v>
      </c>
      <c r="AI197" s="63">
        <v>0</v>
      </c>
      <c r="AJ197" s="63">
        <v>0</v>
      </c>
      <c r="AK197" s="63">
        <v>0</v>
      </c>
      <c r="AL197" s="63">
        <v>0</v>
      </c>
      <c r="AM197" s="63">
        <v>0</v>
      </c>
      <c r="AN197" s="63">
        <v>0</v>
      </c>
      <c r="AO197" s="63">
        <v>0</v>
      </c>
      <c r="AP197" s="63">
        <v>0</v>
      </c>
      <c r="AQ197" s="63">
        <v>0</v>
      </c>
      <c r="AR197" s="63">
        <v>0</v>
      </c>
      <c r="AS197" s="63">
        <v>0</v>
      </c>
      <c r="AT197" s="63">
        <v>0</v>
      </c>
      <c r="AU197" s="63">
        <v>0</v>
      </c>
      <c r="AV197" s="63">
        <v>0</v>
      </c>
      <c r="AW197" s="63">
        <v>1</v>
      </c>
      <c r="AX197" s="63">
        <v>0</v>
      </c>
      <c r="AY197" s="63">
        <v>0</v>
      </c>
      <c r="AZ197" s="63">
        <v>0</v>
      </c>
      <c r="BA197" s="63">
        <v>0</v>
      </c>
      <c r="BB197" s="63">
        <v>0</v>
      </c>
      <c r="BC197" s="63">
        <v>0</v>
      </c>
      <c r="BD197" s="63">
        <v>0</v>
      </c>
      <c r="BE197" s="63">
        <v>0</v>
      </c>
      <c r="BF197" s="63">
        <v>0</v>
      </c>
      <c r="BG197" s="63">
        <v>0</v>
      </c>
      <c r="BH197" s="63">
        <v>0</v>
      </c>
      <c r="BI197" s="63">
        <v>0</v>
      </c>
      <c r="BJ197" s="63">
        <v>1</v>
      </c>
      <c r="BK197" s="63">
        <v>0</v>
      </c>
      <c r="BL197" s="63">
        <v>0</v>
      </c>
      <c r="BM197" s="63">
        <v>0</v>
      </c>
      <c r="BN197" s="63">
        <v>0</v>
      </c>
      <c r="BO197" s="63">
        <v>0</v>
      </c>
      <c r="BP197" s="63">
        <v>0</v>
      </c>
      <c r="BQ197" s="63">
        <v>0</v>
      </c>
      <c r="BR197" s="63">
        <v>0</v>
      </c>
      <c r="BS197" s="63">
        <v>0</v>
      </c>
      <c r="BT197" s="63">
        <v>0</v>
      </c>
      <c r="BU197" s="63">
        <v>0</v>
      </c>
      <c r="BV197" s="63">
        <v>0</v>
      </c>
      <c r="BW197" s="63">
        <v>0</v>
      </c>
      <c r="BX197" s="63">
        <v>0</v>
      </c>
      <c r="BY197" s="63">
        <v>0</v>
      </c>
      <c r="BZ197" s="63">
        <v>0</v>
      </c>
      <c r="CA197" s="63">
        <v>0</v>
      </c>
      <c r="CB197" s="63">
        <v>0</v>
      </c>
      <c r="CC197" s="63">
        <v>0</v>
      </c>
      <c r="CD197" s="63">
        <v>0</v>
      </c>
      <c r="CE197" s="63">
        <v>0</v>
      </c>
      <c r="CF197" s="63">
        <v>0</v>
      </c>
      <c r="CG197" s="63">
        <v>0</v>
      </c>
      <c r="CH197" s="63">
        <v>0</v>
      </c>
      <c r="CI197" s="63">
        <v>0</v>
      </c>
      <c r="CJ197" s="63">
        <v>0</v>
      </c>
      <c r="CK197" s="63">
        <v>0</v>
      </c>
      <c r="CL197" s="63">
        <v>0</v>
      </c>
      <c r="CM197" s="63">
        <v>0</v>
      </c>
      <c r="CN197" s="63">
        <v>0</v>
      </c>
      <c r="CO197" s="63">
        <v>0</v>
      </c>
      <c r="CP197" s="63">
        <v>0</v>
      </c>
      <c r="CQ197" s="63">
        <v>0</v>
      </c>
      <c r="CR197" s="63">
        <v>0</v>
      </c>
      <c r="CS197" s="63">
        <v>0</v>
      </c>
      <c r="CT197" s="63">
        <v>1</v>
      </c>
      <c r="CU197" s="61"/>
    </row>
    <row r="198" spans="1:99" ht="12.75">
      <c r="B198" s="1">
        <v>99</v>
      </c>
      <c r="C198" s="63">
        <v>0</v>
      </c>
      <c r="D198" s="63">
        <v>0</v>
      </c>
      <c r="E198" s="63">
        <v>0</v>
      </c>
      <c r="F198" s="63">
        <v>0</v>
      </c>
      <c r="G198" s="63">
        <v>0</v>
      </c>
      <c r="H198" s="63">
        <v>0</v>
      </c>
      <c r="I198" s="63">
        <v>0</v>
      </c>
      <c r="J198" s="63">
        <v>0</v>
      </c>
      <c r="K198" s="63">
        <v>0</v>
      </c>
      <c r="L198" s="63">
        <v>0</v>
      </c>
      <c r="M198" s="63">
        <v>0</v>
      </c>
      <c r="N198" s="63">
        <v>0</v>
      </c>
      <c r="O198" s="63">
        <v>0</v>
      </c>
      <c r="P198" s="63">
        <v>1</v>
      </c>
      <c r="Q198" s="63">
        <v>0</v>
      </c>
      <c r="R198" s="63">
        <v>0</v>
      </c>
      <c r="S198" s="63">
        <v>0</v>
      </c>
      <c r="T198" s="63">
        <v>0</v>
      </c>
      <c r="U198" s="63">
        <v>0</v>
      </c>
      <c r="V198" s="63">
        <v>0</v>
      </c>
      <c r="W198" s="63">
        <v>0</v>
      </c>
      <c r="X198" s="63">
        <v>0</v>
      </c>
      <c r="Y198" s="63">
        <v>0</v>
      </c>
      <c r="Z198" s="63">
        <v>0</v>
      </c>
      <c r="AA198" s="63">
        <v>0</v>
      </c>
      <c r="AB198" s="63">
        <v>0</v>
      </c>
      <c r="AC198" s="63">
        <v>0</v>
      </c>
      <c r="AD198" s="63">
        <v>0</v>
      </c>
      <c r="AE198" s="63">
        <v>0</v>
      </c>
      <c r="AF198" s="63">
        <v>0</v>
      </c>
      <c r="AG198" s="63">
        <v>0</v>
      </c>
      <c r="AH198" s="63">
        <v>0</v>
      </c>
      <c r="AI198" s="63">
        <v>0</v>
      </c>
      <c r="AJ198" s="63">
        <v>0</v>
      </c>
      <c r="AK198" s="63">
        <v>0</v>
      </c>
      <c r="AL198" s="63">
        <v>0</v>
      </c>
      <c r="AM198" s="63">
        <v>0</v>
      </c>
      <c r="AN198" s="63">
        <v>0</v>
      </c>
      <c r="AO198" s="63">
        <v>0</v>
      </c>
      <c r="AP198" s="63">
        <v>0</v>
      </c>
      <c r="AQ198" s="63">
        <v>0</v>
      </c>
      <c r="AR198" s="63">
        <v>0</v>
      </c>
      <c r="AS198" s="63">
        <v>0</v>
      </c>
      <c r="AT198" s="63">
        <v>0</v>
      </c>
      <c r="AU198" s="63">
        <v>0</v>
      </c>
      <c r="AV198" s="63">
        <v>0</v>
      </c>
      <c r="AW198" s="63">
        <v>1</v>
      </c>
      <c r="AX198" s="63">
        <v>0</v>
      </c>
      <c r="AY198" s="63">
        <v>0</v>
      </c>
      <c r="AZ198" s="63">
        <v>0</v>
      </c>
      <c r="BA198" s="63">
        <v>0</v>
      </c>
      <c r="BB198" s="63">
        <v>0</v>
      </c>
      <c r="BC198" s="63">
        <v>0</v>
      </c>
      <c r="BD198" s="63">
        <v>0</v>
      </c>
      <c r="BE198" s="63">
        <v>0</v>
      </c>
      <c r="BF198" s="63">
        <v>0</v>
      </c>
      <c r="BG198" s="63">
        <v>0</v>
      </c>
      <c r="BH198" s="63">
        <v>0</v>
      </c>
      <c r="BI198" s="63">
        <v>0</v>
      </c>
      <c r="BJ198" s="63">
        <v>1</v>
      </c>
      <c r="BK198" s="63">
        <v>0</v>
      </c>
      <c r="BL198" s="63">
        <v>0</v>
      </c>
      <c r="BM198" s="63">
        <v>0</v>
      </c>
      <c r="BN198" s="63">
        <v>0</v>
      </c>
      <c r="BO198" s="63">
        <v>0</v>
      </c>
      <c r="BP198" s="63">
        <v>0</v>
      </c>
      <c r="BQ198" s="63">
        <v>0</v>
      </c>
      <c r="BR198" s="63">
        <v>0</v>
      </c>
      <c r="BS198" s="63">
        <v>0</v>
      </c>
      <c r="BT198" s="63">
        <v>0</v>
      </c>
      <c r="BU198" s="63">
        <v>0</v>
      </c>
      <c r="BV198" s="63">
        <v>0</v>
      </c>
      <c r="BW198" s="63">
        <v>0</v>
      </c>
      <c r="BX198" s="63">
        <v>0</v>
      </c>
      <c r="BY198" s="63">
        <v>0</v>
      </c>
      <c r="BZ198" s="63">
        <v>0</v>
      </c>
      <c r="CA198" s="63">
        <v>0</v>
      </c>
      <c r="CB198" s="63">
        <v>0</v>
      </c>
      <c r="CC198" s="63">
        <v>0</v>
      </c>
      <c r="CD198" s="63">
        <v>1</v>
      </c>
      <c r="CE198" s="63">
        <v>1</v>
      </c>
      <c r="CF198" s="63">
        <v>0</v>
      </c>
      <c r="CG198" s="63">
        <v>0</v>
      </c>
      <c r="CH198" s="63">
        <v>0</v>
      </c>
      <c r="CI198" s="63">
        <v>0</v>
      </c>
      <c r="CJ198" s="63">
        <v>0</v>
      </c>
      <c r="CK198" s="63">
        <v>0</v>
      </c>
      <c r="CL198" s="63">
        <v>0</v>
      </c>
      <c r="CM198" s="63">
        <v>0</v>
      </c>
      <c r="CN198" s="63">
        <v>0</v>
      </c>
      <c r="CO198" s="63">
        <v>0</v>
      </c>
      <c r="CP198" s="63">
        <v>0</v>
      </c>
      <c r="CQ198" s="63">
        <v>0</v>
      </c>
      <c r="CR198" s="63">
        <v>0</v>
      </c>
      <c r="CS198" s="63">
        <v>0</v>
      </c>
      <c r="CT198" s="63">
        <v>1</v>
      </c>
      <c r="CU198" s="61"/>
    </row>
    <row r="199" spans="1:99" ht="12.75">
      <c r="B199" s="1">
        <v>100</v>
      </c>
      <c r="C199" s="63">
        <v>0</v>
      </c>
      <c r="D199" s="63">
        <v>0</v>
      </c>
      <c r="E199" s="63">
        <v>0</v>
      </c>
      <c r="F199" s="63">
        <v>1</v>
      </c>
      <c r="G199" s="63">
        <v>0</v>
      </c>
      <c r="H199" s="63">
        <v>0</v>
      </c>
      <c r="I199" s="63">
        <v>0</v>
      </c>
      <c r="J199" s="63">
        <v>0</v>
      </c>
      <c r="K199" s="63">
        <v>0</v>
      </c>
      <c r="L199" s="63">
        <v>0</v>
      </c>
      <c r="M199" s="63">
        <v>0</v>
      </c>
      <c r="N199" s="63">
        <v>0</v>
      </c>
      <c r="O199" s="63">
        <v>0</v>
      </c>
      <c r="P199" s="63">
        <v>0</v>
      </c>
      <c r="Q199" s="63">
        <v>1</v>
      </c>
      <c r="R199" s="63">
        <v>0</v>
      </c>
      <c r="S199" s="63">
        <v>0</v>
      </c>
      <c r="T199" s="63">
        <v>0</v>
      </c>
      <c r="U199" s="63">
        <v>0</v>
      </c>
      <c r="V199" s="63">
        <v>0</v>
      </c>
      <c r="W199" s="63">
        <v>0</v>
      </c>
      <c r="X199" s="63">
        <v>0</v>
      </c>
      <c r="Y199" s="63">
        <v>0</v>
      </c>
      <c r="Z199" s="63">
        <v>0</v>
      </c>
      <c r="AA199" s="63">
        <v>1</v>
      </c>
      <c r="AB199" s="63">
        <v>1</v>
      </c>
      <c r="AC199" s="63">
        <v>0</v>
      </c>
      <c r="AD199" s="63">
        <v>0</v>
      </c>
      <c r="AE199" s="63">
        <v>0</v>
      </c>
      <c r="AF199" s="63">
        <v>0</v>
      </c>
      <c r="AG199" s="63">
        <v>0</v>
      </c>
      <c r="AH199" s="63">
        <v>0</v>
      </c>
      <c r="AI199" s="63">
        <v>0</v>
      </c>
      <c r="AJ199" s="63">
        <v>0</v>
      </c>
      <c r="AK199" s="63">
        <v>0</v>
      </c>
      <c r="AL199" s="63">
        <v>0</v>
      </c>
      <c r="AM199" s="63">
        <v>0</v>
      </c>
      <c r="AN199" s="63">
        <v>0</v>
      </c>
      <c r="AO199" s="63">
        <v>1</v>
      </c>
      <c r="AP199" s="63">
        <v>0</v>
      </c>
      <c r="AQ199" s="63">
        <v>0</v>
      </c>
      <c r="AR199" s="63">
        <v>0</v>
      </c>
      <c r="AS199" s="63">
        <v>0</v>
      </c>
      <c r="AT199" s="63">
        <v>0</v>
      </c>
      <c r="AU199" s="63">
        <v>0</v>
      </c>
      <c r="AV199" s="63">
        <v>0</v>
      </c>
      <c r="AW199" s="63">
        <v>0</v>
      </c>
      <c r="AX199" s="63">
        <v>0</v>
      </c>
      <c r="AY199" s="63">
        <v>0</v>
      </c>
      <c r="AZ199" s="63">
        <v>0</v>
      </c>
      <c r="BA199" s="63">
        <v>0</v>
      </c>
      <c r="BB199" s="63">
        <v>0</v>
      </c>
      <c r="BC199" s="63">
        <v>0</v>
      </c>
      <c r="BD199" s="63">
        <v>0</v>
      </c>
      <c r="BE199" s="63">
        <v>0</v>
      </c>
      <c r="BF199" s="63">
        <v>0</v>
      </c>
      <c r="BG199" s="63">
        <v>0</v>
      </c>
      <c r="BH199" s="63">
        <v>0</v>
      </c>
      <c r="BI199" s="63">
        <v>0</v>
      </c>
      <c r="BJ199" s="63">
        <v>0</v>
      </c>
      <c r="BK199" s="63">
        <v>0</v>
      </c>
      <c r="BL199" s="63">
        <v>0</v>
      </c>
      <c r="BM199" s="63">
        <v>0</v>
      </c>
      <c r="BN199" s="63">
        <v>0</v>
      </c>
      <c r="BO199" s="63">
        <v>0</v>
      </c>
      <c r="BP199" s="63">
        <v>0</v>
      </c>
      <c r="BQ199" s="63">
        <v>0</v>
      </c>
      <c r="BR199" s="63">
        <v>1</v>
      </c>
      <c r="BS199" s="63">
        <v>0</v>
      </c>
      <c r="BT199" s="63">
        <v>0</v>
      </c>
      <c r="BU199" s="63">
        <v>0</v>
      </c>
      <c r="BV199" s="63">
        <v>0</v>
      </c>
      <c r="BW199" s="63">
        <v>0</v>
      </c>
      <c r="BX199" s="63">
        <v>0</v>
      </c>
      <c r="BY199" s="63">
        <v>0</v>
      </c>
      <c r="BZ199" s="63">
        <v>0</v>
      </c>
      <c r="CA199" s="63">
        <v>0</v>
      </c>
      <c r="CB199" s="63">
        <v>0</v>
      </c>
      <c r="CC199" s="63">
        <v>0</v>
      </c>
      <c r="CD199" s="63">
        <v>0</v>
      </c>
      <c r="CE199" s="63">
        <v>0</v>
      </c>
      <c r="CF199" s="63">
        <v>0</v>
      </c>
      <c r="CG199" s="63">
        <v>1</v>
      </c>
      <c r="CH199" s="63">
        <v>0</v>
      </c>
      <c r="CI199" s="63">
        <v>0</v>
      </c>
      <c r="CJ199" s="63">
        <v>0</v>
      </c>
      <c r="CK199" s="63">
        <v>0</v>
      </c>
      <c r="CL199" s="63">
        <v>0</v>
      </c>
      <c r="CM199" s="63">
        <v>0</v>
      </c>
      <c r="CN199" s="63">
        <v>0</v>
      </c>
      <c r="CO199" s="63">
        <v>0</v>
      </c>
      <c r="CP199" s="63">
        <v>0</v>
      </c>
      <c r="CQ199" s="63">
        <v>0</v>
      </c>
      <c r="CR199" s="63">
        <v>0</v>
      </c>
      <c r="CS199" s="63">
        <v>0</v>
      </c>
      <c r="CT199" s="63">
        <v>0</v>
      </c>
      <c r="CU199" s="61"/>
    </row>
    <row r="200" spans="1:99" ht="12.75">
      <c r="B200" s="1">
        <v>101</v>
      </c>
      <c r="C200" s="63">
        <v>0</v>
      </c>
      <c r="D200" s="63">
        <v>0</v>
      </c>
      <c r="E200" s="63">
        <v>0</v>
      </c>
      <c r="F200" s="63">
        <v>0</v>
      </c>
      <c r="G200" s="63">
        <v>0</v>
      </c>
      <c r="H200" s="63">
        <v>0</v>
      </c>
      <c r="I200" s="63">
        <v>0</v>
      </c>
      <c r="J200" s="63">
        <v>0</v>
      </c>
      <c r="K200" s="63">
        <v>0</v>
      </c>
      <c r="L200" s="63">
        <v>0</v>
      </c>
      <c r="M200" s="63">
        <v>0</v>
      </c>
      <c r="N200" s="63">
        <v>0</v>
      </c>
      <c r="O200" s="63">
        <v>0</v>
      </c>
      <c r="P200" s="63">
        <v>0</v>
      </c>
      <c r="Q200" s="63">
        <v>0</v>
      </c>
      <c r="R200" s="63">
        <v>0</v>
      </c>
      <c r="S200" s="63">
        <v>0</v>
      </c>
      <c r="T200" s="63">
        <v>0</v>
      </c>
      <c r="U200" s="63">
        <v>0</v>
      </c>
      <c r="V200" s="63">
        <v>0</v>
      </c>
      <c r="W200" s="63">
        <v>0</v>
      </c>
      <c r="X200" s="63">
        <v>0</v>
      </c>
      <c r="Y200" s="63">
        <v>0</v>
      </c>
      <c r="Z200" s="63">
        <v>0</v>
      </c>
      <c r="AA200" s="63">
        <v>1</v>
      </c>
      <c r="AB200" s="63">
        <v>1</v>
      </c>
      <c r="AC200" s="63">
        <v>0</v>
      </c>
      <c r="AD200" s="63">
        <v>0</v>
      </c>
      <c r="AE200" s="63">
        <v>0</v>
      </c>
      <c r="AF200" s="63">
        <v>0</v>
      </c>
      <c r="AG200" s="63">
        <v>0</v>
      </c>
      <c r="AH200" s="63">
        <v>0</v>
      </c>
      <c r="AI200" s="63">
        <v>0</v>
      </c>
      <c r="AJ200" s="63">
        <v>0</v>
      </c>
      <c r="AK200" s="63">
        <v>0</v>
      </c>
      <c r="AL200" s="63">
        <v>0</v>
      </c>
      <c r="AM200" s="63">
        <v>0</v>
      </c>
      <c r="AN200" s="63">
        <v>0</v>
      </c>
      <c r="AO200" s="63">
        <v>1</v>
      </c>
      <c r="AP200" s="63">
        <v>0</v>
      </c>
      <c r="AQ200" s="63">
        <v>0</v>
      </c>
      <c r="AR200" s="63">
        <v>0</v>
      </c>
      <c r="AS200" s="63">
        <v>0</v>
      </c>
      <c r="AT200" s="63">
        <v>1</v>
      </c>
      <c r="AU200" s="63">
        <v>0</v>
      </c>
      <c r="AV200" s="63">
        <v>0</v>
      </c>
      <c r="AW200" s="63">
        <v>0</v>
      </c>
      <c r="AX200" s="63">
        <v>0</v>
      </c>
      <c r="AY200" s="63">
        <v>0</v>
      </c>
      <c r="AZ200" s="63">
        <v>0</v>
      </c>
      <c r="BA200" s="63">
        <v>0</v>
      </c>
      <c r="BB200" s="63">
        <v>0</v>
      </c>
      <c r="BC200" s="63">
        <v>0</v>
      </c>
      <c r="BD200" s="63">
        <v>0</v>
      </c>
      <c r="BE200" s="63">
        <v>0</v>
      </c>
      <c r="BF200" s="63">
        <v>0</v>
      </c>
      <c r="BG200" s="63">
        <v>0</v>
      </c>
      <c r="BH200" s="63">
        <v>0</v>
      </c>
      <c r="BI200" s="63">
        <v>0</v>
      </c>
      <c r="BJ200" s="63">
        <v>0</v>
      </c>
      <c r="BK200" s="63">
        <v>0</v>
      </c>
      <c r="BL200" s="63">
        <v>0</v>
      </c>
      <c r="BM200" s="63">
        <v>0</v>
      </c>
      <c r="BN200" s="63">
        <v>0</v>
      </c>
      <c r="BO200" s="63">
        <v>0</v>
      </c>
      <c r="BP200" s="63">
        <v>0</v>
      </c>
      <c r="BQ200" s="63">
        <v>0</v>
      </c>
      <c r="BR200" s="63">
        <v>1</v>
      </c>
      <c r="BS200" s="63">
        <v>0</v>
      </c>
      <c r="BT200" s="63">
        <v>0</v>
      </c>
      <c r="BU200" s="63">
        <v>0</v>
      </c>
      <c r="BV200" s="63">
        <v>0</v>
      </c>
      <c r="BW200" s="63">
        <v>0</v>
      </c>
      <c r="BX200" s="63">
        <v>0</v>
      </c>
      <c r="BY200" s="63">
        <v>0</v>
      </c>
      <c r="BZ200" s="63">
        <v>0</v>
      </c>
      <c r="CA200" s="63">
        <v>0</v>
      </c>
      <c r="CB200" s="63">
        <v>0</v>
      </c>
      <c r="CC200" s="63">
        <v>0</v>
      </c>
      <c r="CD200" s="63">
        <v>0</v>
      </c>
      <c r="CE200" s="63">
        <v>0</v>
      </c>
      <c r="CF200" s="63">
        <v>1</v>
      </c>
      <c r="CG200" s="63">
        <v>0</v>
      </c>
      <c r="CH200" s="63">
        <v>0</v>
      </c>
      <c r="CI200" s="63">
        <v>0</v>
      </c>
      <c r="CJ200" s="63">
        <v>0</v>
      </c>
      <c r="CK200" s="63">
        <v>0</v>
      </c>
      <c r="CL200" s="63">
        <v>0</v>
      </c>
      <c r="CM200" s="63">
        <v>0</v>
      </c>
      <c r="CN200" s="63">
        <v>0</v>
      </c>
      <c r="CO200" s="63">
        <v>0</v>
      </c>
      <c r="CP200" s="63">
        <v>0</v>
      </c>
      <c r="CQ200" s="63">
        <v>0</v>
      </c>
      <c r="CR200" s="63">
        <v>0</v>
      </c>
      <c r="CS200" s="63">
        <v>0</v>
      </c>
      <c r="CT200" s="63">
        <v>0</v>
      </c>
      <c r="CU200" s="61"/>
    </row>
    <row r="201" spans="1:99" ht="12.75">
      <c r="B201" s="1">
        <v>102</v>
      </c>
      <c r="C201" s="63">
        <v>0</v>
      </c>
      <c r="D201" s="63">
        <v>0</v>
      </c>
      <c r="E201" s="63">
        <v>0</v>
      </c>
      <c r="F201" s="63">
        <v>0</v>
      </c>
      <c r="G201" s="63">
        <v>0</v>
      </c>
      <c r="H201" s="63">
        <v>0</v>
      </c>
      <c r="I201" s="63">
        <v>0</v>
      </c>
      <c r="J201" s="63">
        <v>0</v>
      </c>
      <c r="K201" s="63">
        <v>0</v>
      </c>
      <c r="L201" s="63">
        <v>0</v>
      </c>
      <c r="M201" s="63">
        <v>0</v>
      </c>
      <c r="N201" s="63">
        <v>0</v>
      </c>
      <c r="O201" s="63">
        <v>0</v>
      </c>
      <c r="P201" s="63">
        <v>1</v>
      </c>
      <c r="Q201" s="63">
        <v>0</v>
      </c>
      <c r="R201" s="63">
        <v>0</v>
      </c>
      <c r="S201" s="63">
        <v>0</v>
      </c>
      <c r="T201" s="63">
        <v>0</v>
      </c>
      <c r="U201" s="63">
        <v>0</v>
      </c>
      <c r="V201" s="63">
        <v>0</v>
      </c>
      <c r="W201" s="63">
        <v>0</v>
      </c>
      <c r="X201" s="63">
        <v>0</v>
      </c>
      <c r="Y201" s="63">
        <v>0</v>
      </c>
      <c r="Z201" s="63">
        <v>0</v>
      </c>
      <c r="AA201" s="63">
        <v>0</v>
      </c>
      <c r="AB201" s="63">
        <v>0</v>
      </c>
      <c r="AC201" s="63">
        <v>0</v>
      </c>
      <c r="AD201" s="63">
        <v>0</v>
      </c>
      <c r="AE201" s="63">
        <v>0</v>
      </c>
      <c r="AF201" s="63">
        <v>0</v>
      </c>
      <c r="AG201" s="63">
        <v>0</v>
      </c>
      <c r="AH201" s="63">
        <v>0</v>
      </c>
      <c r="AI201" s="63">
        <v>0</v>
      </c>
      <c r="AJ201" s="63">
        <v>0</v>
      </c>
      <c r="AK201" s="63">
        <v>0</v>
      </c>
      <c r="AL201" s="63">
        <v>0</v>
      </c>
      <c r="AM201" s="63">
        <v>0</v>
      </c>
      <c r="AN201" s="63">
        <v>0</v>
      </c>
      <c r="AO201" s="63">
        <v>0</v>
      </c>
      <c r="AP201" s="63">
        <v>0</v>
      </c>
      <c r="AQ201" s="63">
        <v>0</v>
      </c>
      <c r="AR201" s="63">
        <v>0</v>
      </c>
      <c r="AS201" s="63">
        <v>0</v>
      </c>
      <c r="AT201" s="63">
        <v>0</v>
      </c>
      <c r="AU201" s="63">
        <v>0</v>
      </c>
      <c r="AV201" s="63">
        <v>0</v>
      </c>
      <c r="AW201" s="63">
        <v>1</v>
      </c>
      <c r="AX201" s="63">
        <v>0</v>
      </c>
      <c r="AY201" s="63">
        <v>0</v>
      </c>
      <c r="AZ201" s="63">
        <v>0</v>
      </c>
      <c r="BA201" s="63">
        <v>0</v>
      </c>
      <c r="BB201" s="63">
        <v>0</v>
      </c>
      <c r="BC201" s="63">
        <v>0</v>
      </c>
      <c r="BD201" s="63">
        <v>0</v>
      </c>
      <c r="BE201" s="63">
        <v>0</v>
      </c>
      <c r="BF201" s="63">
        <v>0</v>
      </c>
      <c r="BG201" s="63">
        <v>0</v>
      </c>
      <c r="BH201" s="63">
        <v>0</v>
      </c>
      <c r="BI201" s="63">
        <v>0</v>
      </c>
      <c r="BJ201" s="63">
        <v>1</v>
      </c>
      <c r="BK201" s="63">
        <v>0</v>
      </c>
      <c r="BL201" s="63">
        <v>0</v>
      </c>
      <c r="BM201" s="63">
        <v>0</v>
      </c>
      <c r="BN201" s="63">
        <v>0</v>
      </c>
      <c r="BO201" s="63">
        <v>0</v>
      </c>
      <c r="BP201" s="63">
        <v>0</v>
      </c>
      <c r="BQ201" s="63">
        <v>0</v>
      </c>
      <c r="BR201" s="63">
        <v>0</v>
      </c>
      <c r="BS201" s="63">
        <v>0</v>
      </c>
      <c r="BT201" s="63">
        <v>0</v>
      </c>
      <c r="BU201" s="63">
        <v>0</v>
      </c>
      <c r="BV201" s="63">
        <v>0</v>
      </c>
      <c r="BW201" s="63">
        <v>0</v>
      </c>
      <c r="BX201" s="63">
        <v>0</v>
      </c>
      <c r="BY201" s="63">
        <v>0</v>
      </c>
      <c r="BZ201" s="63">
        <v>0</v>
      </c>
      <c r="CA201" s="63">
        <v>0</v>
      </c>
      <c r="CB201" s="63">
        <v>0</v>
      </c>
      <c r="CC201" s="63">
        <v>0</v>
      </c>
      <c r="CD201" s="63">
        <v>1</v>
      </c>
      <c r="CE201" s="63">
        <v>1</v>
      </c>
      <c r="CF201" s="63">
        <v>0</v>
      </c>
      <c r="CG201" s="63">
        <v>0</v>
      </c>
      <c r="CH201" s="63">
        <v>0</v>
      </c>
      <c r="CI201" s="63">
        <v>0</v>
      </c>
      <c r="CJ201" s="63">
        <v>0</v>
      </c>
      <c r="CK201" s="63">
        <v>0</v>
      </c>
      <c r="CL201" s="63">
        <v>0</v>
      </c>
      <c r="CM201" s="63">
        <v>0</v>
      </c>
      <c r="CN201" s="63">
        <v>0</v>
      </c>
      <c r="CO201" s="63">
        <v>0</v>
      </c>
      <c r="CP201" s="63">
        <v>0</v>
      </c>
      <c r="CQ201" s="63">
        <v>0</v>
      </c>
      <c r="CR201" s="63">
        <v>0</v>
      </c>
      <c r="CS201" s="63">
        <v>0</v>
      </c>
      <c r="CT201" s="63">
        <v>1</v>
      </c>
      <c r="CU201" s="61"/>
    </row>
    <row r="202" spans="1:99" ht="12.75">
      <c r="B202" s="1">
        <v>103</v>
      </c>
      <c r="C202" s="63">
        <v>0</v>
      </c>
      <c r="D202" s="63">
        <v>0</v>
      </c>
      <c r="E202" s="63">
        <v>0</v>
      </c>
      <c r="F202" s="63">
        <v>0</v>
      </c>
      <c r="G202" s="63">
        <v>0</v>
      </c>
      <c r="H202" s="63">
        <v>0</v>
      </c>
      <c r="I202" s="63">
        <v>0</v>
      </c>
      <c r="J202" s="63">
        <v>0</v>
      </c>
      <c r="K202" s="63">
        <v>1</v>
      </c>
      <c r="L202" s="63">
        <v>0</v>
      </c>
      <c r="M202" s="63">
        <v>0</v>
      </c>
      <c r="N202" s="63">
        <v>0</v>
      </c>
      <c r="O202" s="63">
        <v>0</v>
      </c>
      <c r="P202" s="63">
        <v>0</v>
      </c>
      <c r="Q202" s="63">
        <v>0</v>
      </c>
      <c r="R202" s="63">
        <v>0</v>
      </c>
      <c r="S202" s="63">
        <v>0</v>
      </c>
      <c r="T202" s="63">
        <v>0</v>
      </c>
      <c r="U202" s="63">
        <v>0</v>
      </c>
      <c r="V202" s="63">
        <v>0</v>
      </c>
      <c r="W202" s="63">
        <v>0</v>
      </c>
      <c r="X202" s="63">
        <v>0</v>
      </c>
      <c r="Y202" s="63">
        <v>1</v>
      </c>
      <c r="Z202" s="63">
        <v>0</v>
      </c>
      <c r="AA202" s="63">
        <v>0</v>
      </c>
      <c r="AB202" s="63">
        <v>0</v>
      </c>
      <c r="AC202" s="63">
        <v>0</v>
      </c>
      <c r="AD202" s="63">
        <v>0</v>
      </c>
      <c r="AE202" s="63">
        <v>0</v>
      </c>
      <c r="AF202" s="63">
        <v>0</v>
      </c>
      <c r="AG202" s="63">
        <v>0</v>
      </c>
      <c r="AH202" s="63">
        <v>0</v>
      </c>
      <c r="AI202" s="63">
        <v>0</v>
      </c>
      <c r="AJ202" s="63">
        <v>0</v>
      </c>
      <c r="AK202" s="63">
        <v>0</v>
      </c>
      <c r="AL202" s="63">
        <v>0</v>
      </c>
      <c r="AM202" s="63">
        <v>0</v>
      </c>
      <c r="AN202" s="63">
        <v>0</v>
      </c>
      <c r="AO202" s="63">
        <v>0</v>
      </c>
      <c r="AP202" s="63">
        <v>0</v>
      </c>
      <c r="AQ202" s="63">
        <v>0</v>
      </c>
      <c r="AR202" s="63">
        <v>0</v>
      </c>
      <c r="AS202" s="63">
        <v>0</v>
      </c>
      <c r="AT202" s="63">
        <v>0</v>
      </c>
      <c r="AU202" s="63">
        <v>0</v>
      </c>
      <c r="AV202" s="63">
        <v>0</v>
      </c>
      <c r="AW202" s="63">
        <v>1</v>
      </c>
      <c r="AX202" s="63">
        <v>0</v>
      </c>
      <c r="AY202" s="63">
        <v>0</v>
      </c>
      <c r="AZ202" s="63">
        <v>0</v>
      </c>
      <c r="BA202" s="63">
        <v>0</v>
      </c>
      <c r="BB202" s="63">
        <v>0</v>
      </c>
      <c r="BC202" s="63">
        <v>0</v>
      </c>
      <c r="BD202" s="63">
        <v>0</v>
      </c>
      <c r="BE202" s="63">
        <v>1</v>
      </c>
      <c r="BF202" s="63">
        <v>0</v>
      </c>
      <c r="BG202" s="63">
        <v>0</v>
      </c>
      <c r="BH202" s="63">
        <v>0</v>
      </c>
      <c r="BI202" s="63">
        <v>0</v>
      </c>
      <c r="BJ202" s="63">
        <v>1</v>
      </c>
      <c r="BK202" s="63">
        <v>0</v>
      </c>
      <c r="BL202" s="63">
        <v>0</v>
      </c>
      <c r="BM202" s="63">
        <v>0</v>
      </c>
      <c r="BN202" s="63">
        <v>0</v>
      </c>
      <c r="BO202" s="63">
        <v>0</v>
      </c>
      <c r="BP202" s="63">
        <v>0</v>
      </c>
      <c r="BQ202" s="63">
        <v>0</v>
      </c>
      <c r="BR202" s="63">
        <v>0</v>
      </c>
      <c r="BS202" s="63">
        <v>0</v>
      </c>
      <c r="BT202" s="63">
        <v>0</v>
      </c>
      <c r="BU202" s="63">
        <v>0</v>
      </c>
      <c r="BV202" s="63">
        <v>0</v>
      </c>
      <c r="BW202" s="63">
        <v>0</v>
      </c>
      <c r="BX202" s="63">
        <v>0</v>
      </c>
      <c r="BY202" s="63">
        <v>0</v>
      </c>
      <c r="BZ202" s="63">
        <v>0</v>
      </c>
      <c r="CA202" s="63">
        <v>0</v>
      </c>
      <c r="CB202" s="63">
        <v>0</v>
      </c>
      <c r="CC202" s="63">
        <v>0</v>
      </c>
      <c r="CD202" s="63">
        <v>1</v>
      </c>
      <c r="CE202" s="63">
        <v>1</v>
      </c>
      <c r="CF202" s="63">
        <v>0</v>
      </c>
      <c r="CG202" s="63">
        <v>0</v>
      </c>
      <c r="CH202" s="63">
        <v>1</v>
      </c>
      <c r="CI202" s="63">
        <v>1</v>
      </c>
      <c r="CJ202" s="63">
        <v>0</v>
      </c>
      <c r="CK202" s="63">
        <v>0</v>
      </c>
      <c r="CL202" s="63">
        <v>0</v>
      </c>
      <c r="CM202" s="63">
        <v>0</v>
      </c>
      <c r="CN202" s="63">
        <v>1</v>
      </c>
      <c r="CO202" s="63">
        <v>0</v>
      </c>
      <c r="CP202" s="63">
        <v>0</v>
      </c>
      <c r="CQ202" s="63">
        <v>0</v>
      </c>
      <c r="CR202" s="63">
        <v>0</v>
      </c>
      <c r="CS202" s="63">
        <v>0</v>
      </c>
      <c r="CT202" s="63">
        <v>0</v>
      </c>
      <c r="CU202" s="61"/>
    </row>
    <row r="203" spans="1:99" ht="12.75">
      <c r="B203" s="1">
        <v>104</v>
      </c>
      <c r="C203" s="63">
        <v>0</v>
      </c>
      <c r="D203" s="63">
        <v>0</v>
      </c>
      <c r="E203" s="63">
        <v>0</v>
      </c>
      <c r="F203" s="63">
        <v>0</v>
      </c>
      <c r="G203" s="63">
        <v>1</v>
      </c>
      <c r="H203" s="63">
        <v>1</v>
      </c>
      <c r="I203" s="63">
        <v>0</v>
      </c>
      <c r="J203" s="63">
        <v>0</v>
      </c>
      <c r="K203" s="63">
        <v>0</v>
      </c>
      <c r="L203" s="63">
        <v>0</v>
      </c>
      <c r="M203" s="63">
        <v>0</v>
      </c>
      <c r="N203" s="63">
        <v>0</v>
      </c>
      <c r="O203" s="63">
        <v>0</v>
      </c>
      <c r="P203" s="63">
        <v>1</v>
      </c>
      <c r="Q203" s="63">
        <v>0</v>
      </c>
      <c r="R203" s="63">
        <v>0</v>
      </c>
      <c r="S203" s="63">
        <v>0</v>
      </c>
      <c r="T203" s="63">
        <v>0</v>
      </c>
      <c r="U203" s="63">
        <v>0</v>
      </c>
      <c r="V203" s="63">
        <v>0</v>
      </c>
      <c r="W203" s="63">
        <v>0</v>
      </c>
      <c r="X203" s="63">
        <v>0</v>
      </c>
      <c r="Y203" s="63">
        <v>0</v>
      </c>
      <c r="Z203" s="63">
        <v>1</v>
      </c>
      <c r="AA203" s="63">
        <v>0</v>
      </c>
      <c r="AB203" s="63">
        <v>0</v>
      </c>
      <c r="AC203" s="63">
        <v>0</v>
      </c>
      <c r="AD203" s="63">
        <v>0</v>
      </c>
      <c r="AE203" s="63">
        <v>0</v>
      </c>
      <c r="AF203" s="63">
        <v>1</v>
      </c>
      <c r="AG203" s="63">
        <v>0</v>
      </c>
      <c r="AH203" s="63">
        <v>0</v>
      </c>
      <c r="AI203" s="63">
        <v>0</v>
      </c>
      <c r="AJ203" s="63">
        <v>0</v>
      </c>
      <c r="AK203" s="63">
        <v>0</v>
      </c>
      <c r="AL203" s="63">
        <v>0</v>
      </c>
      <c r="AM203" s="63">
        <v>0</v>
      </c>
      <c r="AN203" s="63">
        <v>0</v>
      </c>
      <c r="AO203" s="63">
        <v>0</v>
      </c>
      <c r="AP203" s="63">
        <v>0</v>
      </c>
      <c r="AQ203" s="63">
        <v>0</v>
      </c>
      <c r="AR203" s="63">
        <v>0</v>
      </c>
      <c r="AS203" s="63">
        <v>0</v>
      </c>
      <c r="AT203" s="63">
        <v>0</v>
      </c>
      <c r="AU203" s="63">
        <v>0</v>
      </c>
      <c r="AV203" s="63">
        <v>0</v>
      </c>
      <c r="AW203" s="63">
        <v>1</v>
      </c>
      <c r="AX203" s="63">
        <v>0</v>
      </c>
      <c r="AY203" s="63">
        <v>0</v>
      </c>
      <c r="AZ203" s="63">
        <v>0</v>
      </c>
      <c r="BA203" s="63">
        <v>0</v>
      </c>
      <c r="BB203" s="63">
        <v>0</v>
      </c>
      <c r="BC203" s="63">
        <v>0</v>
      </c>
      <c r="BD203" s="63">
        <v>0</v>
      </c>
      <c r="BE203" s="63">
        <v>0</v>
      </c>
      <c r="BF203" s="63">
        <v>0</v>
      </c>
      <c r="BG203" s="63">
        <v>0</v>
      </c>
      <c r="BH203" s="63">
        <v>0</v>
      </c>
      <c r="BI203" s="63">
        <v>0</v>
      </c>
      <c r="BJ203" s="63">
        <v>1</v>
      </c>
      <c r="BK203" s="63">
        <v>0</v>
      </c>
      <c r="BL203" s="63">
        <v>0</v>
      </c>
      <c r="BM203" s="63">
        <v>0</v>
      </c>
      <c r="BN203" s="63">
        <v>0</v>
      </c>
      <c r="BO203" s="63">
        <v>0</v>
      </c>
      <c r="BP203" s="63">
        <v>0</v>
      </c>
      <c r="BQ203" s="63">
        <v>0</v>
      </c>
      <c r="BR203" s="63">
        <v>0</v>
      </c>
      <c r="BS203" s="63">
        <v>0</v>
      </c>
      <c r="BT203" s="63">
        <v>0</v>
      </c>
      <c r="BU203" s="63">
        <v>0</v>
      </c>
      <c r="BV203" s="63">
        <v>0</v>
      </c>
      <c r="BW203" s="63">
        <v>0</v>
      </c>
      <c r="BX203" s="63">
        <v>0</v>
      </c>
      <c r="BY203" s="63">
        <v>0</v>
      </c>
      <c r="BZ203" s="63">
        <v>0</v>
      </c>
      <c r="CA203" s="63">
        <v>0</v>
      </c>
      <c r="CB203" s="63">
        <v>0</v>
      </c>
      <c r="CC203" s="63">
        <v>0</v>
      </c>
      <c r="CD203" s="63">
        <v>0</v>
      </c>
      <c r="CE203" s="63">
        <v>0</v>
      </c>
      <c r="CF203" s="63">
        <v>0</v>
      </c>
      <c r="CG203" s="63">
        <v>0</v>
      </c>
      <c r="CH203" s="63">
        <v>0</v>
      </c>
      <c r="CI203" s="63">
        <v>0</v>
      </c>
      <c r="CJ203" s="63">
        <v>0</v>
      </c>
      <c r="CK203" s="63">
        <v>0</v>
      </c>
      <c r="CL203" s="63">
        <v>0</v>
      </c>
      <c r="CM203" s="63">
        <v>0</v>
      </c>
      <c r="CN203" s="63">
        <v>0</v>
      </c>
      <c r="CO203" s="63">
        <v>0</v>
      </c>
      <c r="CP203" s="63">
        <v>0</v>
      </c>
      <c r="CQ203" s="63">
        <v>0</v>
      </c>
      <c r="CR203" s="63">
        <v>0</v>
      </c>
      <c r="CS203" s="63">
        <v>0</v>
      </c>
      <c r="CT203" s="63">
        <v>1</v>
      </c>
      <c r="CU203" s="61"/>
    </row>
    <row r="204" spans="1:99" ht="12.75">
      <c r="B204" s="1">
        <v>105</v>
      </c>
      <c r="C204" s="63">
        <v>0</v>
      </c>
      <c r="D204" s="63">
        <v>0</v>
      </c>
      <c r="E204" s="63">
        <v>0</v>
      </c>
      <c r="F204" s="63">
        <v>0</v>
      </c>
      <c r="G204" s="63">
        <v>1</v>
      </c>
      <c r="H204" s="63">
        <v>1</v>
      </c>
      <c r="I204" s="63">
        <v>0</v>
      </c>
      <c r="J204" s="63">
        <v>0</v>
      </c>
      <c r="K204" s="63">
        <v>0</v>
      </c>
      <c r="L204" s="63">
        <v>0</v>
      </c>
      <c r="M204" s="63">
        <v>0</v>
      </c>
      <c r="N204" s="63">
        <v>0</v>
      </c>
      <c r="O204" s="63">
        <v>0</v>
      </c>
      <c r="P204" s="63">
        <v>1</v>
      </c>
      <c r="Q204" s="63">
        <v>0</v>
      </c>
      <c r="R204" s="63">
        <v>0</v>
      </c>
      <c r="S204" s="63">
        <v>0</v>
      </c>
      <c r="T204" s="63">
        <v>0</v>
      </c>
      <c r="U204" s="63">
        <v>0</v>
      </c>
      <c r="V204" s="63">
        <v>0</v>
      </c>
      <c r="W204" s="63">
        <v>0</v>
      </c>
      <c r="X204" s="63">
        <v>0</v>
      </c>
      <c r="Y204" s="63">
        <v>0</v>
      </c>
      <c r="Z204" s="63">
        <v>1</v>
      </c>
      <c r="AA204" s="63">
        <v>0</v>
      </c>
      <c r="AB204" s="63">
        <v>0</v>
      </c>
      <c r="AC204" s="63">
        <v>0</v>
      </c>
      <c r="AD204" s="63">
        <v>0</v>
      </c>
      <c r="AE204" s="63">
        <v>0</v>
      </c>
      <c r="AF204" s="63">
        <v>1</v>
      </c>
      <c r="AG204" s="63">
        <v>0</v>
      </c>
      <c r="AH204" s="63">
        <v>0</v>
      </c>
      <c r="AI204" s="63">
        <v>0</v>
      </c>
      <c r="AJ204" s="63">
        <v>0</v>
      </c>
      <c r="AK204" s="63">
        <v>0</v>
      </c>
      <c r="AL204" s="63">
        <v>0</v>
      </c>
      <c r="AM204" s="63">
        <v>0</v>
      </c>
      <c r="AN204" s="63">
        <v>0</v>
      </c>
      <c r="AO204" s="63">
        <v>0</v>
      </c>
      <c r="AP204" s="63">
        <v>0</v>
      </c>
      <c r="AQ204" s="63">
        <v>0</v>
      </c>
      <c r="AR204" s="63">
        <v>0</v>
      </c>
      <c r="AS204" s="63">
        <v>0</v>
      </c>
      <c r="AT204" s="63">
        <v>0</v>
      </c>
      <c r="AU204" s="63">
        <v>0</v>
      </c>
      <c r="AV204" s="63">
        <v>0</v>
      </c>
      <c r="AW204" s="63">
        <v>1</v>
      </c>
      <c r="AX204" s="63">
        <v>0</v>
      </c>
      <c r="AY204" s="63">
        <v>0</v>
      </c>
      <c r="AZ204" s="63">
        <v>0</v>
      </c>
      <c r="BA204" s="63">
        <v>0</v>
      </c>
      <c r="BB204" s="63">
        <v>0</v>
      </c>
      <c r="BC204" s="63">
        <v>0</v>
      </c>
      <c r="BD204" s="63">
        <v>0</v>
      </c>
      <c r="BE204" s="63">
        <v>0</v>
      </c>
      <c r="BF204" s="63">
        <v>0</v>
      </c>
      <c r="BG204" s="63">
        <v>0</v>
      </c>
      <c r="BH204" s="63">
        <v>0</v>
      </c>
      <c r="BI204" s="63">
        <v>0</v>
      </c>
      <c r="BJ204" s="63">
        <v>1</v>
      </c>
      <c r="BK204" s="63">
        <v>0</v>
      </c>
      <c r="BL204" s="63">
        <v>0</v>
      </c>
      <c r="BM204" s="63">
        <v>0</v>
      </c>
      <c r="BN204" s="63">
        <v>0</v>
      </c>
      <c r="BO204" s="63">
        <v>0</v>
      </c>
      <c r="BP204" s="63">
        <v>0</v>
      </c>
      <c r="BQ204" s="63">
        <v>0</v>
      </c>
      <c r="BR204" s="63">
        <v>0</v>
      </c>
      <c r="BS204" s="63">
        <v>0</v>
      </c>
      <c r="BT204" s="63">
        <v>0</v>
      </c>
      <c r="BU204" s="63">
        <v>0</v>
      </c>
      <c r="BV204" s="63">
        <v>0</v>
      </c>
      <c r="BW204" s="63">
        <v>0</v>
      </c>
      <c r="BX204" s="63">
        <v>0</v>
      </c>
      <c r="BY204" s="63">
        <v>0</v>
      </c>
      <c r="BZ204" s="63">
        <v>0</v>
      </c>
      <c r="CA204" s="63">
        <v>0</v>
      </c>
      <c r="CB204" s="63">
        <v>0</v>
      </c>
      <c r="CC204" s="63">
        <v>0</v>
      </c>
      <c r="CD204" s="63">
        <v>0</v>
      </c>
      <c r="CE204" s="63">
        <v>0</v>
      </c>
      <c r="CF204" s="63">
        <v>0</v>
      </c>
      <c r="CG204" s="63">
        <v>0</v>
      </c>
      <c r="CH204" s="63">
        <v>0</v>
      </c>
      <c r="CI204" s="63">
        <v>0</v>
      </c>
      <c r="CJ204" s="63">
        <v>0</v>
      </c>
      <c r="CK204" s="63">
        <v>0</v>
      </c>
      <c r="CL204" s="63">
        <v>0</v>
      </c>
      <c r="CM204" s="63">
        <v>0</v>
      </c>
      <c r="CN204" s="63">
        <v>0</v>
      </c>
      <c r="CO204" s="63">
        <v>0</v>
      </c>
      <c r="CP204" s="63">
        <v>0</v>
      </c>
      <c r="CQ204" s="63">
        <v>0</v>
      </c>
      <c r="CR204" s="63">
        <v>0</v>
      </c>
      <c r="CS204" s="63">
        <v>0</v>
      </c>
      <c r="CT204" s="63">
        <v>1</v>
      </c>
      <c r="CU204" s="61"/>
    </row>
    <row r="205" spans="1:99" ht="12.75">
      <c r="CT205" s="61"/>
      <c r="CU205" s="61"/>
    </row>
    <row r="206" spans="1:99" ht="12.75">
      <c r="CT206" s="61"/>
      <c r="CU206" s="61"/>
    </row>
    <row r="207" spans="1:99" ht="12.75">
      <c r="CT207" s="61"/>
      <c r="CU207" s="61"/>
    </row>
    <row r="208" spans="1:99" ht="12.75">
      <c r="A208" s="61" t="s">
        <v>288</v>
      </c>
      <c r="B208">
        <v>9</v>
      </c>
      <c r="CT208" s="61"/>
      <c r="CU208" s="61"/>
    </row>
    <row r="209" spans="1:99" ht="12.75">
      <c r="A209" s="61" t="s">
        <v>291</v>
      </c>
      <c r="B209">
        <v>7</v>
      </c>
      <c r="CT209" s="61"/>
      <c r="CU209" s="61"/>
    </row>
    <row r="210" spans="1:99" ht="12.75">
      <c r="A210" s="61" t="s">
        <v>294</v>
      </c>
      <c r="B210">
        <v>7</v>
      </c>
      <c r="CT210" s="61"/>
      <c r="CU210" s="61"/>
    </row>
    <row r="211" spans="1:99" ht="12.75">
      <c r="A211" s="61" t="s">
        <v>296</v>
      </c>
      <c r="B211">
        <v>5</v>
      </c>
      <c r="CT211" s="61"/>
      <c r="CU211" s="61"/>
    </row>
    <row r="212" spans="1:99" ht="12.75">
      <c r="A212" s="61" t="s">
        <v>297</v>
      </c>
      <c r="B212">
        <v>10</v>
      </c>
      <c r="CT212" s="61"/>
      <c r="CU212" s="61"/>
    </row>
    <row r="213" spans="1:99" ht="12.75">
      <c r="A213" s="61" t="s">
        <v>298</v>
      </c>
      <c r="B213">
        <v>5</v>
      </c>
      <c r="CT213" s="61"/>
      <c r="CU213" s="61"/>
    </row>
    <row r="214" spans="1:99" ht="12.75">
      <c r="A214" s="61" t="s">
        <v>301</v>
      </c>
      <c r="B214">
        <v>7</v>
      </c>
      <c r="CT214" s="61"/>
      <c r="CU214" s="61"/>
    </row>
    <row r="215" spans="1:99" ht="12.75">
      <c r="A215" s="61" t="s">
        <v>303</v>
      </c>
      <c r="B215">
        <v>6</v>
      </c>
      <c r="CT215" s="61"/>
      <c r="CU215" s="61"/>
    </row>
    <row r="216" spans="1:99" ht="12.75">
      <c r="A216" s="61" t="s">
        <v>304</v>
      </c>
      <c r="B216">
        <v>7</v>
      </c>
      <c r="CT216" s="61"/>
      <c r="CU216" s="61"/>
    </row>
    <row r="217" spans="1:99" ht="12.75">
      <c r="A217" s="61" t="s">
        <v>311</v>
      </c>
      <c r="B217">
        <v>4</v>
      </c>
      <c r="CT217" s="61"/>
      <c r="CU217" s="61"/>
    </row>
    <row r="218" spans="1:99" ht="12.75">
      <c r="A218" s="61" t="s">
        <v>313</v>
      </c>
      <c r="B218">
        <v>4</v>
      </c>
      <c r="CT218" s="61"/>
      <c r="CU218" s="61"/>
    </row>
    <row r="219" spans="1:99" ht="12.75">
      <c r="A219" s="61" t="s">
        <v>314</v>
      </c>
      <c r="B219">
        <v>4</v>
      </c>
      <c r="CT219" s="61"/>
      <c r="CU219" s="61"/>
    </row>
    <row r="220" spans="1:99" ht="12.75">
      <c r="A220" s="61" t="s">
        <v>315</v>
      </c>
      <c r="B220">
        <v>7</v>
      </c>
      <c r="CT220" s="61"/>
      <c r="CU220" s="61"/>
    </row>
    <row r="221" spans="1:99" ht="12.75">
      <c r="A221" s="61" t="s">
        <v>316</v>
      </c>
      <c r="B221">
        <v>9</v>
      </c>
      <c r="CT221" s="61"/>
      <c r="CU221" s="61"/>
    </row>
    <row r="222" spans="1:99" ht="12.75">
      <c r="A222" s="61" t="s">
        <v>317</v>
      </c>
      <c r="B222">
        <v>7</v>
      </c>
      <c r="CT222" s="61"/>
      <c r="CU222" s="61"/>
    </row>
    <row r="223" spans="1:99" ht="12.75">
      <c r="A223" s="61" t="s">
        <v>318</v>
      </c>
      <c r="B223">
        <v>8</v>
      </c>
      <c r="CT223" s="61"/>
      <c r="CU223" s="61"/>
    </row>
    <row r="224" spans="1:99" ht="12.75">
      <c r="A224" s="61" t="s">
        <v>319</v>
      </c>
      <c r="B224">
        <v>7</v>
      </c>
      <c r="CT224" s="61"/>
      <c r="CU224" s="61"/>
    </row>
    <row r="225" spans="1:99" ht="12.75">
      <c r="A225" s="61" t="s">
        <v>320</v>
      </c>
      <c r="B225">
        <v>7</v>
      </c>
      <c r="CT225" s="61"/>
      <c r="CU225" s="61"/>
    </row>
    <row r="226" spans="1:99" ht="12.75">
      <c r="A226" s="61" t="s">
        <v>321</v>
      </c>
      <c r="B226">
        <v>7</v>
      </c>
      <c r="CT226" s="61"/>
      <c r="CU226" s="61"/>
    </row>
    <row r="227" spans="1:99" ht="12.75">
      <c r="A227" s="61" t="s">
        <v>322</v>
      </c>
      <c r="B227">
        <v>7</v>
      </c>
      <c r="CT227" s="61"/>
      <c r="CU227" s="61"/>
    </row>
    <row r="228" spans="1:99" ht="12.75">
      <c r="A228" s="61" t="s">
        <v>323</v>
      </c>
      <c r="B228">
        <v>9</v>
      </c>
      <c r="CT228" s="61"/>
      <c r="CU228" s="61"/>
    </row>
    <row r="229" spans="1:99" ht="12.75">
      <c r="A229" s="61" t="s">
        <v>324</v>
      </c>
      <c r="B229">
        <v>7</v>
      </c>
      <c r="CT229" s="61"/>
      <c r="CU229" s="61"/>
    </row>
    <row r="230" spans="1:99" ht="12.75">
      <c r="A230" s="61" t="s">
        <v>325</v>
      </c>
      <c r="B230">
        <v>10</v>
      </c>
      <c r="CT230" s="61"/>
      <c r="CU230" s="61"/>
    </row>
    <row r="231" spans="1:99" ht="12.75">
      <c r="A231" s="61" t="s">
        <v>326</v>
      </c>
      <c r="B231">
        <v>6</v>
      </c>
      <c r="CT231" s="61"/>
      <c r="CU231" s="61"/>
    </row>
    <row r="232" spans="1:99" ht="12.75">
      <c r="A232" s="61" t="s">
        <v>327</v>
      </c>
      <c r="B232">
        <v>10</v>
      </c>
      <c r="CT232" s="61"/>
      <c r="CU232" s="61"/>
    </row>
    <row r="233" spans="1:99" ht="12.75">
      <c r="A233" s="61" t="s">
        <v>328</v>
      </c>
      <c r="B233">
        <v>7</v>
      </c>
      <c r="CT233" s="61"/>
      <c r="CU233" s="61"/>
    </row>
    <row r="234" spans="1:99" ht="12.75">
      <c r="A234" s="61" t="s">
        <v>329</v>
      </c>
      <c r="B234">
        <v>7</v>
      </c>
      <c r="CT234" s="61"/>
      <c r="CU234" s="61"/>
    </row>
    <row r="235" spans="1:99" ht="12.75">
      <c r="A235" s="61" t="s">
        <v>330</v>
      </c>
      <c r="B235">
        <v>7</v>
      </c>
      <c r="CT235" s="61"/>
      <c r="CU235" s="61"/>
    </row>
    <row r="236" spans="1:99" ht="12.75">
      <c r="A236" s="61" t="s">
        <v>331</v>
      </c>
      <c r="B236">
        <v>6</v>
      </c>
      <c r="CT236" s="61"/>
      <c r="CU236" s="61"/>
    </row>
    <row r="237" spans="1:99" ht="12.75">
      <c r="A237" s="61" t="s">
        <v>332</v>
      </c>
      <c r="B237">
        <v>4</v>
      </c>
      <c r="CT237" s="61"/>
      <c r="CU237" s="61"/>
    </row>
    <row r="238" spans="1:99" ht="12.75">
      <c r="A238" s="61" t="s">
        <v>333</v>
      </c>
      <c r="B238">
        <v>3</v>
      </c>
      <c r="CT238" s="61"/>
      <c r="CU238" s="61"/>
    </row>
    <row r="239" spans="1:99" ht="12.75">
      <c r="A239" s="61" t="s">
        <v>334</v>
      </c>
      <c r="B239">
        <v>6</v>
      </c>
      <c r="CT239" s="61"/>
      <c r="CU239" s="61"/>
    </row>
    <row r="240" spans="1:99" ht="12.75">
      <c r="A240" s="61" t="s">
        <v>335</v>
      </c>
      <c r="B240">
        <v>6</v>
      </c>
      <c r="CT240" s="61"/>
      <c r="CU240" s="61"/>
    </row>
    <row r="241" spans="1:99" ht="12.75">
      <c r="A241" s="61" t="s">
        <v>336</v>
      </c>
      <c r="B241">
        <v>7</v>
      </c>
      <c r="CT241" s="61"/>
      <c r="CU241" s="61"/>
    </row>
    <row r="242" spans="1:99" ht="12.75">
      <c r="A242" s="61" t="s">
        <v>337</v>
      </c>
      <c r="B242">
        <v>9</v>
      </c>
      <c r="CT242" s="61"/>
      <c r="CU242" s="61"/>
    </row>
    <row r="243" spans="1:99" ht="12.75">
      <c r="A243" s="61" t="s">
        <v>338</v>
      </c>
      <c r="B243">
        <v>7</v>
      </c>
      <c r="CT243" s="61"/>
      <c r="CU243" s="61"/>
    </row>
    <row r="244" spans="1:99" ht="12.75">
      <c r="A244" s="61" t="s">
        <v>339</v>
      </c>
      <c r="B244">
        <v>8</v>
      </c>
      <c r="CT244" s="61"/>
      <c r="CU244" s="61"/>
    </row>
    <row r="245" spans="1:99" ht="12.75">
      <c r="A245" s="61" t="s">
        <v>340</v>
      </c>
      <c r="B245">
        <v>3</v>
      </c>
      <c r="CT245" s="61"/>
      <c r="CU245" s="61"/>
    </row>
    <row r="246" spans="1:99" ht="12.75">
      <c r="A246" s="61" t="s">
        <v>341</v>
      </c>
      <c r="B246">
        <v>4</v>
      </c>
      <c r="CT246" s="61"/>
      <c r="CU246" s="61"/>
    </row>
    <row r="247" spans="1:99" ht="12.75">
      <c r="A247" s="61" t="s">
        <v>342</v>
      </c>
      <c r="B247">
        <v>6</v>
      </c>
      <c r="CT247" s="61"/>
      <c r="CU247" s="61"/>
    </row>
    <row r="248" spans="1:99" ht="12.75">
      <c r="A248" s="61" t="s">
        <v>343</v>
      </c>
      <c r="B248">
        <v>9</v>
      </c>
      <c r="CT248" s="61"/>
      <c r="CU248" s="61"/>
    </row>
    <row r="249" spans="1:99" ht="12.75">
      <c r="A249" s="61" t="s">
        <v>344</v>
      </c>
      <c r="B249">
        <v>4</v>
      </c>
      <c r="CT249" s="61"/>
      <c r="CU249" s="61"/>
    </row>
    <row r="250" spans="1:99" ht="12.75">
      <c r="A250" s="61" t="s">
        <v>345</v>
      </c>
      <c r="B250">
        <v>6</v>
      </c>
      <c r="CT250" s="61"/>
      <c r="CU250" s="61"/>
    </row>
    <row r="251" spans="1:99" ht="12.75">
      <c r="A251" s="61" t="s">
        <v>349</v>
      </c>
      <c r="B251">
        <v>5</v>
      </c>
      <c r="CT251" s="61"/>
      <c r="CU251" s="61"/>
    </row>
    <row r="252" spans="1:99" ht="12.75">
      <c r="A252" s="61" t="s">
        <v>350</v>
      </c>
      <c r="B252">
        <v>6</v>
      </c>
      <c r="CT252" s="61"/>
      <c r="CU252" s="61"/>
    </row>
    <row r="253" spans="1:99" ht="12.75">
      <c r="A253" s="61" t="s">
        <v>351</v>
      </c>
      <c r="B253">
        <v>7</v>
      </c>
      <c r="CT253" s="61"/>
      <c r="CU253" s="61"/>
    </row>
    <row r="254" spans="1:99" ht="12.75">
      <c r="A254" s="61" t="s">
        <v>352</v>
      </c>
      <c r="B254">
        <v>9</v>
      </c>
      <c r="CT254" s="61"/>
      <c r="CU254" s="61"/>
    </row>
    <row r="255" spans="1:99" ht="12.75">
      <c r="A255" s="61" t="s">
        <v>353</v>
      </c>
      <c r="B255">
        <v>5</v>
      </c>
      <c r="CT255" s="61"/>
      <c r="CU255" s="61"/>
    </row>
    <row r="256" spans="1:99" ht="12.75">
      <c r="A256" s="61" t="s">
        <v>354</v>
      </c>
      <c r="B256">
        <v>9</v>
      </c>
      <c r="CT256" s="61"/>
      <c r="CU256" s="61"/>
    </row>
    <row r="257" spans="1:99" ht="12.75">
      <c r="A257" s="61" t="s">
        <v>355</v>
      </c>
      <c r="B257">
        <v>5</v>
      </c>
      <c r="CT257" s="61"/>
      <c r="CU257" s="61"/>
    </row>
    <row r="258" spans="1:99" ht="12.75">
      <c r="A258" s="61" t="s">
        <v>356</v>
      </c>
      <c r="B258">
        <v>4</v>
      </c>
      <c r="CT258" s="61"/>
      <c r="CU258" s="61"/>
    </row>
    <row r="259" spans="1:99" ht="12.75">
      <c r="A259" s="61" t="s">
        <v>357</v>
      </c>
      <c r="B259">
        <v>9</v>
      </c>
      <c r="CT259" s="61"/>
      <c r="CU259" s="61"/>
    </row>
    <row r="260" spans="1:99" ht="12.75">
      <c r="A260" s="61" t="s">
        <v>358</v>
      </c>
      <c r="B260">
        <v>5</v>
      </c>
      <c r="CT260" s="61"/>
      <c r="CU260" s="61"/>
    </row>
    <row r="261" spans="1:99" ht="12.75">
      <c r="A261" s="61" t="s">
        <v>359</v>
      </c>
      <c r="B261">
        <v>6</v>
      </c>
      <c r="CT261" s="61"/>
      <c r="CU261" s="61"/>
    </row>
    <row r="262" spans="1:99" ht="12.75">
      <c r="A262" s="61" t="s">
        <v>360</v>
      </c>
      <c r="B262">
        <v>6</v>
      </c>
      <c r="CT262" s="61"/>
      <c r="CU262" s="61"/>
    </row>
    <row r="263" spans="1:99" ht="12.75">
      <c r="A263" s="61" t="s">
        <v>361</v>
      </c>
      <c r="B263">
        <v>5</v>
      </c>
      <c r="CT263" s="61"/>
      <c r="CU263" s="61"/>
    </row>
    <row r="264" spans="1:99" ht="12.75">
      <c r="A264" s="61" t="s">
        <v>362</v>
      </c>
      <c r="B264">
        <v>9</v>
      </c>
      <c r="CT264" s="61"/>
      <c r="CU264" s="61"/>
    </row>
    <row r="265" spans="1:99" ht="12.75">
      <c r="A265" s="61" t="s">
        <v>363</v>
      </c>
      <c r="B265">
        <v>6</v>
      </c>
      <c r="CT265" s="61"/>
      <c r="CU265" s="61"/>
    </row>
    <row r="266" spans="1:99" ht="12.75">
      <c r="A266" s="61" t="s">
        <v>364</v>
      </c>
      <c r="B266">
        <v>6</v>
      </c>
      <c r="CT266" s="61"/>
      <c r="CU266" s="61"/>
    </row>
    <row r="267" spans="1:99" ht="12.75">
      <c r="A267" s="61" t="s">
        <v>365</v>
      </c>
      <c r="B267">
        <v>6</v>
      </c>
      <c r="CT267" s="61"/>
      <c r="CU267" s="61"/>
    </row>
    <row r="268" spans="1:99" ht="12.75">
      <c r="A268" s="61" t="s">
        <v>366</v>
      </c>
      <c r="B268" s="1">
        <v>3</v>
      </c>
      <c r="CT268" s="61"/>
      <c r="CU268" s="61"/>
    </row>
    <row r="269" spans="1:99" ht="12.75">
      <c r="A269" s="61" t="s">
        <v>367</v>
      </c>
      <c r="B269">
        <v>7</v>
      </c>
      <c r="CT269" s="61"/>
      <c r="CU269" s="61"/>
    </row>
    <row r="270" spans="1:99" ht="12.75">
      <c r="A270" s="61" t="s">
        <v>368</v>
      </c>
      <c r="B270">
        <v>6</v>
      </c>
      <c r="CT270" s="61"/>
      <c r="CU270" s="61"/>
    </row>
    <row r="271" spans="1:99" ht="12.75">
      <c r="A271" s="61" t="s">
        <v>369</v>
      </c>
      <c r="B271">
        <v>8</v>
      </c>
      <c r="CT271" s="61"/>
      <c r="CU271" s="61"/>
    </row>
    <row r="272" spans="1:99" ht="12.75">
      <c r="A272" s="61" t="s">
        <v>370</v>
      </c>
      <c r="B272">
        <v>10</v>
      </c>
      <c r="CT272" s="61"/>
      <c r="CU272" s="61"/>
    </row>
    <row r="273" spans="1:99" ht="12.75">
      <c r="A273" s="61" t="s">
        <v>371</v>
      </c>
      <c r="B273">
        <v>6</v>
      </c>
      <c r="CT273" s="61"/>
      <c r="CU273" s="61"/>
    </row>
    <row r="274" spans="1:99" ht="12.75">
      <c r="A274" s="61" t="s">
        <v>372</v>
      </c>
      <c r="B274">
        <v>5</v>
      </c>
      <c r="CT274" s="61"/>
      <c r="CU274" s="61"/>
    </row>
    <row r="275" spans="1:99" ht="12.75">
      <c r="A275" s="61" t="s">
        <v>373</v>
      </c>
      <c r="B275">
        <v>8</v>
      </c>
      <c r="CT275" s="61"/>
      <c r="CU275" s="61"/>
    </row>
    <row r="276" spans="1:99" ht="12.75">
      <c r="A276" s="61" t="s">
        <v>374</v>
      </c>
      <c r="B276">
        <v>8</v>
      </c>
      <c r="CT276" s="61"/>
      <c r="CU276" s="61"/>
    </row>
    <row r="277" spans="1:99" ht="12.75">
      <c r="A277" s="61" t="s">
        <v>375</v>
      </c>
      <c r="B277">
        <v>10</v>
      </c>
      <c r="CT277" s="61"/>
      <c r="CU277" s="61"/>
    </row>
    <row r="278" spans="1:99" ht="12.75">
      <c r="A278" s="61" t="s">
        <v>376</v>
      </c>
      <c r="B278">
        <v>7</v>
      </c>
      <c r="CT278" s="61"/>
      <c r="CU278" s="61"/>
    </row>
    <row r="279" spans="1:99" ht="12.75">
      <c r="A279" s="61" t="s">
        <v>377</v>
      </c>
      <c r="B279">
        <v>8</v>
      </c>
      <c r="CT279" s="61"/>
      <c r="CU279" s="61"/>
    </row>
    <row r="280" spans="1:99" ht="12.75">
      <c r="A280" s="61" t="s">
        <v>378</v>
      </c>
      <c r="B280">
        <v>7</v>
      </c>
      <c r="CT280" s="61"/>
      <c r="CU280" s="61"/>
    </row>
    <row r="281" spans="1:99" ht="12.75">
      <c r="A281" s="61" t="s">
        <v>379</v>
      </c>
      <c r="B281">
        <v>7</v>
      </c>
      <c r="CT281" s="61"/>
      <c r="CU281" s="61"/>
    </row>
    <row r="282" spans="1:99" ht="12.75">
      <c r="A282" s="61" t="s">
        <v>380</v>
      </c>
      <c r="B282">
        <v>6</v>
      </c>
      <c r="CT282" s="61"/>
      <c r="CU282" s="61"/>
    </row>
    <row r="283" spans="1:99" ht="12.75">
      <c r="A283" s="61" t="s">
        <v>381</v>
      </c>
      <c r="B283">
        <v>5</v>
      </c>
      <c r="CT283" s="61"/>
      <c r="CU283" s="61"/>
    </row>
    <row r="284" spans="1:99" ht="12.75">
      <c r="A284" s="61" t="s">
        <v>382</v>
      </c>
      <c r="B284">
        <v>7</v>
      </c>
      <c r="CT284" s="61"/>
      <c r="CU284" s="61"/>
    </row>
    <row r="285" spans="1:99" ht="12.75">
      <c r="A285" s="61" t="s">
        <v>383</v>
      </c>
      <c r="B285">
        <v>5</v>
      </c>
      <c r="CT285" s="61"/>
      <c r="CU285" s="61"/>
    </row>
    <row r="286" spans="1:99" ht="12.75">
      <c r="A286" s="61" t="s">
        <v>384</v>
      </c>
      <c r="B286">
        <v>5</v>
      </c>
      <c r="CT286" s="61"/>
      <c r="CU286" s="61"/>
    </row>
    <row r="287" spans="1:99" ht="12.75">
      <c r="A287" s="61" t="s">
        <v>385</v>
      </c>
      <c r="B287">
        <v>4</v>
      </c>
      <c r="CT287" s="61"/>
      <c r="CU287" s="61"/>
    </row>
    <row r="288" spans="1:99" ht="12.75">
      <c r="A288" s="61" t="s">
        <v>386</v>
      </c>
      <c r="B288">
        <v>8</v>
      </c>
      <c r="CT288" s="61"/>
      <c r="CU288" s="61"/>
    </row>
    <row r="289" spans="1:99" ht="12.75">
      <c r="A289" s="61" t="s">
        <v>387</v>
      </c>
      <c r="B289">
        <v>6</v>
      </c>
      <c r="CT289" s="61"/>
      <c r="CU289" s="61"/>
    </row>
    <row r="290" spans="1:99" ht="12.75">
      <c r="A290" s="61" t="s">
        <v>388</v>
      </c>
      <c r="B290">
        <v>10</v>
      </c>
      <c r="CT290" s="61"/>
      <c r="CU290" s="61"/>
    </row>
    <row r="291" spans="1:99" ht="12.75">
      <c r="A291" s="61" t="s">
        <v>389</v>
      </c>
      <c r="B291">
        <v>5</v>
      </c>
      <c r="CT291" s="61"/>
      <c r="CU291" s="61"/>
    </row>
    <row r="292" spans="1:99" ht="12.75">
      <c r="A292" s="61" t="s">
        <v>390</v>
      </c>
      <c r="B292">
        <v>5</v>
      </c>
      <c r="CT292" s="61"/>
      <c r="CU292" s="61"/>
    </row>
    <row r="293" spans="1:99" ht="12.75">
      <c r="A293" s="61" t="s">
        <v>391</v>
      </c>
      <c r="B293">
        <v>10</v>
      </c>
      <c r="CT293" s="61"/>
      <c r="CU293" s="61"/>
    </row>
    <row r="294" spans="1:99" ht="12.75">
      <c r="A294" s="61" t="s">
        <v>392</v>
      </c>
      <c r="B294">
        <v>4</v>
      </c>
      <c r="CT294" s="61"/>
      <c r="CU294" s="61"/>
    </row>
    <row r="295" spans="1:99" ht="12.75">
      <c r="A295" s="61" t="s">
        <v>393</v>
      </c>
      <c r="B295">
        <v>6</v>
      </c>
      <c r="CT295" s="61"/>
      <c r="CU295" s="61"/>
    </row>
    <row r="296" spans="1:99" ht="12.75">
      <c r="A296" s="61" t="s">
        <v>394</v>
      </c>
      <c r="B296">
        <v>9</v>
      </c>
      <c r="CT296" s="61"/>
      <c r="CU296" s="61"/>
    </row>
    <row r="297" spans="1:99" ht="12.75">
      <c r="A297" s="61" t="s">
        <v>395</v>
      </c>
      <c r="B297">
        <v>9</v>
      </c>
      <c r="CT297" s="61"/>
      <c r="CU297" s="61"/>
    </row>
    <row r="298" spans="1:99" ht="12.75">
      <c r="A298" s="61" t="s">
        <v>396</v>
      </c>
      <c r="B298">
        <v>6</v>
      </c>
      <c r="CT298" s="61"/>
      <c r="CU298" s="61"/>
    </row>
    <row r="299" spans="1:99" ht="12.75">
      <c r="A299" s="61" t="s">
        <v>397</v>
      </c>
      <c r="B299">
        <v>4</v>
      </c>
      <c r="CT299" s="61"/>
      <c r="CU299" s="61"/>
    </row>
    <row r="300" spans="1:99" ht="12.75">
      <c r="A300" s="61" t="s">
        <v>398</v>
      </c>
      <c r="B300">
        <v>4</v>
      </c>
      <c r="CT300" s="61"/>
      <c r="CU300" s="61"/>
    </row>
    <row r="301" spans="1:99" ht="12.75">
      <c r="A301" s="61" t="s">
        <v>399</v>
      </c>
      <c r="B301">
        <v>6</v>
      </c>
      <c r="CT301" s="61"/>
      <c r="CU301" s="61"/>
    </row>
    <row r="302" spans="1:99" ht="12.75">
      <c r="A302" s="61" t="s">
        <v>400</v>
      </c>
      <c r="B302">
        <v>9</v>
      </c>
      <c r="CT302" s="61"/>
      <c r="CU302" s="61"/>
    </row>
    <row r="303" spans="1:99" ht="12.75">
      <c r="A303" s="61" t="s">
        <v>401</v>
      </c>
      <c r="B303">
        <v>7</v>
      </c>
      <c r="CT303" s="61"/>
      <c r="CU303" s="61"/>
    </row>
    <row r="304" spans="1:99" ht="12.75">
      <c r="CT304" s="61"/>
      <c r="CU304" s="61"/>
    </row>
    <row r="305" spans="98:99" ht="12.75">
      <c r="CT305" s="61"/>
      <c r="CU305" s="61"/>
    </row>
    <row r="306" spans="98:99" ht="12.75">
      <c r="CT306" s="61"/>
      <c r="CU306" s="61"/>
    </row>
    <row r="307" spans="98:99" ht="12.75">
      <c r="CT307" s="61"/>
      <c r="CU307" s="61"/>
    </row>
    <row r="308" spans="98:99" ht="12.75">
      <c r="CT308" s="61"/>
      <c r="CU308" s="61"/>
    </row>
    <row r="309" spans="98:99" ht="12.75">
      <c r="CT309" s="61"/>
      <c r="CU309" s="61"/>
    </row>
    <row r="310" spans="98:99" ht="12.75">
      <c r="CT310" s="61"/>
      <c r="CU310" s="61"/>
    </row>
    <row r="311" spans="98:99" ht="12.75">
      <c r="CT311" s="61"/>
      <c r="CU311" s="61"/>
    </row>
    <row r="312" spans="98:99" ht="12.75">
      <c r="CT312" s="61"/>
      <c r="CU312" s="61"/>
    </row>
    <row r="313" spans="98:99" ht="12.75">
      <c r="CT313" s="61"/>
      <c r="CU313" s="61"/>
    </row>
    <row r="314" spans="98:99" ht="12.75">
      <c r="CT314" s="61"/>
      <c r="CU314" s="61"/>
    </row>
    <row r="315" spans="98:99" ht="12.75">
      <c r="CT315" s="61"/>
      <c r="CU315" s="61"/>
    </row>
    <row r="316" spans="98:99" ht="12.75">
      <c r="CT316" s="61"/>
      <c r="CU316" s="61"/>
    </row>
    <row r="317" spans="98:99" ht="12.75">
      <c r="CT317" s="61"/>
      <c r="CU317" s="61"/>
    </row>
    <row r="318" spans="98:99" ht="12.75">
      <c r="CT318" s="61"/>
      <c r="CU318" s="61"/>
    </row>
    <row r="319" spans="98:99" ht="12.75">
      <c r="CT319" s="61"/>
      <c r="CU319" s="61"/>
    </row>
    <row r="320" spans="98:99" ht="12.75">
      <c r="CT320" s="61"/>
      <c r="CU320" s="61"/>
    </row>
    <row r="321" spans="98:99" ht="12.75">
      <c r="CT321" s="61"/>
      <c r="CU321" s="61"/>
    </row>
    <row r="322" spans="98:99" ht="12.75">
      <c r="CT322" s="61"/>
      <c r="CU322" s="61"/>
    </row>
    <row r="323" spans="98:99" ht="12.75">
      <c r="CT323" s="61"/>
      <c r="CU323" s="61"/>
    </row>
    <row r="324" spans="98:99" ht="12.75">
      <c r="CT324" s="61"/>
      <c r="CU324" s="61"/>
    </row>
    <row r="325" spans="98:99" ht="12.75">
      <c r="CT325" s="61"/>
      <c r="CU325" s="61"/>
    </row>
    <row r="326" spans="98:99" ht="12.75">
      <c r="CT326" s="61"/>
      <c r="CU326" s="61"/>
    </row>
    <row r="327" spans="98:99" ht="12.75">
      <c r="CT327" s="61"/>
      <c r="CU327" s="61"/>
    </row>
    <row r="328" spans="98:99" ht="12.75">
      <c r="CT328" s="61"/>
      <c r="CU328" s="61"/>
    </row>
    <row r="329" spans="98:99" ht="12.75">
      <c r="CT329" s="61"/>
      <c r="CU329" s="61"/>
    </row>
    <row r="330" spans="98:99" ht="12.75">
      <c r="CT330" s="61"/>
      <c r="CU330" s="61"/>
    </row>
    <row r="331" spans="98:99" ht="12.75">
      <c r="CT331" s="61"/>
      <c r="CU331" s="61"/>
    </row>
    <row r="332" spans="98:99" ht="12.75">
      <c r="CT332" s="61"/>
      <c r="CU332" s="61"/>
    </row>
    <row r="333" spans="98:99" ht="12.75">
      <c r="CT333" s="61"/>
      <c r="CU333" s="61"/>
    </row>
    <row r="334" spans="98:99" ht="12.75">
      <c r="CT334" s="61"/>
      <c r="CU334" s="61"/>
    </row>
    <row r="335" spans="98:99" ht="12.75">
      <c r="CT335" s="61"/>
      <c r="CU335" s="61"/>
    </row>
    <row r="336" spans="98:99" ht="12.75">
      <c r="CT336" s="61"/>
      <c r="CU336" s="61"/>
    </row>
    <row r="337" spans="98:99" ht="12.75">
      <c r="CT337" s="61"/>
      <c r="CU337" s="61"/>
    </row>
    <row r="338" spans="98:99" ht="12.75">
      <c r="CT338" s="61"/>
      <c r="CU338" s="61"/>
    </row>
    <row r="339" spans="98:99" ht="12.75">
      <c r="CT339" s="61"/>
      <c r="CU339" s="61"/>
    </row>
    <row r="340" spans="98:99" ht="12.75">
      <c r="CT340" s="61"/>
      <c r="CU340" s="61"/>
    </row>
    <row r="341" spans="98:99" ht="12.75">
      <c r="CT341" s="61"/>
      <c r="CU341" s="61"/>
    </row>
    <row r="342" spans="98:99" ht="12.75">
      <c r="CT342" s="61"/>
      <c r="CU342" s="61"/>
    </row>
    <row r="343" spans="98:99" ht="12.75">
      <c r="CT343" s="61"/>
      <c r="CU343" s="61"/>
    </row>
    <row r="344" spans="98:99" ht="12.75">
      <c r="CT344" s="61"/>
      <c r="CU344" s="61"/>
    </row>
    <row r="345" spans="98:99" ht="12.75">
      <c r="CT345" s="61"/>
      <c r="CU345" s="61"/>
    </row>
    <row r="346" spans="98:99" ht="12.75">
      <c r="CT346" s="61"/>
      <c r="CU346" s="61"/>
    </row>
    <row r="347" spans="98:99" ht="12.75">
      <c r="CT347" s="61"/>
      <c r="CU347" s="61"/>
    </row>
    <row r="348" spans="98:99" ht="12.75">
      <c r="CT348" s="61"/>
      <c r="CU348" s="61"/>
    </row>
    <row r="349" spans="98:99" ht="12.75">
      <c r="CT349" s="61"/>
      <c r="CU349" s="61"/>
    </row>
    <row r="350" spans="98:99" ht="12.75">
      <c r="CT350" s="61"/>
      <c r="CU350" s="61"/>
    </row>
    <row r="351" spans="98:99" ht="12.75">
      <c r="CT351" s="61"/>
      <c r="CU351" s="61"/>
    </row>
    <row r="352" spans="98:99" ht="12.75">
      <c r="CT352" s="61"/>
      <c r="CU352" s="61"/>
    </row>
    <row r="353" spans="98:99" ht="12.75">
      <c r="CT353" s="61"/>
      <c r="CU353" s="61"/>
    </row>
    <row r="354" spans="98:99" ht="12.75">
      <c r="CT354" s="61"/>
      <c r="CU354" s="61"/>
    </row>
    <row r="355" spans="98:99" ht="12.75">
      <c r="CT355" s="61"/>
      <c r="CU355" s="61"/>
    </row>
    <row r="356" spans="98:99" ht="12.75">
      <c r="CT356" s="61"/>
      <c r="CU356" s="61"/>
    </row>
    <row r="357" spans="98:99" ht="12.75">
      <c r="CT357" s="61"/>
      <c r="CU357" s="61"/>
    </row>
    <row r="358" spans="98:99" ht="12.75">
      <c r="CT358" s="61"/>
      <c r="CU358" s="61"/>
    </row>
    <row r="359" spans="98:99" ht="12.75">
      <c r="CT359" s="61"/>
      <c r="CU359" s="61"/>
    </row>
    <row r="360" spans="98:99" ht="12.75">
      <c r="CT360" s="61"/>
      <c r="CU360" s="61"/>
    </row>
    <row r="361" spans="98:99" ht="12.75">
      <c r="CT361" s="61"/>
      <c r="CU361" s="61"/>
    </row>
    <row r="362" spans="98:99" ht="12.75">
      <c r="CT362" s="61"/>
      <c r="CU362" s="61"/>
    </row>
    <row r="363" spans="98:99" ht="12.75">
      <c r="CT363" s="61"/>
      <c r="CU363" s="61"/>
    </row>
    <row r="364" spans="98:99" ht="12.75">
      <c r="CT364" s="61"/>
      <c r="CU364" s="61"/>
    </row>
    <row r="365" spans="98:99" ht="12.75">
      <c r="CT365" s="61"/>
      <c r="CU365" s="61"/>
    </row>
    <row r="366" spans="98:99" ht="12.75">
      <c r="CT366" s="61"/>
      <c r="CU366" s="61"/>
    </row>
    <row r="367" spans="98:99" ht="12.75">
      <c r="CT367" s="61"/>
      <c r="CU367" s="61"/>
    </row>
    <row r="368" spans="98:99" ht="12.75">
      <c r="CT368" s="61"/>
      <c r="CU368" s="61"/>
    </row>
    <row r="369" spans="98:99" ht="12.75">
      <c r="CT369" s="61"/>
      <c r="CU369" s="61"/>
    </row>
    <row r="370" spans="98:99" ht="12.75">
      <c r="CT370" s="61"/>
      <c r="CU370" s="61"/>
    </row>
    <row r="371" spans="98:99" ht="12.75">
      <c r="CT371" s="61"/>
      <c r="CU371" s="61"/>
    </row>
    <row r="372" spans="98:99" ht="12.75">
      <c r="CT372" s="61"/>
      <c r="CU372" s="61"/>
    </row>
    <row r="373" spans="98:99" ht="12.75">
      <c r="CT373" s="61"/>
      <c r="CU373" s="61"/>
    </row>
    <row r="374" spans="98:99" ht="12.75">
      <c r="CT374" s="61"/>
      <c r="CU374" s="61"/>
    </row>
    <row r="375" spans="98:99" ht="12.75">
      <c r="CT375" s="61"/>
      <c r="CU375" s="61"/>
    </row>
    <row r="376" spans="98:99" ht="12.75">
      <c r="CT376" s="61"/>
      <c r="CU376" s="61"/>
    </row>
    <row r="377" spans="98:99" ht="12.75">
      <c r="CT377" s="61"/>
      <c r="CU377" s="61"/>
    </row>
    <row r="378" spans="98:99" ht="12.75">
      <c r="CT378" s="61"/>
      <c r="CU378" s="61"/>
    </row>
    <row r="379" spans="98:99" ht="12.75">
      <c r="CT379" s="61"/>
      <c r="CU379" s="61"/>
    </row>
    <row r="380" spans="98:99" ht="12.75">
      <c r="CT380" s="61"/>
      <c r="CU380" s="61"/>
    </row>
    <row r="381" spans="98:99" ht="12.75">
      <c r="CT381" s="61"/>
      <c r="CU381" s="61"/>
    </row>
    <row r="382" spans="98:99" ht="12.75">
      <c r="CT382" s="61"/>
      <c r="CU382" s="61"/>
    </row>
    <row r="383" spans="98:99" ht="12.75">
      <c r="CT383" s="61"/>
      <c r="CU383" s="61"/>
    </row>
    <row r="384" spans="98:99" ht="12.75">
      <c r="CT384" s="61"/>
      <c r="CU384" s="61"/>
    </row>
    <row r="385" spans="98:99" ht="12.75">
      <c r="CT385" s="61"/>
      <c r="CU385" s="61"/>
    </row>
    <row r="386" spans="98:99" ht="12.75">
      <c r="CT386" s="61"/>
      <c r="CU386" s="61"/>
    </row>
    <row r="387" spans="98:99" ht="12.75">
      <c r="CT387" s="61"/>
      <c r="CU387" s="61"/>
    </row>
    <row r="388" spans="98:99" ht="12.75">
      <c r="CT388" s="61"/>
      <c r="CU388" s="61"/>
    </row>
    <row r="389" spans="98:99" ht="12.75">
      <c r="CT389" s="61"/>
      <c r="CU389" s="61"/>
    </row>
    <row r="390" spans="98:99" ht="12.75">
      <c r="CT390" s="61"/>
      <c r="CU390" s="61"/>
    </row>
    <row r="391" spans="98:99" ht="12.75">
      <c r="CT391" s="61"/>
      <c r="CU391" s="61"/>
    </row>
    <row r="392" spans="98:99" ht="12.75">
      <c r="CT392" s="61"/>
      <c r="CU392" s="61"/>
    </row>
    <row r="393" spans="98:99" ht="12.75">
      <c r="CT393" s="61"/>
      <c r="CU393" s="61"/>
    </row>
    <row r="394" spans="98:99" ht="12.75">
      <c r="CT394" s="61"/>
      <c r="CU394" s="61"/>
    </row>
    <row r="395" spans="98:99" ht="12.75">
      <c r="CT395" s="61"/>
      <c r="CU395" s="61"/>
    </row>
    <row r="396" spans="98:99" ht="12.75">
      <c r="CT396" s="61"/>
      <c r="CU396" s="61"/>
    </row>
    <row r="397" spans="98:99" ht="12.75">
      <c r="CT397" s="61"/>
      <c r="CU397" s="61"/>
    </row>
    <row r="398" spans="98:99" ht="12.75">
      <c r="CT398" s="61"/>
      <c r="CU398" s="61"/>
    </row>
    <row r="399" spans="98:99" ht="12.75">
      <c r="CT399" s="61"/>
      <c r="CU399" s="61"/>
    </row>
    <row r="400" spans="98:99" ht="12.75">
      <c r="CT400" s="61"/>
      <c r="CU400" s="61"/>
    </row>
    <row r="401" spans="98:99" ht="12.75">
      <c r="CT401" s="61"/>
      <c r="CU401" s="61"/>
    </row>
    <row r="402" spans="98:99" ht="12.75">
      <c r="CT402" s="61"/>
      <c r="CU402" s="61"/>
    </row>
    <row r="403" spans="98:99" ht="12.75">
      <c r="CT403" s="61"/>
      <c r="CU403" s="61"/>
    </row>
    <row r="404" spans="98:99" ht="12.75">
      <c r="CT404" s="61"/>
      <c r="CU404" s="61"/>
    </row>
    <row r="405" spans="98:99" ht="12.75">
      <c r="CT405" s="61"/>
      <c r="CU405" s="61"/>
    </row>
    <row r="406" spans="98:99" ht="12.75">
      <c r="CT406" s="61"/>
      <c r="CU406" s="61"/>
    </row>
    <row r="407" spans="98:99" ht="12.75">
      <c r="CT407" s="61"/>
      <c r="CU407" s="61"/>
    </row>
    <row r="408" spans="98:99" ht="12.75">
      <c r="CT408" s="61"/>
      <c r="CU408" s="61"/>
    </row>
    <row r="409" spans="98:99" ht="12.75">
      <c r="CT409" s="61"/>
      <c r="CU409" s="61"/>
    </row>
    <row r="410" spans="98:99" ht="12.75">
      <c r="CT410" s="61"/>
      <c r="CU410" s="61"/>
    </row>
    <row r="411" spans="98:99" ht="12.75">
      <c r="CT411" s="61"/>
      <c r="CU411" s="61"/>
    </row>
    <row r="412" spans="98:99" ht="12.75">
      <c r="CT412" s="61"/>
      <c r="CU412" s="61"/>
    </row>
    <row r="413" spans="98:99" ht="12.75">
      <c r="CT413" s="61"/>
      <c r="CU413" s="61"/>
    </row>
    <row r="414" spans="98:99" ht="12.75">
      <c r="CT414" s="61"/>
      <c r="CU414" s="61"/>
    </row>
    <row r="415" spans="98:99" ht="12.75">
      <c r="CT415" s="61"/>
      <c r="CU415" s="61"/>
    </row>
    <row r="416" spans="98:99" ht="12.75">
      <c r="CT416" s="61"/>
      <c r="CU416" s="61"/>
    </row>
    <row r="417" spans="98:99" ht="12.75">
      <c r="CT417" s="61"/>
      <c r="CU417" s="61"/>
    </row>
    <row r="418" spans="98:99" ht="12.75">
      <c r="CT418" s="61"/>
      <c r="CU418" s="61"/>
    </row>
    <row r="419" spans="98:99" ht="12.75">
      <c r="CT419" s="61"/>
      <c r="CU419" s="61"/>
    </row>
    <row r="420" spans="98:99" ht="12.75">
      <c r="CT420" s="61"/>
      <c r="CU420" s="61"/>
    </row>
    <row r="421" spans="98:99" ht="12.75">
      <c r="CT421" s="61"/>
      <c r="CU421" s="61"/>
    </row>
    <row r="422" spans="98:99" ht="12.75">
      <c r="CT422" s="61"/>
      <c r="CU422" s="61"/>
    </row>
    <row r="423" spans="98:99" ht="12.75">
      <c r="CT423" s="61"/>
      <c r="CU423" s="61"/>
    </row>
    <row r="424" spans="98:99" ht="12.75">
      <c r="CT424" s="61"/>
      <c r="CU424" s="61"/>
    </row>
    <row r="425" spans="98:99" ht="12.75">
      <c r="CT425" s="61"/>
      <c r="CU425" s="61"/>
    </row>
    <row r="426" spans="98:99" ht="12.75">
      <c r="CT426" s="61"/>
      <c r="CU426" s="61"/>
    </row>
    <row r="427" spans="98:99" ht="12.75">
      <c r="CT427" s="61"/>
      <c r="CU427" s="61"/>
    </row>
    <row r="428" spans="98:99" ht="12.75">
      <c r="CT428" s="61"/>
      <c r="CU428" s="61"/>
    </row>
    <row r="429" spans="98:99" ht="12.75">
      <c r="CT429" s="61"/>
      <c r="CU429" s="61"/>
    </row>
    <row r="430" spans="98:99" ht="12.75">
      <c r="CT430" s="61"/>
      <c r="CU430" s="61"/>
    </row>
    <row r="431" spans="98:99" ht="12.75">
      <c r="CT431" s="61"/>
      <c r="CU431" s="61"/>
    </row>
    <row r="432" spans="98:99" ht="12.75">
      <c r="CT432" s="61"/>
      <c r="CU432" s="61"/>
    </row>
    <row r="433" spans="98:99" ht="12.75">
      <c r="CT433" s="61"/>
      <c r="CU433" s="61"/>
    </row>
    <row r="434" spans="98:99" ht="12.75">
      <c r="CT434" s="61"/>
      <c r="CU434" s="61"/>
    </row>
    <row r="435" spans="98:99" ht="12.75">
      <c r="CT435" s="61"/>
      <c r="CU435" s="61"/>
    </row>
    <row r="436" spans="98:99" ht="12.75">
      <c r="CT436" s="61"/>
      <c r="CU436" s="61"/>
    </row>
    <row r="437" spans="98:99" ht="12.75">
      <c r="CT437" s="61"/>
      <c r="CU437" s="61"/>
    </row>
    <row r="438" spans="98:99" ht="12.75">
      <c r="CT438" s="61"/>
      <c r="CU438" s="61"/>
    </row>
    <row r="439" spans="98:99" ht="12.75">
      <c r="CT439" s="61"/>
      <c r="CU439" s="61"/>
    </row>
    <row r="440" spans="98:99" ht="12.75">
      <c r="CT440" s="61"/>
      <c r="CU440" s="61"/>
    </row>
    <row r="441" spans="98:99" ht="12.75">
      <c r="CT441" s="61"/>
      <c r="CU441" s="61"/>
    </row>
    <row r="442" spans="98:99" ht="12.75">
      <c r="CT442" s="61"/>
      <c r="CU442" s="61"/>
    </row>
    <row r="443" spans="98:99" ht="12.75">
      <c r="CT443" s="61"/>
      <c r="CU443" s="61"/>
    </row>
    <row r="444" spans="98:99" ht="12.75">
      <c r="CT444" s="61"/>
      <c r="CU444" s="61"/>
    </row>
    <row r="445" spans="98:99" ht="12.75">
      <c r="CT445" s="61"/>
      <c r="CU445" s="61"/>
    </row>
    <row r="446" spans="98:99" ht="12.75">
      <c r="CT446" s="61"/>
      <c r="CU446" s="61"/>
    </row>
    <row r="447" spans="98:99" ht="12.75">
      <c r="CT447" s="61"/>
      <c r="CU447" s="61"/>
    </row>
    <row r="448" spans="98:99" ht="12.75">
      <c r="CT448" s="61"/>
      <c r="CU448" s="61"/>
    </row>
    <row r="449" spans="98:99" ht="12.75">
      <c r="CT449" s="61"/>
      <c r="CU449" s="61"/>
    </row>
    <row r="450" spans="98:99" ht="12.75">
      <c r="CT450" s="61"/>
      <c r="CU450" s="61"/>
    </row>
    <row r="451" spans="98:99" ht="12.75">
      <c r="CT451" s="61"/>
      <c r="CU451" s="61"/>
    </row>
    <row r="452" spans="98:99" ht="12.75">
      <c r="CT452" s="61"/>
      <c r="CU452" s="61"/>
    </row>
    <row r="453" spans="98:99" ht="12.75">
      <c r="CT453" s="61"/>
      <c r="CU453" s="61"/>
    </row>
    <row r="454" spans="98:99" ht="12.75">
      <c r="CT454" s="61"/>
      <c r="CU454" s="61"/>
    </row>
    <row r="455" spans="98:99" ht="12.75">
      <c r="CT455" s="61"/>
      <c r="CU455" s="61"/>
    </row>
    <row r="456" spans="98:99" ht="12.75">
      <c r="CT456" s="61"/>
      <c r="CU456" s="61"/>
    </row>
    <row r="457" spans="98:99" ht="12.75">
      <c r="CT457" s="61"/>
      <c r="CU457" s="61"/>
    </row>
    <row r="458" spans="98:99" ht="12.75">
      <c r="CT458" s="61"/>
      <c r="CU458" s="61"/>
    </row>
    <row r="459" spans="98:99" ht="12.75">
      <c r="CT459" s="61"/>
      <c r="CU459" s="61"/>
    </row>
    <row r="460" spans="98:99" ht="12.75">
      <c r="CT460" s="61"/>
      <c r="CU460" s="61"/>
    </row>
    <row r="461" spans="98:99" ht="12.75">
      <c r="CT461" s="61"/>
      <c r="CU461" s="61"/>
    </row>
    <row r="462" spans="98:99" ht="12.75">
      <c r="CT462" s="61"/>
      <c r="CU462" s="61"/>
    </row>
    <row r="463" spans="98:99" ht="12.75">
      <c r="CT463" s="61"/>
      <c r="CU463" s="61"/>
    </row>
    <row r="464" spans="98:99" ht="12.75">
      <c r="CT464" s="61"/>
      <c r="CU464" s="61"/>
    </row>
    <row r="465" spans="98:99" ht="12.75">
      <c r="CT465" s="61"/>
      <c r="CU465" s="61"/>
    </row>
    <row r="466" spans="98:99" ht="12.75">
      <c r="CT466" s="61"/>
      <c r="CU466" s="61"/>
    </row>
    <row r="467" spans="98:99" ht="12.75">
      <c r="CT467" s="61"/>
      <c r="CU467" s="61"/>
    </row>
    <row r="468" spans="98:99" ht="12.75">
      <c r="CT468" s="61"/>
      <c r="CU468" s="61"/>
    </row>
    <row r="469" spans="98:99" ht="12.75">
      <c r="CT469" s="61"/>
      <c r="CU469" s="61"/>
    </row>
    <row r="470" spans="98:99" ht="12.75">
      <c r="CT470" s="61"/>
      <c r="CU470" s="61"/>
    </row>
    <row r="471" spans="98:99" ht="12.75">
      <c r="CT471" s="61"/>
      <c r="CU471" s="61"/>
    </row>
    <row r="472" spans="98:99" ht="12.75">
      <c r="CT472" s="61"/>
      <c r="CU472" s="61"/>
    </row>
    <row r="473" spans="98:99" ht="12.75">
      <c r="CT473" s="61"/>
      <c r="CU473" s="61"/>
    </row>
    <row r="474" spans="98:99" ht="12.75">
      <c r="CT474" s="61"/>
      <c r="CU474" s="61"/>
    </row>
    <row r="475" spans="98:99" ht="12.75">
      <c r="CT475" s="61"/>
      <c r="CU475" s="61"/>
    </row>
    <row r="476" spans="98:99" ht="12.75">
      <c r="CT476" s="61"/>
      <c r="CU476" s="61"/>
    </row>
    <row r="477" spans="98:99" ht="12.75">
      <c r="CT477" s="61"/>
      <c r="CU477" s="61"/>
    </row>
    <row r="478" spans="98:99" ht="12.75">
      <c r="CT478" s="61"/>
      <c r="CU478" s="61"/>
    </row>
    <row r="479" spans="98:99" ht="12.75">
      <c r="CT479" s="61"/>
      <c r="CU479" s="61"/>
    </row>
    <row r="480" spans="98:99" ht="12.75">
      <c r="CT480" s="61"/>
      <c r="CU480" s="61"/>
    </row>
    <row r="481" spans="98:99" ht="12.75">
      <c r="CT481" s="61"/>
      <c r="CU481" s="61"/>
    </row>
    <row r="482" spans="98:99" ht="12.75">
      <c r="CT482" s="61"/>
      <c r="CU482" s="61"/>
    </row>
    <row r="483" spans="98:99" ht="12.75">
      <c r="CT483" s="61"/>
      <c r="CU483" s="61"/>
    </row>
    <row r="484" spans="98:99" ht="12.75">
      <c r="CT484" s="61"/>
      <c r="CU484" s="61"/>
    </row>
    <row r="485" spans="98:99" ht="12.75">
      <c r="CT485" s="61"/>
      <c r="CU485" s="61"/>
    </row>
    <row r="486" spans="98:99" ht="12.75">
      <c r="CT486" s="61"/>
      <c r="CU486" s="61"/>
    </row>
    <row r="487" spans="98:99" ht="12.75">
      <c r="CT487" s="61"/>
      <c r="CU487" s="61"/>
    </row>
    <row r="488" spans="98:99" ht="12.75">
      <c r="CT488" s="61"/>
      <c r="CU488" s="61"/>
    </row>
    <row r="489" spans="98:99" ht="12.75">
      <c r="CT489" s="61"/>
      <c r="CU489" s="61"/>
    </row>
    <row r="490" spans="98:99" ht="12.75">
      <c r="CT490" s="61"/>
      <c r="CU490" s="61"/>
    </row>
    <row r="491" spans="98:99" ht="12.75">
      <c r="CT491" s="61"/>
      <c r="CU491" s="61"/>
    </row>
    <row r="492" spans="98:99" ht="12.75">
      <c r="CT492" s="61"/>
      <c r="CU492" s="61"/>
    </row>
    <row r="493" spans="98:99" ht="12.75">
      <c r="CT493" s="61"/>
      <c r="CU493" s="61"/>
    </row>
    <row r="494" spans="98:99" ht="12.75">
      <c r="CT494" s="61"/>
      <c r="CU494" s="61"/>
    </row>
    <row r="495" spans="98:99" ht="12.75">
      <c r="CT495" s="61"/>
      <c r="CU495" s="61"/>
    </row>
    <row r="496" spans="98:99" ht="12.75">
      <c r="CT496" s="61"/>
      <c r="CU496" s="61"/>
    </row>
    <row r="497" spans="98:99" ht="12.75">
      <c r="CT497" s="61"/>
      <c r="CU497" s="61"/>
    </row>
    <row r="498" spans="98:99" ht="12.75">
      <c r="CT498" s="61"/>
      <c r="CU498" s="61"/>
    </row>
    <row r="499" spans="98:99" ht="12.75">
      <c r="CT499" s="61"/>
      <c r="CU499" s="61"/>
    </row>
    <row r="500" spans="98:99" ht="12.75">
      <c r="CT500" s="61"/>
      <c r="CU500" s="61"/>
    </row>
    <row r="501" spans="98:99" ht="12.75">
      <c r="CT501" s="61"/>
      <c r="CU501" s="61"/>
    </row>
    <row r="502" spans="98:99" ht="12.75">
      <c r="CT502" s="61"/>
      <c r="CU502" s="61"/>
    </row>
    <row r="503" spans="98:99" ht="12.75">
      <c r="CT503" s="61"/>
      <c r="CU503" s="61"/>
    </row>
    <row r="504" spans="98:99" ht="12.75">
      <c r="CT504" s="61"/>
      <c r="CU504" s="61"/>
    </row>
    <row r="505" spans="98:99" ht="12.75">
      <c r="CT505" s="61"/>
      <c r="CU505" s="61"/>
    </row>
    <row r="506" spans="98:99" ht="12.75">
      <c r="CT506" s="61"/>
      <c r="CU506" s="61"/>
    </row>
    <row r="507" spans="98:99" ht="12.75">
      <c r="CT507" s="61"/>
      <c r="CU507" s="61"/>
    </row>
    <row r="508" spans="98:99" ht="12.75">
      <c r="CT508" s="61"/>
      <c r="CU508" s="61"/>
    </row>
    <row r="509" spans="98:99" ht="12.75">
      <c r="CT509" s="61"/>
      <c r="CU509" s="61"/>
    </row>
    <row r="510" spans="98:99" ht="12.75">
      <c r="CT510" s="61"/>
      <c r="CU510" s="61"/>
    </row>
    <row r="511" spans="98:99" ht="12.75">
      <c r="CT511" s="61"/>
      <c r="CU511" s="61"/>
    </row>
    <row r="512" spans="98:99" ht="12.75">
      <c r="CT512" s="61"/>
      <c r="CU512" s="61"/>
    </row>
    <row r="513" spans="98:99" ht="12.75">
      <c r="CT513" s="61"/>
      <c r="CU513" s="61"/>
    </row>
    <row r="514" spans="98:99" ht="12.75">
      <c r="CT514" s="61"/>
      <c r="CU514" s="61"/>
    </row>
    <row r="515" spans="98:99" ht="12.75">
      <c r="CT515" s="61"/>
      <c r="CU515" s="61"/>
    </row>
    <row r="516" spans="98:99" ht="12.75">
      <c r="CT516" s="61"/>
      <c r="CU516" s="61"/>
    </row>
    <row r="517" spans="98:99" ht="12.75">
      <c r="CT517" s="61"/>
      <c r="CU517" s="61"/>
    </row>
    <row r="518" spans="98:99" ht="12.75">
      <c r="CT518" s="61"/>
      <c r="CU518" s="61"/>
    </row>
    <row r="519" spans="98:99" ht="12.75">
      <c r="CT519" s="61"/>
      <c r="CU519" s="61"/>
    </row>
    <row r="520" spans="98:99" ht="12.75">
      <c r="CT520" s="61"/>
      <c r="CU520" s="61"/>
    </row>
    <row r="521" spans="98:99" ht="12.75">
      <c r="CT521" s="61"/>
      <c r="CU521" s="61"/>
    </row>
    <row r="522" spans="98:99" ht="12.75">
      <c r="CT522" s="61"/>
      <c r="CU522" s="61"/>
    </row>
    <row r="523" spans="98:99" ht="12.75">
      <c r="CT523" s="61"/>
      <c r="CU523" s="61"/>
    </row>
    <row r="524" spans="98:99" ht="12.75">
      <c r="CT524" s="61"/>
      <c r="CU524" s="61"/>
    </row>
    <row r="525" spans="98:99" ht="12.75">
      <c r="CT525" s="61"/>
      <c r="CU525" s="61"/>
    </row>
    <row r="526" spans="98:99" ht="12.75">
      <c r="CT526" s="61"/>
      <c r="CU526" s="61"/>
    </row>
    <row r="527" spans="98:99" ht="12.75">
      <c r="CT527" s="61"/>
      <c r="CU527" s="61"/>
    </row>
    <row r="528" spans="98:99" ht="12.75">
      <c r="CT528" s="61"/>
      <c r="CU528" s="61"/>
    </row>
    <row r="529" spans="98:99" ht="12.75">
      <c r="CT529" s="61"/>
      <c r="CU529" s="61"/>
    </row>
    <row r="530" spans="98:99" ht="12.75">
      <c r="CT530" s="61"/>
      <c r="CU530" s="61"/>
    </row>
    <row r="531" spans="98:99" ht="12.75">
      <c r="CT531" s="61"/>
      <c r="CU531" s="61"/>
    </row>
    <row r="532" spans="98:99" ht="12.75">
      <c r="CT532" s="61"/>
      <c r="CU532" s="61"/>
    </row>
    <row r="533" spans="98:99" ht="12.75">
      <c r="CT533" s="61"/>
      <c r="CU533" s="61"/>
    </row>
    <row r="534" spans="98:99" ht="12.75">
      <c r="CT534" s="61"/>
      <c r="CU534" s="61"/>
    </row>
    <row r="535" spans="98:99" ht="12.75">
      <c r="CT535" s="61"/>
      <c r="CU535" s="61"/>
    </row>
    <row r="536" spans="98:99" ht="12.75">
      <c r="CT536" s="61"/>
      <c r="CU536" s="61"/>
    </row>
    <row r="537" spans="98:99" ht="12.75">
      <c r="CT537" s="61"/>
      <c r="CU537" s="61"/>
    </row>
    <row r="538" spans="98:99" ht="12.75">
      <c r="CT538" s="61"/>
      <c r="CU538" s="61"/>
    </row>
    <row r="539" spans="98:99" ht="12.75">
      <c r="CT539" s="61"/>
      <c r="CU539" s="61"/>
    </row>
    <row r="540" spans="98:99" ht="12.75">
      <c r="CT540" s="61"/>
      <c r="CU540" s="61"/>
    </row>
    <row r="541" spans="98:99" ht="12.75">
      <c r="CT541" s="61"/>
      <c r="CU541" s="61"/>
    </row>
    <row r="542" spans="98:99" ht="12.75">
      <c r="CT542" s="61"/>
      <c r="CU542" s="61"/>
    </row>
    <row r="543" spans="98:99" ht="12.75">
      <c r="CT543" s="61"/>
      <c r="CU543" s="61"/>
    </row>
    <row r="544" spans="98:99" ht="12.75">
      <c r="CT544" s="61"/>
      <c r="CU544" s="61"/>
    </row>
    <row r="545" spans="98:99" ht="12.75">
      <c r="CT545" s="61"/>
      <c r="CU545" s="61"/>
    </row>
    <row r="546" spans="98:99" ht="12.75">
      <c r="CT546" s="61"/>
      <c r="CU546" s="61"/>
    </row>
    <row r="547" spans="98:99" ht="12.75">
      <c r="CT547" s="61"/>
      <c r="CU547" s="61"/>
    </row>
    <row r="548" spans="98:99" ht="12.75">
      <c r="CT548" s="61"/>
      <c r="CU548" s="61"/>
    </row>
    <row r="549" spans="98:99" ht="12.75">
      <c r="CT549" s="61"/>
      <c r="CU549" s="61"/>
    </row>
    <row r="550" spans="98:99" ht="12.75">
      <c r="CT550" s="61"/>
      <c r="CU550" s="61"/>
    </row>
    <row r="551" spans="98:99" ht="12.75">
      <c r="CT551" s="61"/>
      <c r="CU551" s="61"/>
    </row>
    <row r="552" spans="98:99" ht="12.75">
      <c r="CT552" s="61"/>
      <c r="CU552" s="61"/>
    </row>
    <row r="553" spans="98:99" ht="12.75">
      <c r="CT553" s="61"/>
      <c r="CU553" s="61"/>
    </row>
    <row r="554" spans="98:99" ht="12.75">
      <c r="CT554" s="61"/>
      <c r="CU554" s="61"/>
    </row>
    <row r="555" spans="98:99" ht="12.75">
      <c r="CT555" s="61"/>
      <c r="CU555" s="61"/>
    </row>
    <row r="556" spans="98:99" ht="12.75">
      <c r="CT556" s="61"/>
      <c r="CU556" s="61"/>
    </row>
    <row r="557" spans="98:99" ht="12.75">
      <c r="CT557" s="61"/>
      <c r="CU557" s="61"/>
    </row>
    <row r="558" spans="98:99" ht="12.75">
      <c r="CT558" s="61"/>
      <c r="CU558" s="61"/>
    </row>
    <row r="559" spans="98:99" ht="12.75">
      <c r="CT559" s="61"/>
      <c r="CU559" s="61"/>
    </row>
    <row r="560" spans="98:99" ht="12.75">
      <c r="CT560" s="61"/>
      <c r="CU560" s="61"/>
    </row>
    <row r="561" spans="98:99" ht="12.75">
      <c r="CT561" s="61"/>
      <c r="CU561" s="61"/>
    </row>
    <row r="562" spans="98:99" ht="12.75">
      <c r="CT562" s="61"/>
      <c r="CU562" s="61"/>
    </row>
    <row r="563" spans="98:99" ht="12.75">
      <c r="CT563" s="61"/>
      <c r="CU563" s="61"/>
    </row>
    <row r="564" spans="98:99" ht="12.75">
      <c r="CT564" s="61"/>
      <c r="CU564" s="61"/>
    </row>
    <row r="565" spans="98:99" ht="12.75">
      <c r="CT565" s="61"/>
      <c r="CU565" s="61"/>
    </row>
    <row r="566" spans="98:99" ht="12.75">
      <c r="CT566" s="61"/>
      <c r="CU566" s="61"/>
    </row>
    <row r="567" spans="98:99" ht="12.75">
      <c r="CT567" s="61"/>
      <c r="CU567" s="61"/>
    </row>
    <row r="568" spans="98:99" ht="12.75">
      <c r="CT568" s="61"/>
      <c r="CU568" s="61"/>
    </row>
    <row r="569" spans="98:99" ht="12.75">
      <c r="CT569" s="61"/>
      <c r="CU569" s="61"/>
    </row>
    <row r="570" spans="98:99" ht="12.75">
      <c r="CT570" s="61"/>
      <c r="CU570" s="61"/>
    </row>
    <row r="571" spans="98:99" ht="12.75">
      <c r="CT571" s="61"/>
      <c r="CU571" s="61"/>
    </row>
    <row r="572" spans="98:99" ht="12.75">
      <c r="CT572" s="61"/>
      <c r="CU572" s="61"/>
    </row>
    <row r="573" spans="98:99" ht="12.75">
      <c r="CT573" s="61"/>
      <c r="CU573" s="61"/>
    </row>
    <row r="574" spans="98:99" ht="12.75">
      <c r="CT574" s="61"/>
      <c r="CU574" s="61"/>
    </row>
    <row r="575" spans="98:99" ht="12.75">
      <c r="CT575" s="61"/>
      <c r="CU575" s="61"/>
    </row>
    <row r="576" spans="98:99" ht="12.75">
      <c r="CT576" s="61"/>
      <c r="CU576" s="61"/>
    </row>
    <row r="577" spans="98:99" ht="12.75">
      <c r="CT577" s="61"/>
      <c r="CU577" s="61"/>
    </row>
    <row r="578" spans="98:99" ht="12.75">
      <c r="CT578" s="61"/>
      <c r="CU578" s="61"/>
    </row>
    <row r="579" spans="98:99" ht="12.75">
      <c r="CT579" s="61"/>
      <c r="CU579" s="61"/>
    </row>
    <row r="580" spans="98:99" ht="12.75">
      <c r="CT580" s="61"/>
      <c r="CU580" s="61"/>
    </row>
    <row r="581" spans="98:99" ht="12.75">
      <c r="CT581" s="61"/>
      <c r="CU581" s="61"/>
    </row>
    <row r="582" spans="98:99" ht="12.75">
      <c r="CT582" s="61"/>
      <c r="CU582" s="61"/>
    </row>
    <row r="583" spans="98:99" ht="12.75">
      <c r="CT583" s="61"/>
      <c r="CU583" s="61"/>
    </row>
    <row r="584" spans="98:99" ht="12.75">
      <c r="CT584" s="61"/>
      <c r="CU584" s="61"/>
    </row>
    <row r="585" spans="98:99" ht="12.75">
      <c r="CT585" s="61"/>
      <c r="CU585" s="61"/>
    </row>
    <row r="586" spans="98:99" ht="12.75">
      <c r="CT586" s="61"/>
      <c r="CU586" s="61"/>
    </row>
    <row r="587" spans="98:99" ht="12.75">
      <c r="CT587" s="61"/>
      <c r="CU587" s="61"/>
    </row>
    <row r="588" spans="98:99" ht="12.75">
      <c r="CT588" s="61"/>
      <c r="CU588" s="61"/>
    </row>
    <row r="589" spans="98:99" ht="12.75">
      <c r="CT589" s="61"/>
      <c r="CU589" s="61"/>
    </row>
    <row r="590" spans="98:99" ht="12.75">
      <c r="CT590" s="61"/>
      <c r="CU590" s="61"/>
    </row>
    <row r="591" spans="98:99" ht="12.75">
      <c r="CT591" s="61"/>
      <c r="CU591" s="61"/>
    </row>
    <row r="592" spans="98:99" ht="12.75">
      <c r="CT592" s="61"/>
      <c r="CU592" s="61"/>
    </row>
    <row r="593" spans="98:99" ht="12.75">
      <c r="CT593" s="61"/>
      <c r="CU593" s="61"/>
    </row>
    <row r="594" spans="98:99" ht="12.75">
      <c r="CT594" s="61"/>
      <c r="CU594" s="61"/>
    </row>
    <row r="595" spans="98:99" ht="12.75">
      <c r="CT595" s="61"/>
      <c r="CU595" s="61"/>
    </row>
    <row r="596" spans="98:99" ht="12.75">
      <c r="CT596" s="61"/>
      <c r="CU596" s="61"/>
    </row>
    <row r="597" spans="98:99" ht="12.75">
      <c r="CT597" s="61"/>
      <c r="CU597" s="61"/>
    </row>
    <row r="598" spans="98:99" ht="12.75">
      <c r="CT598" s="61"/>
      <c r="CU598" s="61"/>
    </row>
    <row r="599" spans="98:99" ht="12.75">
      <c r="CT599" s="61"/>
      <c r="CU599" s="61"/>
    </row>
    <row r="600" spans="98:99" ht="12.75">
      <c r="CT600" s="61"/>
      <c r="CU600" s="61"/>
    </row>
    <row r="601" spans="98:99" ht="12.75">
      <c r="CT601" s="61"/>
      <c r="CU601" s="61"/>
    </row>
    <row r="602" spans="98:99" ht="12.75">
      <c r="CT602" s="61"/>
      <c r="CU602" s="61"/>
    </row>
    <row r="603" spans="98:99" ht="12.75">
      <c r="CT603" s="61"/>
      <c r="CU603" s="61"/>
    </row>
    <row r="604" spans="98:99" ht="12.75">
      <c r="CT604" s="61"/>
      <c r="CU604" s="61"/>
    </row>
    <row r="605" spans="98:99" ht="12.75">
      <c r="CT605" s="61"/>
      <c r="CU605" s="61"/>
    </row>
    <row r="606" spans="98:99" ht="12.75">
      <c r="CT606" s="61"/>
      <c r="CU606" s="61"/>
    </row>
    <row r="607" spans="98:99" ht="12.75">
      <c r="CT607" s="61"/>
      <c r="CU607" s="61"/>
    </row>
    <row r="608" spans="98:99" ht="12.75">
      <c r="CT608" s="61"/>
      <c r="CU608" s="61"/>
    </row>
    <row r="609" spans="98:99" ht="12.75">
      <c r="CT609" s="61"/>
      <c r="CU609" s="61"/>
    </row>
    <row r="610" spans="98:99" ht="12.75">
      <c r="CT610" s="61"/>
      <c r="CU610" s="61"/>
    </row>
    <row r="611" spans="98:99" ht="12.75">
      <c r="CT611" s="61"/>
      <c r="CU611" s="61"/>
    </row>
    <row r="612" spans="98:99" ht="12.75">
      <c r="CT612" s="61"/>
      <c r="CU612" s="61"/>
    </row>
    <row r="613" spans="98:99" ht="12.75">
      <c r="CT613" s="61"/>
      <c r="CU613" s="61"/>
    </row>
    <row r="614" spans="98:99" ht="12.75">
      <c r="CT614" s="61"/>
      <c r="CU614" s="61"/>
    </row>
    <row r="615" spans="98:99" ht="12.75">
      <c r="CT615" s="61"/>
      <c r="CU615" s="61"/>
    </row>
    <row r="616" spans="98:99" ht="12.75">
      <c r="CT616" s="61"/>
      <c r="CU616" s="61"/>
    </row>
    <row r="617" spans="98:99" ht="12.75">
      <c r="CT617" s="61"/>
      <c r="CU617" s="61"/>
    </row>
    <row r="618" spans="98:99" ht="12.75">
      <c r="CT618" s="61"/>
      <c r="CU618" s="61"/>
    </row>
    <row r="619" spans="98:99" ht="12.75">
      <c r="CT619" s="61"/>
      <c r="CU619" s="61"/>
    </row>
    <row r="620" spans="98:99" ht="12.75">
      <c r="CT620" s="61"/>
      <c r="CU620" s="61"/>
    </row>
    <row r="621" spans="98:99" ht="12.75">
      <c r="CT621" s="61"/>
      <c r="CU621" s="61"/>
    </row>
    <row r="622" spans="98:99" ht="12.75">
      <c r="CT622" s="61"/>
      <c r="CU622" s="61"/>
    </row>
    <row r="623" spans="98:99" ht="12.75">
      <c r="CT623" s="61"/>
      <c r="CU623" s="61"/>
    </row>
    <row r="624" spans="98:99" ht="12.75">
      <c r="CT624" s="61"/>
      <c r="CU624" s="61"/>
    </row>
    <row r="625" spans="98:99" ht="12.75">
      <c r="CT625" s="61"/>
      <c r="CU625" s="61"/>
    </row>
    <row r="626" spans="98:99" ht="12.75">
      <c r="CT626" s="61"/>
      <c r="CU626" s="61"/>
    </row>
    <row r="627" spans="98:99" ht="12.75">
      <c r="CT627" s="61"/>
      <c r="CU627" s="61"/>
    </row>
    <row r="628" spans="98:99" ht="12.75">
      <c r="CT628" s="61"/>
      <c r="CU628" s="61"/>
    </row>
    <row r="629" spans="98:99" ht="12.75">
      <c r="CT629" s="61"/>
      <c r="CU629" s="61"/>
    </row>
    <row r="630" spans="98:99" ht="12.75">
      <c r="CT630" s="61"/>
      <c r="CU630" s="61"/>
    </row>
    <row r="631" spans="98:99" ht="12.75">
      <c r="CT631" s="61"/>
      <c r="CU631" s="61"/>
    </row>
    <row r="632" spans="98:99" ht="12.75">
      <c r="CT632" s="61"/>
      <c r="CU632" s="61"/>
    </row>
    <row r="633" spans="98:99" ht="12.75">
      <c r="CT633" s="61"/>
      <c r="CU633" s="61"/>
    </row>
    <row r="634" spans="98:99" ht="12.75">
      <c r="CT634" s="61"/>
      <c r="CU634" s="61"/>
    </row>
    <row r="635" spans="98:99" ht="12.75">
      <c r="CT635" s="61"/>
      <c r="CU635" s="61"/>
    </row>
    <row r="636" spans="98:99" ht="12.75">
      <c r="CT636" s="61"/>
      <c r="CU636" s="61"/>
    </row>
    <row r="637" spans="98:99" ht="12.75">
      <c r="CT637" s="61"/>
      <c r="CU637" s="61"/>
    </row>
    <row r="638" spans="98:99" ht="12.75">
      <c r="CT638" s="61"/>
      <c r="CU638" s="61"/>
    </row>
    <row r="639" spans="98:99" ht="12.75">
      <c r="CT639" s="61"/>
      <c r="CU639" s="61"/>
    </row>
    <row r="640" spans="98:99" ht="12.75">
      <c r="CT640" s="61"/>
      <c r="CU640" s="61"/>
    </row>
    <row r="641" spans="98:99" ht="12.75">
      <c r="CT641" s="61"/>
      <c r="CU641" s="61"/>
    </row>
    <row r="642" spans="98:99" ht="12.75">
      <c r="CT642" s="61"/>
      <c r="CU642" s="61"/>
    </row>
    <row r="643" spans="98:99" ht="12.75">
      <c r="CT643" s="61"/>
      <c r="CU643" s="61"/>
    </row>
    <row r="644" spans="98:99" ht="12.75">
      <c r="CT644" s="61"/>
      <c r="CU644" s="61"/>
    </row>
    <row r="645" spans="98:99" ht="12.75">
      <c r="CT645" s="61"/>
      <c r="CU645" s="61"/>
    </row>
    <row r="646" spans="98:99" ht="12.75">
      <c r="CT646" s="61"/>
      <c r="CU646" s="61"/>
    </row>
    <row r="647" spans="98:99" ht="12.75">
      <c r="CT647" s="61"/>
      <c r="CU647" s="61"/>
    </row>
    <row r="648" spans="98:99" ht="12.75">
      <c r="CT648" s="61"/>
      <c r="CU648" s="61"/>
    </row>
    <row r="649" spans="98:99" ht="12.75">
      <c r="CT649" s="61"/>
      <c r="CU649" s="61"/>
    </row>
    <row r="650" spans="98:99" ht="12.75">
      <c r="CT650" s="61"/>
      <c r="CU650" s="61"/>
    </row>
    <row r="651" spans="98:99" ht="12.75">
      <c r="CT651" s="61"/>
      <c r="CU651" s="61"/>
    </row>
    <row r="652" spans="98:99" ht="12.75">
      <c r="CT652" s="61"/>
      <c r="CU652" s="61"/>
    </row>
    <row r="653" spans="98:99" ht="12.75">
      <c r="CT653" s="61"/>
      <c r="CU653" s="61"/>
    </row>
    <row r="654" spans="98:99" ht="12.75">
      <c r="CT654" s="61"/>
      <c r="CU654" s="61"/>
    </row>
    <row r="655" spans="98:99" ht="12.75">
      <c r="CT655" s="61"/>
      <c r="CU655" s="61"/>
    </row>
    <row r="656" spans="98:99" ht="12.75">
      <c r="CT656" s="61"/>
      <c r="CU656" s="61"/>
    </row>
    <row r="657" spans="98:99" ht="12.75">
      <c r="CT657" s="61"/>
      <c r="CU657" s="61"/>
    </row>
    <row r="658" spans="98:99" ht="12.75">
      <c r="CT658" s="61"/>
      <c r="CU658" s="61"/>
    </row>
    <row r="659" spans="98:99" ht="12.75">
      <c r="CT659" s="61"/>
      <c r="CU659" s="61"/>
    </row>
    <row r="660" spans="98:99" ht="12.75">
      <c r="CT660" s="61"/>
      <c r="CU660" s="61"/>
    </row>
    <row r="661" spans="98:99" ht="12.75">
      <c r="CT661" s="61"/>
      <c r="CU661" s="61"/>
    </row>
    <row r="662" spans="98:99" ht="12.75">
      <c r="CT662" s="61"/>
      <c r="CU662" s="61"/>
    </row>
    <row r="663" spans="98:99" ht="12.75">
      <c r="CT663" s="61"/>
      <c r="CU663" s="61"/>
    </row>
    <row r="664" spans="98:99" ht="12.75">
      <c r="CT664" s="61"/>
      <c r="CU664" s="61"/>
    </row>
    <row r="665" spans="98:99" ht="12.75">
      <c r="CT665" s="61"/>
      <c r="CU665" s="61"/>
    </row>
    <row r="666" spans="98:99" ht="12.75">
      <c r="CT666" s="61"/>
      <c r="CU666" s="61"/>
    </row>
    <row r="667" spans="98:99" ht="12.75">
      <c r="CT667" s="61"/>
      <c r="CU667" s="61"/>
    </row>
    <row r="668" spans="98:99" ht="12.75">
      <c r="CT668" s="61"/>
      <c r="CU668" s="61"/>
    </row>
    <row r="669" spans="98:99" ht="12.75">
      <c r="CT669" s="61"/>
      <c r="CU669" s="61"/>
    </row>
    <row r="670" spans="98:99" ht="12.75">
      <c r="CT670" s="61"/>
      <c r="CU670" s="61"/>
    </row>
    <row r="671" spans="98:99" ht="12.75">
      <c r="CT671" s="61"/>
      <c r="CU671" s="61"/>
    </row>
    <row r="672" spans="98:99" ht="12.75">
      <c r="CT672" s="61"/>
      <c r="CU672" s="61"/>
    </row>
    <row r="673" spans="98:99" ht="12.75">
      <c r="CT673" s="61"/>
      <c r="CU673" s="61"/>
    </row>
    <row r="674" spans="98:99" ht="12.75">
      <c r="CT674" s="61"/>
      <c r="CU674" s="61"/>
    </row>
    <row r="675" spans="98:99" ht="12.75">
      <c r="CT675" s="61"/>
      <c r="CU675" s="61"/>
    </row>
    <row r="676" spans="98:99" ht="12.75">
      <c r="CT676" s="61"/>
      <c r="CU676" s="61"/>
    </row>
    <row r="677" spans="98:99" ht="12.75">
      <c r="CT677" s="61"/>
      <c r="CU677" s="61"/>
    </row>
    <row r="678" spans="98:99" ht="12.75">
      <c r="CT678" s="61"/>
      <c r="CU678" s="61"/>
    </row>
    <row r="679" spans="98:99" ht="12.75">
      <c r="CT679" s="61"/>
      <c r="CU679" s="61"/>
    </row>
    <row r="680" spans="98:99" ht="12.75">
      <c r="CT680" s="61"/>
      <c r="CU680" s="61"/>
    </row>
    <row r="681" spans="98:99" ht="12.75">
      <c r="CT681" s="61"/>
      <c r="CU681" s="61"/>
    </row>
    <row r="682" spans="98:99" ht="12.75">
      <c r="CT682" s="61"/>
      <c r="CU682" s="61"/>
    </row>
    <row r="683" spans="98:99" ht="12.75">
      <c r="CT683" s="61"/>
      <c r="CU683" s="61"/>
    </row>
    <row r="684" spans="98:99" ht="12.75">
      <c r="CT684" s="61"/>
      <c r="CU684" s="61"/>
    </row>
    <row r="685" spans="98:99" ht="12.75">
      <c r="CT685" s="61"/>
      <c r="CU685" s="61"/>
    </row>
    <row r="686" spans="98:99" ht="12.75">
      <c r="CT686" s="61"/>
      <c r="CU686" s="61"/>
    </row>
    <row r="687" spans="98:99" ht="12.75">
      <c r="CT687" s="61"/>
      <c r="CU687" s="61"/>
    </row>
    <row r="688" spans="98:99" ht="12.75">
      <c r="CT688" s="61"/>
      <c r="CU688" s="61"/>
    </row>
    <row r="689" spans="98:99" ht="12.75">
      <c r="CT689" s="61"/>
      <c r="CU689" s="61"/>
    </row>
    <row r="690" spans="98:99" ht="12.75">
      <c r="CT690" s="61"/>
      <c r="CU690" s="61"/>
    </row>
    <row r="691" spans="98:99" ht="12.75">
      <c r="CT691" s="61"/>
      <c r="CU691" s="61"/>
    </row>
    <row r="692" spans="98:99" ht="12.75">
      <c r="CT692" s="61"/>
      <c r="CU692" s="61"/>
    </row>
    <row r="693" spans="98:99" ht="12.75">
      <c r="CT693" s="61"/>
      <c r="CU693" s="61"/>
    </row>
    <row r="694" spans="98:99" ht="12.75">
      <c r="CT694" s="61"/>
      <c r="CU694" s="61"/>
    </row>
    <row r="695" spans="98:99" ht="12.75">
      <c r="CT695" s="61"/>
      <c r="CU695" s="61"/>
    </row>
    <row r="696" spans="98:99" ht="12.75">
      <c r="CT696" s="61"/>
      <c r="CU696" s="61"/>
    </row>
    <row r="697" spans="98:99" ht="12.75">
      <c r="CT697" s="61"/>
      <c r="CU697" s="61"/>
    </row>
    <row r="698" spans="98:99" ht="12.75">
      <c r="CT698" s="61"/>
      <c r="CU698" s="61"/>
    </row>
    <row r="699" spans="98:99" ht="12.75">
      <c r="CT699" s="61"/>
      <c r="CU699" s="61"/>
    </row>
    <row r="700" spans="98:99" ht="12.75">
      <c r="CT700" s="61"/>
      <c r="CU700" s="61"/>
    </row>
    <row r="701" spans="98:99" ht="12.75">
      <c r="CT701" s="61"/>
      <c r="CU701" s="61"/>
    </row>
    <row r="702" spans="98:99" ht="12.75">
      <c r="CT702" s="61"/>
      <c r="CU702" s="61"/>
    </row>
    <row r="703" spans="98:99" ht="12.75">
      <c r="CT703" s="61"/>
      <c r="CU703" s="61"/>
    </row>
    <row r="704" spans="98:99" ht="12.75">
      <c r="CT704" s="61"/>
      <c r="CU704" s="61"/>
    </row>
    <row r="705" spans="98:99" ht="12.75">
      <c r="CT705" s="61"/>
      <c r="CU705" s="61"/>
    </row>
    <row r="706" spans="98:99" ht="12.75">
      <c r="CT706" s="61"/>
      <c r="CU706" s="61"/>
    </row>
    <row r="707" spans="98:99" ht="12.75">
      <c r="CT707" s="61"/>
      <c r="CU707" s="61"/>
    </row>
    <row r="708" spans="98:99" ht="12.75">
      <c r="CT708" s="61"/>
      <c r="CU708" s="61"/>
    </row>
    <row r="709" spans="98:99" ht="12.75">
      <c r="CT709" s="61"/>
      <c r="CU709" s="61"/>
    </row>
    <row r="710" spans="98:99" ht="12.75">
      <c r="CT710" s="61"/>
      <c r="CU710" s="61"/>
    </row>
    <row r="711" spans="98:99" ht="12.75">
      <c r="CT711" s="61"/>
      <c r="CU711" s="61"/>
    </row>
    <row r="712" spans="98:99" ht="12.75">
      <c r="CT712" s="61"/>
      <c r="CU712" s="61"/>
    </row>
    <row r="713" spans="98:99" ht="12.75">
      <c r="CT713" s="61"/>
      <c r="CU713" s="61"/>
    </row>
    <row r="714" spans="98:99" ht="12.75">
      <c r="CT714" s="61"/>
      <c r="CU714" s="61"/>
    </row>
    <row r="715" spans="98:99" ht="12.75">
      <c r="CT715" s="61"/>
      <c r="CU715" s="61"/>
    </row>
    <row r="716" spans="98:99" ht="12.75">
      <c r="CT716" s="61"/>
      <c r="CU716" s="61"/>
    </row>
    <row r="717" spans="98:99" ht="12.75">
      <c r="CT717" s="61"/>
      <c r="CU717" s="61"/>
    </row>
    <row r="718" spans="98:99" ht="12.75">
      <c r="CT718" s="61"/>
      <c r="CU718" s="61"/>
    </row>
    <row r="719" spans="98:99" ht="12.75">
      <c r="CT719" s="61"/>
      <c r="CU719" s="61"/>
    </row>
    <row r="720" spans="98:99" ht="12.75">
      <c r="CT720" s="61"/>
      <c r="CU720" s="61"/>
    </row>
    <row r="721" spans="98:99" ht="12.75">
      <c r="CT721" s="61"/>
      <c r="CU721" s="61"/>
    </row>
    <row r="722" spans="98:99" ht="12.75">
      <c r="CT722" s="61"/>
      <c r="CU722" s="61"/>
    </row>
    <row r="723" spans="98:99" ht="12.75">
      <c r="CT723" s="61"/>
      <c r="CU723" s="61"/>
    </row>
    <row r="724" spans="98:99" ht="12.75">
      <c r="CT724" s="61"/>
      <c r="CU724" s="61"/>
    </row>
    <row r="725" spans="98:99" ht="12.75">
      <c r="CT725" s="61"/>
      <c r="CU725" s="61"/>
    </row>
    <row r="726" spans="98:99" ht="12.75">
      <c r="CT726" s="61"/>
      <c r="CU726" s="61"/>
    </row>
    <row r="727" spans="98:99" ht="12.75">
      <c r="CT727" s="61"/>
      <c r="CU727" s="61"/>
    </row>
    <row r="728" spans="98:99" ht="12.75">
      <c r="CT728" s="61"/>
      <c r="CU728" s="61"/>
    </row>
    <row r="729" spans="98:99" ht="12.75">
      <c r="CT729" s="61"/>
      <c r="CU729" s="61"/>
    </row>
    <row r="730" spans="98:99" ht="12.75">
      <c r="CT730" s="61"/>
      <c r="CU730" s="61"/>
    </row>
    <row r="731" spans="98:99" ht="12.75">
      <c r="CT731" s="61"/>
      <c r="CU731" s="61"/>
    </row>
    <row r="732" spans="98:99" ht="12.75">
      <c r="CT732" s="61"/>
      <c r="CU732" s="61"/>
    </row>
    <row r="733" spans="98:99" ht="12.75">
      <c r="CT733" s="61"/>
      <c r="CU733" s="61"/>
    </row>
    <row r="734" spans="98:99" ht="12.75">
      <c r="CT734" s="61"/>
      <c r="CU734" s="61"/>
    </row>
    <row r="735" spans="98:99" ht="12.75">
      <c r="CT735" s="61"/>
      <c r="CU735" s="61"/>
    </row>
    <row r="736" spans="98:99" ht="12.75">
      <c r="CT736" s="61"/>
      <c r="CU736" s="61"/>
    </row>
    <row r="737" spans="98:99" ht="12.75">
      <c r="CT737" s="61"/>
      <c r="CU737" s="61"/>
    </row>
    <row r="738" spans="98:99" ht="12.75">
      <c r="CT738" s="61"/>
      <c r="CU738" s="61"/>
    </row>
    <row r="739" spans="98:99" ht="12.75">
      <c r="CT739" s="61"/>
      <c r="CU739" s="61"/>
    </row>
    <row r="740" spans="98:99" ht="12.75">
      <c r="CT740" s="61"/>
      <c r="CU740" s="61"/>
    </row>
    <row r="741" spans="98:99" ht="12.75">
      <c r="CT741" s="61"/>
      <c r="CU741" s="61"/>
    </row>
    <row r="742" spans="98:99" ht="12.75">
      <c r="CT742" s="61"/>
      <c r="CU742" s="61"/>
    </row>
    <row r="743" spans="98:99" ht="12.75">
      <c r="CT743" s="61"/>
      <c r="CU743" s="61"/>
    </row>
    <row r="744" spans="98:99" ht="12.75">
      <c r="CT744" s="61"/>
      <c r="CU744" s="61"/>
    </row>
    <row r="745" spans="98:99" ht="12.75">
      <c r="CT745" s="61"/>
      <c r="CU745" s="61"/>
    </row>
    <row r="746" spans="98:99" ht="12.75">
      <c r="CT746" s="61"/>
      <c r="CU746" s="61"/>
    </row>
    <row r="747" spans="98:99" ht="12.75">
      <c r="CT747" s="61"/>
      <c r="CU747" s="61"/>
    </row>
    <row r="748" spans="98:99" ht="12.75">
      <c r="CT748" s="61"/>
      <c r="CU748" s="61"/>
    </row>
    <row r="749" spans="98:99" ht="12.75">
      <c r="CT749" s="61"/>
      <c r="CU749" s="61"/>
    </row>
    <row r="750" spans="98:99" ht="12.75">
      <c r="CT750" s="61"/>
      <c r="CU750" s="61"/>
    </row>
    <row r="751" spans="98:99" ht="12.75">
      <c r="CT751" s="61"/>
      <c r="CU751" s="61"/>
    </row>
    <row r="752" spans="98:99" ht="12.75">
      <c r="CT752" s="61"/>
      <c r="CU752" s="61"/>
    </row>
    <row r="753" spans="98:99" ht="12.75">
      <c r="CT753" s="61"/>
      <c r="CU753" s="61"/>
    </row>
    <row r="754" spans="98:99" ht="12.75">
      <c r="CT754" s="61"/>
      <c r="CU754" s="61"/>
    </row>
    <row r="755" spans="98:99" ht="12.75">
      <c r="CT755" s="61"/>
      <c r="CU755" s="61"/>
    </row>
    <row r="756" spans="98:99" ht="12.75">
      <c r="CT756" s="61"/>
      <c r="CU756" s="61"/>
    </row>
    <row r="757" spans="98:99" ht="12.75">
      <c r="CT757" s="61"/>
      <c r="CU757" s="61"/>
    </row>
    <row r="758" spans="98:99" ht="12.75">
      <c r="CT758" s="61"/>
      <c r="CU758" s="61"/>
    </row>
    <row r="759" spans="98:99" ht="12.75">
      <c r="CT759" s="61"/>
      <c r="CU759" s="61"/>
    </row>
    <row r="760" spans="98:99" ht="12.75">
      <c r="CT760" s="61"/>
      <c r="CU760" s="61"/>
    </row>
    <row r="761" spans="98:99" ht="12.75">
      <c r="CT761" s="61"/>
      <c r="CU761" s="61"/>
    </row>
    <row r="762" spans="98:99" ht="12.75">
      <c r="CT762" s="61"/>
      <c r="CU762" s="61"/>
    </row>
    <row r="763" spans="98:99" ht="12.75">
      <c r="CT763" s="61"/>
      <c r="CU763" s="61"/>
    </row>
    <row r="764" spans="98:99" ht="12.75">
      <c r="CT764" s="61"/>
      <c r="CU764" s="61"/>
    </row>
    <row r="765" spans="98:99" ht="12.75">
      <c r="CT765" s="61"/>
      <c r="CU765" s="61"/>
    </row>
    <row r="766" spans="98:99" ht="12.75">
      <c r="CT766" s="61"/>
      <c r="CU766" s="61"/>
    </row>
    <row r="767" spans="98:99" ht="12.75">
      <c r="CT767" s="61"/>
      <c r="CU767" s="61"/>
    </row>
    <row r="768" spans="98:99" ht="12.75">
      <c r="CT768" s="61"/>
      <c r="CU768" s="61"/>
    </row>
    <row r="769" spans="98:99" ht="12.75">
      <c r="CT769" s="61"/>
      <c r="CU769" s="61"/>
    </row>
    <row r="770" spans="98:99" ht="12.75">
      <c r="CT770" s="61"/>
      <c r="CU770" s="61"/>
    </row>
    <row r="771" spans="98:99" ht="12.75">
      <c r="CT771" s="61"/>
      <c r="CU771" s="61"/>
    </row>
    <row r="772" spans="98:99" ht="12.75">
      <c r="CT772" s="61"/>
      <c r="CU772" s="61"/>
    </row>
    <row r="773" spans="98:99" ht="12.75">
      <c r="CT773" s="61"/>
      <c r="CU773" s="61"/>
    </row>
    <row r="774" spans="98:99" ht="12.75">
      <c r="CT774" s="61"/>
      <c r="CU774" s="61"/>
    </row>
    <row r="775" spans="98:99" ht="12.75">
      <c r="CT775" s="61"/>
      <c r="CU775" s="61"/>
    </row>
    <row r="776" spans="98:99" ht="12.75">
      <c r="CT776" s="61"/>
      <c r="CU776" s="61"/>
    </row>
    <row r="777" spans="98:99" ht="12.75">
      <c r="CT777" s="61"/>
      <c r="CU777" s="61"/>
    </row>
    <row r="778" spans="98:99" ht="12.75">
      <c r="CT778" s="61"/>
      <c r="CU778" s="61"/>
    </row>
    <row r="779" spans="98:99" ht="12.75">
      <c r="CT779" s="61"/>
      <c r="CU779" s="61"/>
    </row>
    <row r="780" spans="98:99" ht="12.75">
      <c r="CT780" s="61"/>
      <c r="CU780" s="61"/>
    </row>
    <row r="781" spans="98:99" ht="12.75">
      <c r="CT781" s="61"/>
      <c r="CU781" s="61"/>
    </row>
    <row r="782" spans="98:99" ht="12.75">
      <c r="CT782" s="61"/>
      <c r="CU782" s="61"/>
    </row>
    <row r="783" spans="98:99" ht="12.75">
      <c r="CT783" s="61"/>
      <c r="CU783" s="61"/>
    </row>
    <row r="784" spans="98:99" ht="12.75">
      <c r="CT784" s="61"/>
      <c r="CU784" s="61"/>
    </row>
    <row r="785" spans="98:99" ht="12.75">
      <c r="CT785" s="61"/>
      <c r="CU785" s="61"/>
    </row>
    <row r="786" spans="98:99" ht="12.75">
      <c r="CT786" s="61"/>
      <c r="CU786" s="61"/>
    </row>
    <row r="787" spans="98:99" ht="12.75">
      <c r="CT787" s="61"/>
      <c r="CU787" s="61"/>
    </row>
    <row r="788" spans="98:99" ht="12.75">
      <c r="CT788" s="61"/>
      <c r="CU788" s="61"/>
    </row>
    <row r="789" spans="98:99" ht="12.75">
      <c r="CT789" s="61"/>
      <c r="CU789" s="61"/>
    </row>
    <row r="790" spans="98:99" ht="12.75">
      <c r="CT790" s="61"/>
      <c r="CU790" s="61"/>
    </row>
    <row r="791" spans="98:99" ht="12.75">
      <c r="CT791" s="61"/>
      <c r="CU791" s="61"/>
    </row>
    <row r="792" spans="98:99" ht="12.75">
      <c r="CT792" s="61"/>
      <c r="CU792" s="61"/>
    </row>
    <row r="793" spans="98:99" ht="12.75">
      <c r="CT793" s="61"/>
      <c r="CU793" s="61"/>
    </row>
    <row r="794" spans="98:99" ht="12.75">
      <c r="CT794" s="61"/>
      <c r="CU794" s="61"/>
    </row>
    <row r="795" spans="98:99" ht="12.75">
      <c r="CT795" s="61"/>
      <c r="CU795" s="61"/>
    </row>
    <row r="796" spans="98:99" ht="12.75">
      <c r="CT796" s="61"/>
      <c r="CU796" s="61"/>
    </row>
    <row r="797" spans="98:99" ht="12.75">
      <c r="CT797" s="61"/>
      <c r="CU797" s="61"/>
    </row>
    <row r="798" spans="98:99" ht="12.75">
      <c r="CT798" s="61"/>
      <c r="CU798" s="61"/>
    </row>
    <row r="799" spans="98:99" ht="12.75">
      <c r="CT799" s="61"/>
      <c r="CU799" s="61"/>
    </row>
    <row r="800" spans="98:99" ht="12.75">
      <c r="CT800" s="61"/>
      <c r="CU800" s="61"/>
    </row>
    <row r="801" spans="98:99" ht="12.75">
      <c r="CT801" s="61"/>
      <c r="CU801" s="61"/>
    </row>
    <row r="802" spans="98:99" ht="12.75">
      <c r="CT802" s="61"/>
      <c r="CU802" s="61"/>
    </row>
    <row r="803" spans="98:99" ht="12.75">
      <c r="CT803" s="61"/>
      <c r="CU803" s="61"/>
    </row>
    <row r="804" spans="98:99" ht="12.75">
      <c r="CT804" s="61"/>
      <c r="CU804" s="61"/>
    </row>
    <row r="805" spans="98:99" ht="12.75">
      <c r="CT805" s="61"/>
      <c r="CU805" s="61"/>
    </row>
    <row r="806" spans="98:99" ht="12.75">
      <c r="CT806" s="61"/>
      <c r="CU806" s="61"/>
    </row>
    <row r="807" spans="98:99" ht="12.75">
      <c r="CT807" s="61"/>
      <c r="CU807" s="61"/>
    </row>
    <row r="808" spans="98:99" ht="12.75">
      <c r="CT808" s="61"/>
      <c r="CU808" s="61"/>
    </row>
    <row r="809" spans="98:99" ht="12.75">
      <c r="CT809" s="61"/>
      <c r="CU809" s="61"/>
    </row>
    <row r="810" spans="98:99" ht="12.75">
      <c r="CT810" s="61"/>
      <c r="CU810" s="61"/>
    </row>
    <row r="811" spans="98:99" ht="12.75">
      <c r="CT811" s="61"/>
      <c r="CU811" s="61"/>
    </row>
    <row r="812" spans="98:99" ht="12.75">
      <c r="CT812" s="61"/>
      <c r="CU812" s="61"/>
    </row>
    <row r="813" spans="98:99" ht="12.75">
      <c r="CT813" s="61"/>
      <c r="CU813" s="61"/>
    </row>
    <row r="814" spans="98:99" ht="12.75">
      <c r="CT814" s="61"/>
      <c r="CU814" s="61"/>
    </row>
    <row r="815" spans="98:99" ht="12.75">
      <c r="CT815" s="61"/>
      <c r="CU815" s="61"/>
    </row>
    <row r="816" spans="98:99" ht="12.75">
      <c r="CT816" s="61"/>
      <c r="CU816" s="61"/>
    </row>
    <row r="817" spans="98:99" ht="12.75">
      <c r="CT817" s="61"/>
      <c r="CU817" s="61"/>
    </row>
    <row r="818" spans="98:99" ht="12.75">
      <c r="CT818" s="61"/>
      <c r="CU818" s="61"/>
    </row>
    <row r="819" spans="98:99" ht="12.75">
      <c r="CT819" s="61"/>
      <c r="CU819" s="61"/>
    </row>
    <row r="820" spans="98:99" ht="12.75">
      <c r="CT820" s="61"/>
      <c r="CU820" s="61"/>
    </row>
    <row r="821" spans="98:99" ht="12.75">
      <c r="CT821" s="61"/>
      <c r="CU821" s="61"/>
    </row>
    <row r="822" spans="98:99" ht="12.75">
      <c r="CT822" s="61"/>
      <c r="CU822" s="61"/>
    </row>
    <row r="823" spans="98:99" ht="12.75">
      <c r="CT823" s="61"/>
      <c r="CU823" s="61"/>
    </row>
    <row r="824" spans="98:99" ht="12.75">
      <c r="CT824" s="61"/>
      <c r="CU824" s="61"/>
    </row>
    <row r="825" spans="98:99" ht="12.75">
      <c r="CT825" s="61"/>
      <c r="CU825" s="61"/>
    </row>
    <row r="826" spans="98:99" ht="12.75">
      <c r="CT826" s="61"/>
      <c r="CU826" s="61"/>
    </row>
    <row r="827" spans="98:99" ht="12.75">
      <c r="CT827" s="61"/>
      <c r="CU827" s="61"/>
    </row>
    <row r="828" spans="98:99" ht="12.75">
      <c r="CT828" s="61"/>
      <c r="CU828" s="61"/>
    </row>
    <row r="829" spans="98:99" ht="12.75">
      <c r="CT829" s="61"/>
      <c r="CU829" s="61"/>
    </row>
    <row r="830" spans="98:99" ht="12.75">
      <c r="CT830" s="61"/>
      <c r="CU830" s="61"/>
    </row>
    <row r="831" spans="98:99" ht="12.75">
      <c r="CT831" s="61"/>
      <c r="CU831" s="61"/>
    </row>
    <row r="832" spans="98:99" ht="12.75">
      <c r="CT832" s="61"/>
      <c r="CU832" s="61"/>
    </row>
    <row r="833" spans="98:99" ht="12.75">
      <c r="CT833" s="61"/>
      <c r="CU833" s="61"/>
    </row>
    <row r="834" spans="98:99" ht="12.75">
      <c r="CT834" s="61"/>
      <c r="CU834" s="61"/>
    </row>
    <row r="835" spans="98:99" ht="12.75">
      <c r="CT835" s="61"/>
      <c r="CU835" s="61"/>
    </row>
    <row r="836" spans="98:99" ht="12.75">
      <c r="CT836" s="61"/>
      <c r="CU836" s="61"/>
    </row>
    <row r="837" spans="98:99" ht="12.75">
      <c r="CT837" s="61"/>
      <c r="CU837" s="61"/>
    </row>
    <row r="838" spans="98:99" ht="12.75">
      <c r="CT838" s="61"/>
      <c r="CU838" s="61"/>
    </row>
    <row r="839" spans="98:99" ht="12.75">
      <c r="CT839" s="61"/>
      <c r="CU839" s="61"/>
    </row>
    <row r="840" spans="98:99" ht="12.75">
      <c r="CT840" s="61"/>
      <c r="CU840" s="61"/>
    </row>
    <row r="841" spans="98:99" ht="12.75">
      <c r="CT841" s="61"/>
      <c r="CU841" s="61"/>
    </row>
    <row r="842" spans="98:99" ht="12.75">
      <c r="CT842" s="61"/>
      <c r="CU842" s="61"/>
    </row>
    <row r="843" spans="98:99" ht="12.75">
      <c r="CT843" s="61"/>
      <c r="CU843" s="61"/>
    </row>
    <row r="844" spans="98:99" ht="12.75">
      <c r="CT844" s="61"/>
      <c r="CU844" s="61"/>
    </row>
    <row r="845" spans="98:99" ht="12.75">
      <c r="CT845" s="61"/>
      <c r="CU845" s="61"/>
    </row>
    <row r="846" spans="98:99" ht="12.75">
      <c r="CT846" s="61"/>
      <c r="CU846" s="61"/>
    </row>
    <row r="847" spans="98:99" ht="12.75">
      <c r="CT847" s="61"/>
      <c r="CU847" s="61"/>
    </row>
    <row r="848" spans="98:99" ht="12.75">
      <c r="CT848" s="61"/>
      <c r="CU848" s="61"/>
    </row>
    <row r="849" spans="98:99" ht="12.75">
      <c r="CT849" s="61"/>
      <c r="CU849" s="61"/>
    </row>
    <row r="850" spans="98:99" ht="12.75">
      <c r="CT850" s="61"/>
      <c r="CU850" s="61"/>
    </row>
    <row r="851" spans="98:99" ht="12.75">
      <c r="CT851" s="61"/>
      <c r="CU851" s="61"/>
    </row>
    <row r="852" spans="98:99" ht="12.75">
      <c r="CT852" s="61"/>
      <c r="CU852" s="61"/>
    </row>
    <row r="853" spans="98:99" ht="12.75">
      <c r="CT853" s="61"/>
      <c r="CU853" s="61"/>
    </row>
    <row r="854" spans="98:99" ht="12.75">
      <c r="CT854" s="61"/>
      <c r="CU854" s="61"/>
    </row>
    <row r="855" spans="98:99" ht="12.75">
      <c r="CT855" s="61"/>
      <c r="CU855" s="61"/>
    </row>
    <row r="856" spans="98:99" ht="12.75">
      <c r="CT856" s="61"/>
      <c r="CU856" s="61"/>
    </row>
    <row r="857" spans="98:99" ht="12.75">
      <c r="CT857" s="61"/>
      <c r="CU857" s="61"/>
    </row>
    <row r="858" spans="98:99" ht="12.75">
      <c r="CT858" s="61"/>
      <c r="CU858" s="61"/>
    </row>
    <row r="859" spans="98:99" ht="12.75">
      <c r="CT859" s="61"/>
      <c r="CU859" s="61"/>
    </row>
    <row r="860" spans="98:99" ht="12.75">
      <c r="CT860" s="61"/>
      <c r="CU860" s="61"/>
    </row>
    <row r="861" spans="98:99" ht="12.75">
      <c r="CT861" s="61"/>
      <c r="CU861" s="61"/>
    </row>
    <row r="862" spans="98:99" ht="12.75">
      <c r="CT862" s="61"/>
      <c r="CU862" s="61"/>
    </row>
    <row r="863" spans="98:99" ht="12.75">
      <c r="CT863" s="61"/>
      <c r="CU863" s="61"/>
    </row>
    <row r="864" spans="98:99" ht="12.75">
      <c r="CT864" s="61"/>
      <c r="CU864" s="61"/>
    </row>
    <row r="865" spans="98:99" ht="12.75">
      <c r="CT865" s="61"/>
      <c r="CU865" s="61"/>
    </row>
    <row r="866" spans="98:99" ht="12.75">
      <c r="CT866" s="61"/>
      <c r="CU866" s="61"/>
    </row>
    <row r="867" spans="98:99" ht="12.75">
      <c r="CT867" s="61"/>
      <c r="CU867" s="61"/>
    </row>
    <row r="868" spans="98:99" ht="12.75">
      <c r="CT868" s="61"/>
      <c r="CU868" s="61"/>
    </row>
    <row r="869" spans="98:99" ht="12.75">
      <c r="CT869" s="61"/>
      <c r="CU869" s="61"/>
    </row>
    <row r="870" spans="98:99" ht="12.75">
      <c r="CT870" s="61"/>
      <c r="CU870" s="61"/>
    </row>
    <row r="871" spans="98:99" ht="12.75">
      <c r="CT871" s="61"/>
      <c r="CU871" s="61"/>
    </row>
    <row r="872" spans="98:99" ht="12.75">
      <c r="CT872" s="61"/>
      <c r="CU872" s="61"/>
    </row>
    <row r="873" spans="98:99" ht="12.75">
      <c r="CT873" s="61"/>
      <c r="CU873" s="61"/>
    </row>
    <row r="874" spans="98:99" ht="12.75">
      <c r="CT874" s="61"/>
      <c r="CU874" s="61"/>
    </row>
    <row r="875" spans="98:99" ht="12.75">
      <c r="CT875" s="61"/>
      <c r="CU875" s="61"/>
    </row>
    <row r="876" spans="98:99" ht="12.75">
      <c r="CT876" s="61"/>
      <c r="CU876" s="61"/>
    </row>
    <row r="877" spans="98:99" ht="12.75">
      <c r="CT877" s="61"/>
      <c r="CU877" s="61"/>
    </row>
    <row r="878" spans="98:99" ht="12.75">
      <c r="CT878" s="61"/>
      <c r="CU878" s="61"/>
    </row>
    <row r="879" spans="98:99" ht="12.75">
      <c r="CT879" s="61"/>
      <c r="CU879" s="61"/>
    </row>
    <row r="880" spans="98:99" ht="12.75">
      <c r="CT880" s="61"/>
      <c r="CU880" s="61"/>
    </row>
    <row r="881" spans="98:99" ht="12.75">
      <c r="CT881" s="61"/>
      <c r="CU881" s="61"/>
    </row>
    <row r="882" spans="98:99" ht="12.75">
      <c r="CT882" s="61"/>
      <c r="CU882" s="61"/>
    </row>
    <row r="883" spans="98:99" ht="12.75">
      <c r="CT883" s="61"/>
      <c r="CU883" s="61"/>
    </row>
    <row r="884" spans="98:99" ht="12.75">
      <c r="CT884" s="61"/>
      <c r="CU884" s="61"/>
    </row>
    <row r="885" spans="98:99" ht="12.75">
      <c r="CT885" s="61"/>
      <c r="CU885" s="61"/>
    </row>
    <row r="886" spans="98:99" ht="12.75">
      <c r="CT886" s="61"/>
      <c r="CU886" s="61"/>
    </row>
    <row r="887" spans="98:99" ht="12.75">
      <c r="CT887" s="61"/>
      <c r="CU887" s="61"/>
    </row>
    <row r="888" spans="98:99" ht="12.75">
      <c r="CT888" s="61"/>
      <c r="CU888" s="61"/>
    </row>
    <row r="889" spans="98:99" ht="12.75">
      <c r="CT889" s="61"/>
      <c r="CU889" s="61"/>
    </row>
    <row r="890" spans="98:99" ht="12.75">
      <c r="CT890" s="61"/>
      <c r="CU890" s="61"/>
    </row>
    <row r="891" spans="98:99" ht="12.75">
      <c r="CT891" s="61"/>
      <c r="CU891" s="61"/>
    </row>
    <row r="892" spans="98:99" ht="12.75">
      <c r="CT892" s="61"/>
      <c r="CU892" s="61"/>
    </row>
    <row r="893" spans="98:99" ht="12.75">
      <c r="CT893" s="61"/>
      <c r="CU893" s="61"/>
    </row>
    <row r="894" spans="98:99" ht="12.75">
      <c r="CT894" s="61"/>
      <c r="CU894" s="61"/>
    </row>
    <row r="895" spans="98:99" ht="12.75">
      <c r="CT895" s="61"/>
      <c r="CU895" s="61"/>
    </row>
    <row r="896" spans="98:99" ht="12.75">
      <c r="CT896" s="61"/>
      <c r="CU896" s="61"/>
    </row>
    <row r="897" spans="98:99" ht="12.75">
      <c r="CT897" s="61"/>
      <c r="CU897" s="61"/>
    </row>
    <row r="898" spans="98:99" ht="12.75">
      <c r="CT898" s="61"/>
      <c r="CU898" s="61"/>
    </row>
    <row r="899" spans="98:99" ht="12.75">
      <c r="CT899" s="61"/>
      <c r="CU899" s="61"/>
    </row>
    <row r="900" spans="98:99" ht="12.75">
      <c r="CT900" s="61"/>
      <c r="CU900" s="61"/>
    </row>
    <row r="901" spans="98:99" ht="12.75">
      <c r="CT901" s="61"/>
      <c r="CU901" s="61"/>
    </row>
    <row r="902" spans="98:99" ht="12.75">
      <c r="CT902" s="61"/>
      <c r="CU902" s="61"/>
    </row>
    <row r="903" spans="98:99" ht="12.75">
      <c r="CT903" s="61"/>
      <c r="CU903" s="61"/>
    </row>
    <row r="904" spans="98:99" ht="12.75">
      <c r="CT904" s="61"/>
      <c r="CU904" s="61"/>
    </row>
    <row r="905" spans="98:99" ht="12.75">
      <c r="CT905" s="61"/>
      <c r="CU905" s="61"/>
    </row>
    <row r="906" spans="98:99" ht="12.75">
      <c r="CT906" s="61"/>
      <c r="CU906" s="61"/>
    </row>
    <row r="907" spans="98:99" ht="12.75">
      <c r="CT907" s="61"/>
      <c r="CU907" s="61"/>
    </row>
    <row r="908" spans="98:99" ht="12.75">
      <c r="CT908" s="61"/>
      <c r="CU908" s="61"/>
    </row>
    <row r="909" spans="98:99" ht="12.75">
      <c r="CT909" s="61"/>
      <c r="CU909" s="61"/>
    </row>
    <row r="910" spans="98:99" ht="12.75">
      <c r="CT910" s="61"/>
      <c r="CU910" s="61"/>
    </row>
    <row r="911" spans="98:99" ht="12.75">
      <c r="CT911" s="61"/>
      <c r="CU911" s="61"/>
    </row>
    <row r="912" spans="98:99" ht="12.75">
      <c r="CT912" s="61"/>
      <c r="CU912" s="61"/>
    </row>
    <row r="913" spans="98:99" ht="12.75">
      <c r="CT913" s="61"/>
      <c r="CU913" s="61"/>
    </row>
    <row r="914" spans="98:99" ht="12.75">
      <c r="CT914" s="61"/>
      <c r="CU914" s="61"/>
    </row>
    <row r="915" spans="98:99" ht="12.75">
      <c r="CT915" s="61"/>
      <c r="CU915" s="61"/>
    </row>
    <row r="916" spans="98:99" ht="12.75">
      <c r="CT916" s="61"/>
      <c r="CU916" s="61"/>
    </row>
    <row r="917" spans="98:99" ht="12.75">
      <c r="CT917" s="61"/>
      <c r="CU917" s="61"/>
    </row>
    <row r="918" spans="98:99" ht="12.75">
      <c r="CT918" s="61"/>
      <c r="CU918" s="61"/>
    </row>
    <row r="919" spans="98:99" ht="12.75">
      <c r="CT919" s="61"/>
      <c r="CU919" s="61"/>
    </row>
    <row r="920" spans="98:99" ht="12.75">
      <c r="CT920" s="61"/>
      <c r="CU920" s="61"/>
    </row>
    <row r="921" spans="98:99" ht="12.75">
      <c r="CT921" s="61"/>
      <c r="CU921" s="61"/>
    </row>
    <row r="922" spans="98:99" ht="12.75">
      <c r="CT922" s="61"/>
      <c r="CU922" s="61"/>
    </row>
    <row r="923" spans="98:99" ht="12.75">
      <c r="CT923" s="61"/>
      <c r="CU923" s="61"/>
    </row>
    <row r="924" spans="98:99" ht="12.75">
      <c r="CT924" s="61"/>
      <c r="CU924" s="61"/>
    </row>
    <row r="925" spans="98:99" ht="12.75">
      <c r="CT925" s="61"/>
      <c r="CU925" s="61"/>
    </row>
    <row r="926" spans="98:99" ht="12.75">
      <c r="CT926" s="61"/>
      <c r="CU926" s="61"/>
    </row>
    <row r="927" spans="98:99" ht="12.75">
      <c r="CT927" s="61"/>
      <c r="CU927" s="61"/>
    </row>
    <row r="928" spans="98:99" ht="12.75">
      <c r="CT928" s="61"/>
      <c r="CU928" s="61"/>
    </row>
    <row r="929" spans="98:99" ht="12.75">
      <c r="CT929" s="61"/>
      <c r="CU929" s="61"/>
    </row>
    <row r="930" spans="98:99" ht="12.75">
      <c r="CT930" s="61"/>
      <c r="CU930" s="61"/>
    </row>
    <row r="931" spans="98:99" ht="12.75">
      <c r="CT931" s="61"/>
      <c r="CU931" s="61"/>
    </row>
    <row r="932" spans="98:99" ht="12.75">
      <c r="CT932" s="61"/>
      <c r="CU932" s="61"/>
    </row>
    <row r="933" spans="98:99" ht="12.75">
      <c r="CT933" s="61"/>
      <c r="CU933" s="61"/>
    </row>
    <row r="934" spans="98:99" ht="12.75">
      <c r="CT934" s="61"/>
      <c r="CU934" s="61"/>
    </row>
    <row r="935" spans="98:99" ht="12.75">
      <c r="CT935" s="61"/>
      <c r="CU935" s="61"/>
    </row>
    <row r="936" spans="98:99" ht="12.75">
      <c r="CT936" s="61"/>
      <c r="CU936" s="61"/>
    </row>
    <row r="937" spans="98:99" ht="12.75">
      <c r="CT937" s="61"/>
      <c r="CU937" s="61"/>
    </row>
    <row r="938" spans="98:99" ht="12.75">
      <c r="CT938" s="61"/>
      <c r="CU938" s="61"/>
    </row>
    <row r="939" spans="98:99" ht="12.75">
      <c r="CT939" s="61"/>
      <c r="CU939" s="61"/>
    </row>
    <row r="940" spans="98:99" ht="12.75">
      <c r="CT940" s="61"/>
      <c r="CU940" s="61"/>
    </row>
    <row r="941" spans="98:99" ht="12.75">
      <c r="CT941" s="61"/>
      <c r="CU941" s="61"/>
    </row>
    <row r="942" spans="98:99" ht="12.75">
      <c r="CT942" s="61"/>
      <c r="CU942" s="61"/>
    </row>
    <row r="943" spans="98:99" ht="12.75">
      <c r="CT943" s="61"/>
      <c r="CU943" s="61"/>
    </row>
    <row r="944" spans="98:99" ht="12.75">
      <c r="CT944" s="61"/>
      <c r="CU944" s="61"/>
    </row>
    <row r="945" spans="98:99" ht="12.75">
      <c r="CT945" s="61"/>
      <c r="CU945" s="61"/>
    </row>
    <row r="946" spans="98:99" ht="12.75">
      <c r="CT946" s="61"/>
      <c r="CU946" s="61"/>
    </row>
    <row r="947" spans="98:99" ht="12.75">
      <c r="CT947" s="61"/>
      <c r="CU947" s="61"/>
    </row>
    <row r="948" spans="98:99" ht="12.75">
      <c r="CT948" s="61"/>
      <c r="CU948" s="61"/>
    </row>
    <row r="949" spans="98:99" ht="12.75">
      <c r="CT949" s="61"/>
      <c r="CU949" s="61"/>
    </row>
    <row r="950" spans="98:99" ht="12.75">
      <c r="CT950" s="61"/>
      <c r="CU950" s="61"/>
    </row>
    <row r="951" spans="98:99" ht="12.75">
      <c r="CT951" s="61"/>
      <c r="CU951" s="61"/>
    </row>
    <row r="952" spans="98:99" ht="12.75">
      <c r="CT952" s="61"/>
      <c r="CU952" s="61"/>
    </row>
    <row r="953" spans="98:99" ht="12.75">
      <c r="CT953" s="61"/>
      <c r="CU953" s="61"/>
    </row>
    <row r="954" spans="98:99" ht="12.75">
      <c r="CT954" s="61"/>
      <c r="CU954" s="61"/>
    </row>
    <row r="955" spans="98:99" ht="12.75">
      <c r="CT955" s="61"/>
      <c r="CU955" s="61"/>
    </row>
    <row r="956" spans="98:99" ht="12.75">
      <c r="CT956" s="61"/>
      <c r="CU956" s="61"/>
    </row>
    <row r="957" spans="98:99" ht="12.75">
      <c r="CT957" s="61"/>
      <c r="CU957" s="61"/>
    </row>
    <row r="958" spans="98:99" ht="12.75">
      <c r="CT958" s="61"/>
      <c r="CU958" s="61"/>
    </row>
    <row r="959" spans="98:99" ht="12.75">
      <c r="CT959" s="61"/>
      <c r="CU959" s="61"/>
    </row>
    <row r="960" spans="98:99" ht="12.75">
      <c r="CT960" s="61"/>
      <c r="CU960" s="61"/>
    </row>
    <row r="961" spans="98:99" ht="12.75">
      <c r="CT961" s="61"/>
      <c r="CU961" s="61"/>
    </row>
    <row r="962" spans="98:99" ht="12.75">
      <c r="CT962" s="61"/>
      <c r="CU962" s="61"/>
    </row>
    <row r="963" spans="98:99" ht="12.75">
      <c r="CT963" s="61"/>
      <c r="CU963" s="61"/>
    </row>
    <row r="964" spans="98:99" ht="12.75">
      <c r="CT964" s="61"/>
      <c r="CU964" s="61"/>
    </row>
    <row r="965" spans="98:99" ht="12.75">
      <c r="CT965" s="61"/>
      <c r="CU965" s="61"/>
    </row>
    <row r="966" spans="98:99" ht="12.75">
      <c r="CT966" s="61"/>
      <c r="CU966" s="61"/>
    </row>
    <row r="967" spans="98:99" ht="12.75">
      <c r="CT967" s="61"/>
      <c r="CU967" s="61"/>
    </row>
    <row r="968" spans="98:99" ht="12.75">
      <c r="CT968" s="61"/>
      <c r="CU968" s="61"/>
    </row>
    <row r="969" spans="98:99" ht="12.75">
      <c r="CT969" s="61"/>
      <c r="CU969" s="61"/>
    </row>
    <row r="970" spans="98:99" ht="12.75">
      <c r="CT970" s="61"/>
      <c r="CU970" s="61"/>
    </row>
    <row r="971" spans="98:99" ht="12.75">
      <c r="CT971" s="61"/>
      <c r="CU971" s="61"/>
    </row>
    <row r="972" spans="98:99" ht="12.75">
      <c r="CT972" s="61"/>
      <c r="CU972" s="61"/>
    </row>
    <row r="973" spans="98:99" ht="12.75">
      <c r="CT973" s="61"/>
      <c r="CU973" s="61"/>
    </row>
    <row r="974" spans="98:99" ht="12.75">
      <c r="CT974" s="61"/>
      <c r="CU974" s="61"/>
    </row>
    <row r="975" spans="98:99" ht="12.75">
      <c r="CT975" s="61"/>
      <c r="CU975" s="61"/>
    </row>
    <row r="976" spans="98:99" ht="12.75">
      <c r="CT976" s="61"/>
      <c r="CU976" s="61"/>
    </row>
    <row r="977" spans="98:99" ht="12.75">
      <c r="CT977" s="61"/>
      <c r="CU977" s="61"/>
    </row>
    <row r="978" spans="98:99" ht="12.75">
      <c r="CT978" s="61"/>
      <c r="CU978" s="61"/>
    </row>
    <row r="979" spans="98:99" ht="12.75">
      <c r="CT979" s="61"/>
      <c r="CU979" s="61"/>
    </row>
    <row r="980" spans="98:99" ht="12.75">
      <c r="CT980" s="61"/>
      <c r="CU980" s="61"/>
    </row>
    <row r="981" spans="98:99" ht="12.75">
      <c r="CT981" s="61"/>
      <c r="CU981" s="61"/>
    </row>
    <row r="982" spans="98:99" ht="12.75">
      <c r="CT982" s="61"/>
      <c r="CU982" s="61"/>
    </row>
    <row r="983" spans="98:99" ht="12.75">
      <c r="CT983" s="61"/>
      <c r="CU983" s="61"/>
    </row>
    <row r="984" spans="98:99" ht="12.75">
      <c r="CT984" s="61"/>
      <c r="CU984" s="61"/>
    </row>
    <row r="985" spans="98:99" ht="12.75">
      <c r="CT985" s="61"/>
      <c r="CU985" s="61"/>
    </row>
    <row r="986" spans="98:99" ht="12.75">
      <c r="CT986" s="61"/>
      <c r="CU986" s="61"/>
    </row>
    <row r="987" spans="98:99" ht="12.75">
      <c r="CT987" s="61"/>
      <c r="CU987" s="61"/>
    </row>
    <row r="988" spans="98:99" ht="12.75">
      <c r="CT988" s="61"/>
      <c r="CU988" s="61"/>
    </row>
    <row r="989" spans="98:99" ht="12.75">
      <c r="CT989" s="61"/>
      <c r="CU989" s="61"/>
    </row>
    <row r="990" spans="98:99" ht="12.75">
      <c r="CT990" s="61"/>
      <c r="CU990" s="61"/>
    </row>
    <row r="991" spans="98:99" ht="12.75">
      <c r="CT991" s="61"/>
      <c r="CU991" s="61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Y98"/>
  <sheetViews>
    <sheetView workbookViewId="0">
      <pane xSplit="1" topLeftCell="B1" activePane="topRight" state="frozen"/>
      <selection pane="topRight" activeCell="C2" sqref="C2"/>
    </sheetView>
  </sheetViews>
  <sheetFormatPr defaultColWidth="14.42578125" defaultRowHeight="15.75" customHeight="1"/>
  <cols>
    <col min="1" max="1" width="29.140625" customWidth="1"/>
    <col min="3" max="3" width="28.7109375" customWidth="1"/>
  </cols>
  <sheetData>
    <row r="1" spans="1:24" ht="15.75" customHeight="1">
      <c r="B1" s="51" t="s">
        <v>82</v>
      </c>
      <c r="C1" s="51" t="s">
        <v>235</v>
      </c>
      <c r="D1" s="51" t="s">
        <v>54</v>
      </c>
      <c r="E1" s="51" t="s">
        <v>81</v>
      </c>
      <c r="F1" s="51" t="s">
        <v>234</v>
      </c>
      <c r="G1" s="51" t="s">
        <v>238</v>
      </c>
      <c r="H1" s="51" t="s">
        <v>45</v>
      </c>
      <c r="I1" s="51" t="s">
        <v>208</v>
      </c>
      <c r="J1" s="51" t="s">
        <v>216</v>
      </c>
      <c r="K1" s="51" t="s">
        <v>225</v>
      </c>
      <c r="L1" s="51" t="s">
        <v>78</v>
      </c>
      <c r="M1" s="51" t="s">
        <v>148</v>
      </c>
      <c r="N1" s="51" t="s">
        <v>212</v>
      </c>
      <c r="O1" s="51" t="s">
        <v>59</v>
      </c>
      <c r="P1" s="51" t="s">
        <v>205</v>
      </c>
      <c r="Q1" s="51" t="s">
        <v>220</v>
      </c>
      <c r="R1" s="51" t="s">
        <v>232</v>
      </c>
      <c r="S1" s="51" t="s">
        <v>228</v>
      </c>
      <c r="T1" s="51" t="s">
        <v>222</v>
      </c>
      <c r="U1" s="1"/>
      <c r="V1" s="1"/>
    </row>
    <row r="2" spans="1:24" ht="15.75" customHeight="1">
      <c r="A2" s="51" t="s">
        <v>82</v>
      </c>
      <c r="B2" s="51">
        <v>1</v>
      </c>
      <c r="C2" s="51">
        <v>1</v>
      </c>
      <c r="D2" s="51"/>
      <c r="E2" s="51"/>
      <c r="F2" s="51"/>
      <c r="G2" s="51"/>
      <c r="H2" s="51">
        <v>1</v>
      </c>
      <c r="I2" s="51">
        <v>1</v>
      </c>
      <c r="J2" s="51"/>
      <c r="K2" s="51">
        <v>1</v>
      </c>
      <c r="L2" s="51"/>
      <c r="M2" s="51"/>
      <c r="N2" s="51">
        <v>1</v>
      </c>
      <c r="O2" s="51"/>
      <c r="P2" s="51"/>
      <c r="Q2" s="51"/>
      <c r="R2" s="51"/>
      <c r="S2" s="51"/>
      <c r="T2" s="51"/>
      <c r="U2" s="51"/>
      <c r="V2" s="1"/>
      <c r="X2" s="51"/>
    </row>
    <row r="3" spans="1:24" ht="15.75" customHeight="1">
      <c r="A3" s="51" t="s">
        <v>235</v>
      </c>
      <c r="B3" s="51">
        <v>1</v>
      </c>
      <c r="C3" s="51">
        <v>1</v>
      </c>
      <c r="D3" s="51"/>
      <c r="E3" s="51"/>
      <c r="F3" s="51">
        <v>1</v>
      </c>
      <c r="G3" s="51"/>
      <c r="H3" s="51"/>
      <c r="I3" s="51"/>
      <c r="J3" s="51"/>
      <c r="K3" s="51"/>
      <c r="L3" s="51"/>
      <c r="M3" s="51">
        <v>1</v>
      </c>
      <c r="N3" s="51">
        <v>1</v>
      </c>
      <c r="O3" s="51">
        <v>1</v>
      </c>
      <c r="P3" s="51"/>
      <c r="Q3" s="51"/>
      <c r="R3" s="51"/>
      <c r="S3" s="51">
        <v>1</v>
      </c>
      <c r="T3" s="51"/>
      <c r="U3" s="51"/>
      <c r="V3" s="1"/>
      <c r="X3" s="51"/>
    </row>
    <row r="4" spans="1:24" ht="15.75" customHeight="1">
      <c r="A4" s="51" t="s">
        <v>54</v>
      </c>
      <c r="B4" s="51"/>
      <c r="C4" s="51"/>
      <c r="D4" s="51">
        <v>1</v>
      </c>
      <c r="E4" s="51"/>
      <c r="F4" s="51">
        <v>1</v>
      </c>
      <c r="G4" s="51"/>
      <c r="H4" s="51"/>
      <c r="I4" s="51"/>
      <c r="J4" s="51"/>
      <c r="K4" s="51"/>
      <c r="L4" s="51"/>
      <c r="N4" s="51"/>
      <c r="O4" s="51"/>
      <c r="P4" s="51"/>
      <c r="Q4" s="51"/>
      <c r="R4" s="51"/>
      <c r="S4" s="51"/>
      <c r="T4" s="51"/>
      <c r="U4" s="51"/>
      <c r="V4" s="1"/>
      <c r="X4" s="51"/>
    </row>
    <row r="5" spans="1:24" ht="15.75" customHeight="1">
      <c r="A5" s="51" t="s">
        <v>81</v>
      </c>
      <c r="B5" s="51"/>
      <c r="C5" s="51"/>
      <c r="D5" s="51"/>
      <c r="E5" s="51">
        <v>1</v>
      </c>
      <c r="F5" s="51"/>
      <c r="G5" s="51"/>
      <c r="H5" s="51"/>
      <c r="I5" s="51"/>
      <c r="J5" s="51">
        <v>1</v>
      </c>
      <c r="K5" s="51"/>
      <c r="L5" s="51"/>
      <c r="M5" s="51"/>
      <c r="N5" s="51"/>
      <c r="O5" s="51"/>
      <c r="P5" s="51"/>
      <c r="Q5" s="51"/>
      <c r="R5" s="51">
        <v>1</v>
      </c>
      <c r="S5" s="51"/>
      <c r="T5" s="51">
        <v>1</v>
      </c>
      <c r="U5" s="51"/>
      <c r="X5" s="51"/>
    </row>
    <row r="6" spans="1:24" ht="15.75" customHeight="1">
      <c r="A6" s="51" t="s">
        <v>234</v>
      </c>
      <c r="B6" s="51"/>
      <c r="C6" s="51">
        <v>1</v>
      </c>
      <c r="D6" s="51">
        <v>1</v>
      </c>
      <c r="E6" s="51"/>
      <c r="F6" s="51">
        <v>1</v>
      </c>
      <c r="G6" s="51"/>
      <c r="H6" s="51"/>
      <c r="I6" s="51"/>
      <c r="J6" s="51"/>
      <c r="K6" s="51"/>
      <c r="L6" s="51"/>
      <c r="M6" s="51"/>
      <c r="N6" s="51"/>
      <c r="O6" s="51">
        <v>1</v>
      </c>
      <c r="P6" s="51"/>
      <c r="Q6" s="51"/>
      <c r="R6" s="51"/>
      <c r="S6" s="51"/>
      <c r="T6" s="51"/>
      <c r="U6" s="51"/>
      <c r="V6" s="1"/>
      <c r="X6" s="51"/>
    </row>
    <row r="7" spans="1:24" ht="15.75" customHeight="1">
      <c r="A7" s="51" t="s">
        <v>238</v>
      </c>
      <c r="B7" s="51"/>
      <c r="C7" s="51"/>
      <c r="D7" s="51"/>
      <c r="E7" s="51"/>
      <c r="F7" s="51"/>
      <c r="G7" s="51">
        <v>1</v>
      </c>
      <c r="H7" s="51"/>
      <c r="I7" s="51"/>
      <c r="J7" s="51"/>
      <c r="K7" s="51"/>
      <c r="L7" s="51"/>
      <c r="M7" s="51">
        <v>1</v>
      </c>
      <c r="N7" s="51"/>
      <c r="O7" s="51"/>
      <c r="P7" s="51"/>
      <c r="Q7" s="51"/>
      <c r="R7" s="51"/>
      <c r="S7" s="51">
        <v>1</v>
      </c>
      <c r="T7" s="51"/>
      <c r="U7" s="51"/>
      <c r="X7" s="51"/>
    </row>
    <row r="8" spans="1:24" ht="15.75" customHeight="1">
      <c r="A8" s="51" t="s">
        <v>45</v>
      </c>
      <c r="B8" s="51">
        <v>1</v>
      </c>
      <c r="C8" s="51"/>
      <c r="D8" s="51"/>
      <c r="E8" s="51"/>
      <c r="F8" s="51"/>
      <c r="G8" s="51"/>
      <c r="H8" s="51">
        <v>1</v>
      </c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1"/>
      <c r="X8" s="51"/>
    </row>
    <row r="9" spans="1:24" ht="15.75" customHeight="1">
      <c r="A9" s="51" t="s">
        <v>208</v>
      </c>
      <c r="B9" s="51">
        <v>1</v>
      </c>
      <c r="C9" s="51"/>
      <c r="D9" s="51"/>
      <c r="E9" s="51"/>
      <c r="F9" s="51"/>
      <c r="G9" s="51"/>
      <c r="H9" s="51"/>
      <c r="I9" s="51">
        <v>1</v>
      </c>
      <c r="J9" s="51"/>
      <c r="K9" s="51">
        <v>1</v>
      </c>
      <c r="L9" s="51"/>
      <c r="M9" s="51"/>
      <c r="N9" s="51">
        <v>1</v>
      </c>
      <c r="O9" s="51"/>
      <c r="P9" s="51">
        <v>1</v>
      </c>
      <c r="Q9" s="51">
        <v>1</v>
      </c>
      <c r="R9" s="51"/>
      <c r="S9" s="51"/>
      <c r="T9" s="51"/>
      <c r="U9" s="51"/>
      <c r="X9" s="51"/>
    </row>
    <row r="10" spans="1:24" ht="15.75" customHeight="1">
      <c r="A10" s="51" t="s">
        <v>216</v>
      </c>
      <c r="B10" s="51"/>
      <c r="C10" s="51"/>
      <c r="D10" s="51"/>
      <c r="E10" s="51">
        <v>1</v>
      </c>
      <c r="F10" s="51"/>
      <c r="G10" s="51"/>
      <c r="H10" s="51"/>
      <c r="I10" s="51"/>
      <c r="J10" s="51">
        <v>1</v>
      </c>
      <c r="K10" s="51"/>
      <c r="L10" s="51">
        <v>1</v>
      </c>
      <c r="M10" s="51"/>
      <c r="N10" s="51"/>
      <c r="O10" s="51"/>
      <c r="P10" s="51">
        <v>1</v>
      </c>
      <c r="Q10" s="51">
        <v>1</v>
      </c>
      <c r="R10" s="51">
        <v>1</v>
      </c>
      <c r="S10" s="51"/>
      <c r="T10" s="51"/>
      <c r="U10" s="51"/>
      <c r="X10" s="51"/>
    </row>
    <row r="11" spans="1:24" ht="15.75" customHeight="1">
      <c r="A11" s="51" t="s">
        <v>225</v>
      </c>
      <c r="B11" s="51">
        <v>1</v>
      </c>
      <c r="C11" s="51"/>
      <c r="D11" s="51"/>
      <c r="E11" s="51"/>
      <c r="F11" s="51"/>
      <c r="G11" s="51"/>
      <c r="H11" s="51"/>
      <c r="I11" s="51">
        <v>1</v>
      </c>
      <c r="J11" s="51"/>
      <c r="K11" s="51">
        <v>1</v>
      </c>
      <c r="L11" s="51">
        <v>1</v>
      </c>
      <c r="M11" s="51"/>
      <c r="N11" s="51"/>
      <c r="O11" s="51"/>
      <c r="P11" s="51"/>
      <c r="Q11" s="51">
        <v>1</v>
      </c>
      <c r="R11" s="51"/>
      <c r="S11" s="51"/>
      <c r="T11" s="51"/>
      <c r="U11" s="51"/>
      <c r="X11" s="51"/>
    </row>
    <row r="12" spans="1:24" ht="15.75" customHeight="1">
      <c r="A12" s="51" t="s">
        <v>78</v>
      </c>
      <c r="B12" s="51"/>
      <c r="C12" s="51"/>
      <c r="D12" s="51"/>
      <c r="E12" s="51"/>
      <c r="F12" s="51"/>
      <c r="G12" s="51"/>
      <c r="H12" s="51"/>
      <c r="I12" s="51"/>
      <c r="J12" s="51">
        <v>1</v>
      </c>
      <c r="K12" s="51">
        <v>1</v>
      </c>
      <c r="L12" s="51">
        <v>1</v>
      </c>
      <c r="M12" s="51"/>
      <c r="N12" s="51"/>
      <c r="O12" s="51"/>
      <c r="P12" s="51"/>
      <c r="Q12" s="51">
        <v>1</v>
      </c>
      <c r="R12" s="51"/>
      <c r="S12" s="51"/>
      <c r="T12" s="51"/>
      <c r="U12" s="51"/>
      <c r="X12" s="51"/>
    </row>
    <row r="13" spans="1:24" ht="15.75" customHeight="1">
      <c r="A13" s="51" t="s">
        <v>148</v>
      </c>
      <c r="B13" s="51"/>
      <c r="C13" s="51">
        <v>1</v>
      </c>
      <c r="D13" s="51"/>
      <c r="E13" s="51"/>
      <c r="F13" s="51"/>
      <c r="G13" s="51">
        <v>1</v>
      </c>
      <c r="H13" s="51"/>
      <c r="I13" s="51"/>
      <c r="J13" s="51"/>
      <c r="K13" s="51"/>
      <c r="L13" s="51"/>
      <c r="M13" s="51">
        <v>1</v>
      </c>
      <c r="N13" s="51">
        <v>1</v>
      </c>
      <c r="O13" s="51">
        <v>1</v>
      </c>
      <c r="P13" s="51"/>
      <c r="Q13" s="51"/>
      <c r="R13" s="51"/>
      <c r="S13" s="51">
        <v>1</v>
      </c>
      <c r="T13" s="51"/>
      <c r="U13" s="51"/>
      <c r="X13" s="51"/>
    </row>
    <row r="14" spans="1:24" ht="15.75" customHeight="1">
      <c r="A14" s="51" t="s">
        <v>212</v>
      </c>
      <c r="B14" s="51">
        <v>1</v>
      </c>
      <c r="C14" s="51">
        <v>1</v>
      </c>
      <c r="D14" s="51"/>
      <c r="E14" s="51"/>
      <c r="F14" s="51"/>
      <c r="G14" s="51"/>
      <c r="H14" s="51"/>
      <c r="I14" s="51">
        <v>1</v>
      </c>
      <c r="J14" s="51"/>
      <c r="K14" s="51"/>
      <c r="L14" s="51"/>
      <c r="M14" s="51">
        <v>1</v>
      </c>
      <c r="N14" s="51">
        <v>1</v>
      </c>
      <c r="O14" s="51"/>
      <c r="P14" s="51">
        <v>1</v>
      </c>
      <c r="Q14" s="51"/>
      <c r="R14" s="51">
        <v>1</v>
      </c>
      <c r="S14" s="51">
        <v>1</v>
      </c>
      <c r="T14" s="51"/>
      <c r="U14" s="51"/>
      <c r="X14" s="51"/>
    </row>
    <row r="15" spans="1:24" ht="15.75" customHeight="1">
      <c r="A15" s="51" t="s">
        <v>59</v>
      </c>
      <c r="B15" s="51"/>
      <c r="C15" s="51">
        <v>1</v>
      </c>
      <c r="D15" s="51"/>
      <c r="E15" s="51"/>
      <c r="F15" s="51">
        <v>1</v>
      </c>
      <c r="G15" s="51"/>
      <c r="H15" s="51"/>
      <c r="I15" s="51"/>
      <c r="J15" s="51"/>
      <c r="K15" s="51"/>
      <c r="L15" s="51"/>
      <c r="M15" s="51">
        <v>1</v>
      </c>
      <c r="N15" s="51"/>
      <c r="O15" s="51">
        <v>1</v>
      </c>
      <c r="P15" s="51"/>
      <c r="Q15" s="51"/>
      <c r="R15" s="51"/>
      <c r="S15" s="51"/>
      <c r="T15" s="51"/>
      <c r="U15" s="51"/>
      <c r="V15" s="1"/>
      <c r="X15" s="51"/>
    </row>
    <row r="16" spans="1:24" ht="15.75" customHeight="1">
      <c r="A16" s="51" t="s">
        <v>205</v>
      </c>
      <c r="B16" s="51"/>
      <c r="C16" s="51"/>
      <c r="D16" s="51"/>
      <c r="E16" s="51"/>
      <c r="F16" s="51"/>
      <c r="G16" s="51"/>
      <c r="H16" s="51"/>
      <c r="I16" s="51">
        <v>1</v>
      </c>
      <c r="J16" s="51">
        <v>1</v>
      </c>
      <c r="K16" s="51"/>
      <c r="L16" s="51"/>
      <c r="M16" s="51"/>
      <c r="N16" s="51">
        <v>1</v>
      </c>
      <c r="O16" s="51"/>
      <c r="P16" s="51">
        <v>1</v>
      </c>
      <c r="Q16" s="51">
        <v>1</v>
      </c>
      <c r="R16" s="51">
        <v>1</v>
      </c>
      <c r="S16" s="51"/>
      <c r="T16" s="51"/>
      <c r="U16" s="51"/>
      <c r="X16" s="51"/>
    </row>
    <row r="17" spans="1:25" ht="15.75" customHeight="1">
      <c r="A17" s="51" t="s">
        <v>220</v>
      </c>
      <c r="B17" s="51"/>
      <c r="C17" s="51"/>
      <c r="D17" s="51"/>
      <c r="E17" s="51"/>
      <c r="F17" s="51"/>
      <c r="G17" s="51"/>
      <c r="H17" s="51"/>
      <c r="I17" s="51">
        <v>1</v>
      </c>
      <c r="J17" s="51">
        <v>1</v>
      </c>
      <c r="K17" s="51">
        <v>1</v>
      </c>
      <c r="L17" s="51">
        <v>1</v>
      </c>
      <c r="M17" s="51"/>
      <c r="N17" s="51"/>
      <c r="O17" s="51"/>
      <c r="P17" s="51">
        <v>1</v>
      </c>
      <c r="Q17" s="51">
        <v>1</v>
      </c>
      <c r="R17" s="51"/>
      <c r="S17" s="51"/>
      <c r="T17" s="51"/>
      <c r="U17" s="51"/>
      <c r="X17" s="51"/>
    </row>
    <row r="18" spans="1:25" ht="15.75" customHeight="1">
      <c r="A18" s="51" t="s">
        <v>232</v>
      </c>
      <c r="B18" s="51"/>
      <c r="C18" s="51"/>
      <c r="D18" s="51"/>
      <c r="E18" s="51">
        <v>1</v>
      </c>
      <c r="F18" s="51"/>
      <c r="G18" s="51"/>
      <c r="H18" s="51"/>
      <c r="I18" s="51"/>
      <c r="J18" s="51">
        <v>1</v>
      </c>
      <c r="K18" s="51"/>
      <c r="L18" s="51"/>
      <c r="M18" s="51"/>
      <c r="N18" s="51">
        <v>1</v>
      </c>
      <c r="O18" s="51"/>
      <c r="P18" s="51">
        <v>1</v>
      </c>
      <c r="Q18" s="51"/>
      <c r="R18" s="51">
        <v>1</v>
      </c>
      <c r="S18" s="51">
        <v>1</v>
      </c>
      <c r="T18" s="51">
        <v>1</v>
      </c>
      <c r="U18" s="51"/>
      <c r="X18" s="51"/>
    </row>
    <row r="19" spans="1:25" ht="15.75" customHeight="1">
      <c r="A19" s="51" t="s">
        <v>228</v>
      </c>
      <c r="B19" s="51"/>
      <c r="C19" s="51">
        <v>1</v>
      </c>
      <c r="D19" s="51"/>
      <c r="E19" s="51"/>
      <c r="F19" s="51"/>
      <c r="G19" s="51">
        <v>1</v>
      </c>
      <c r="H19" s="51"/>
      <c r="I19" s="51"/>
      <c r="J19" s="51"/>
      <c r="K19" s="51"/>
      <c r="L19" s="51"/>
      <c r="M19" s="51">
        <v>1</v>
      </c>
      <c r="N19" s="51">
        <v>1</v>
      </c>
      <c r="O19" s="51"/>
      <c r="P19" s="51"/>
      <c r="Q19" s="51"/>
      <c r="R19" s="51">
        <v>1</v>
      </c>
      <c r="S19" s="51">
        <v>1</v>
      </c>
      <c r="T19" s="51">
        <v>1</v>
      </c>
      <c r="U19" s="51"/>
      <c r="X19" s="51"/>
    </row>
    <row r="20" spans="1:25" ht="15.75" customHeight="1">
      <c r="A20" s="51" t="s">
        <v>222</v>
      </c>
      <c r="E20" s="1">
        <v>1</v>
      </c>
      <c r="J20" s="1"/>
      <c r="R20" s="1">
        <v>1</v>
      </c>
      <c r="S20" s="1">
        <v>1</v>
      </c>
      <c r="T20" s="1">
        <v>1</v>
      </c>
    </row>
    <row r="21" spans="1:25" ht="15.75" customHeight="1">
      <c r="A21" s="1"/>
      <c r="B21" s="51">
        <f t="shared" ref="B21:T21" si="0">SUM(B2:B20)</f>
        <v>6</v>
      </c>
      <c r="C21" s="51">
        <f t="shared" si="0"/>
        <v>7</v>
      </c>
      <c r="D21" s="51">
        <f t="shared" si="0"/>
        <v>2</v>
      </c>
      <c r="E21" s="51">
        <f t="shared" si="0"/>
        <v>4</v>
      </c>
      <c r="F21" s="51">
        <f t="shared" si="0"/>
        <v>4</v>
      </c>
      <c r="G21" s="51">
        <f t="shared" si="0"/>
        <v>3</v>
      </c>
      <c r="H21" s="51">
        <f t="shared" si="0"/>
        <v>2</v>
      </c>
      <c r="I21" s="51">
        <f t="shared" si="0"/>
        <v>6</v>
      </c>
      <c r="J21" s="51">
        <f t="shared" si="0"/>
        <v>6</v>
      </c>
      <c r="K21" s="51">
        <f t="shared" si="0"/>
        <v>5</v>
      </c>
      <c r="L21" s="51">
        <f t="shared" si="0"/>
        <v>4</v>
      </c>
      <c r="M21" s="51">
        <f t="shared" si="0"/>
        <v>6</v>
      </c>
      <c r="N21" s="51">
        <f t="shared" si="0"/>
        <v>8</v>
      </c>
      <c r="O21" s="51">
        <f t="shared" si="0"/>
        <v>4</v>
      </c>
      <c r="P21" s="51">
        <f t="shared" si="0"/>
        <v>6</v>
      </c>
      <c r="Q21" s="51">
        <f t="shared" si="0"/>
        <v>6</v>
      </c>
      <c r="R21" s="51">
        <f t="shared" si="0"/>
        <v>7</v>
      </c>
      <c r="S21" s="51">
        <f t="shared" si="0"/>
        <v>7</v>
      </c>
      <c r="T21" s="51">
        <f t="shared" si="0"/>
        <v>4</v>
      </c>
      <c r="U21" s="51"/>
      <c r="X21" s="51"/>
    </row>
    <row r="22" spans="1:25" ht="15.75" customHeight="1">
      <c r="A22" s="1"/>
      <c r="B22" s="1"/>
      <c r="C22" s="1"/>
      <c r="D22" s="1"/>
      <c r="F22" s="1"/>
      <c r="H22" s="1"/>
      <c r="O22" s="1"/>
      <c r="V22" s="1"/>
      <c r="X22" s="1"/>
    </row>
    <row r="24" spans="1:25" ht="15.75" customHeight="1">
      <c r="C24" s="1">
        <v>1</v>
      </c>
      <c r="D24" s="1">
        <v>2</v>
      </c>
      <c r="E24" s="1">
        <v>3</v>
      </c>
      <c r="F24" s="1">
        <v>4</v>
      </c>
      <c r="G24" s="1">
        <v>5</v>
      </c>
      <c r="H24" s="1">
        <v>6</v>
      </c>
      <c r="I24" s="1">
        <v>7</v>
      </c>
      <c r="J24" s="1">
        <v>8</v>
      </c>
      <c r="K24" s="1">
        <v>9</v>
      </c>
      <c r="L24" s="1">
        <v>10</v>
      </c>
      <c r="M24" s="1">
        <v>11</v>
      </c>
      <c r="N24" s="1">
        <v>12</v>
      </c>
      <c r="O24" s="1">
        <v>13</v>
      </c>
      <c r="P24" s="1">
        <v>14</v>
      </c>
      <c r="Q24" s="1">
        <v>15</v>
      </c>
      <c r="R24" s="1">
        <v>16</v>
      </c>
      <c r="S24" s="1">
        <v>17</v>
      </c>
      <c r="T24" s="1">
        <v>18</v>
      </c>
      <c r="U24" s="1">
        <v>19</v>
      </c>
      <c r="V24" s="1">
        <v>20</v>
      </c>
      <c r="W24" s="1">
        <v>21</v>
      </c>
      <c r="X24" s="1"/>
      <c r="Y24" s="1"/>
    </row>
    <row r="25" spans="1:25" ht="15.75" customHeight="1">
      <c r="B25" s="1">
        <v>1</v>
      </c>
      <c r="C25" s="51">
        <v>1</v>
      </c>
      <c r="D25" s="51">
        <v>1</v>
      </c>
      <c r="E25" s="51">
        <v>0</v>
      </c>
      <c r="F25" s="51">
        <v>0</v>
      </c>
      <c r="G25" s="51">
        <v>0</v>
      </c>
      <c r="H25" s="51">
        <v>0</v>
      </c>
      <c r="I25" s="51">
        <v>1</v>
      </c>
      <c r="J25" s="51">
        <v>1</v>
      </c>
      <c r="K25" s="51">
        <v>0</v>
      </c>
      <c r="L25" s="51">
        <v>1</v>
      </c>
      <c r="M25" s="51">
        <v>0</v>
      </c>
      <c r="N25" s="51">
        <v>0</v>
      </c>
      <c r="O25" s="51">
        <v>1</v>
      </c>
      <c r="P25" s="51">
        <v>0</v>
      </c>
      <c r="Q25" s="51">
        <v>0</v>
      </c>
      <c r="R25" s="51">
        <v>0</v>
      </c>
      <c r="S25" s="51">
        <v>0</v>
      </c>
      <c r="T25" s="51">
        <v>0</v>
      </c>
      <c r="U25" s="51">
        <v>0</v>
      </c>
      <c r="V25" s="51">
        <v>1</v>
      </c>
      <c r="W25" s="51">
        <v>1</v>
      </c>
      <c r="X25" s="51"/>
      <c r="Y25" s="51"/>
    </row>
    <row r="26" spans="1:25" ht="15.75" customHeight="1">
      <c r="B26" s="1">
        <v>2</v>
      </c>
      <c r="C26" s="51">
        <v>1</v>
      </c>
      <c r="D26" s="51">
        <v>1</v>
      </c>
      <c r="E26" s="51">
        <v>0</v>
      </c>
      <c r="F26" s="51">
        <v>0</v>
      </c>
      <c r="G26" s="51">
        <v>1</v>
      </c>
      <c r="H26" s="51">
        <v>0</v>
      </c>
      <c r="I26" s="51">
        <v>0</v>
      </c>
      <c r="J26" s="51">
        <v>0</v>
      </c>
      <c r="K26" s="51">
        <v>0</v>
      </c>
      <c r="L26" s="51">
        <v>0</v>
      </c>
      <c r="M26" s="51">
        <v>0</v>
      </c>
      <c r="N26" s="51">
        <v>1</v>
      </c>
      <c r="O26" s="51">
        <v>1</v>
      </c>
      <c r="P26" s="51">
        <v>1</v>
      </c>
      <c r="Q26" s="51">
        <v>0</v>
      </c>
      <c r="R26" s="51">
        <v>0</v>
      </c>
      <c r="S26" s="51">
        <v>0</v>
      </c>
      <c r="T26" s="51">
        <v>1</v>
      </c>
      <c r="U26" s="51">
        <v>0</v>
      </c>
      <c r="V26" s="51">
        <v>0</v>
      </c>
      <c r="W26" s="51">
        <v>1</v>
      </c>
      <c r="X26" s="51"/>
      <c r="Y26" s="51"/>
    </row>
    <row r="27" spans="1:25" ht="15.75" customHeight="1">
      <c r="B27" s="1">
        <v>3</v>
      </c>
      <c r="C27" s="51">
        <v>0</v>
      </c>
      <c r="D27" s="51">
        <v>0</v>
      </c>
      <c r="E27" s="51">
        <v>1</v>
      </c>
      <c r="F27" s="51">
        <v>0</v>
      </c>
      <c r="G27" s="51">
        <v>1</v>
      </c>
      <c r="H27" s="51">
        <v>0</v>
      </c>
      <c r="I27" s="51">
        <v>0</v>
      </c>
      <c r="J27" s="51">
        <v>0</v>
      </c>
      <c r="K27" s="51">
        <v>0</v>
      </c>
      <c r="L27" s="51">
        <v>0</v>
      </c>
      <c r="M27" s="51">
        <v>0</v>
      </c>
      <c r="N27" s="51">
        <v>0</v>
      </c>
      <c r="O27" s="51">
        <v>0</v>
      </c>
      <c r="P27" s="51">
        <v>0</v>
      </c>
      <c r="Q27" s="51">
        <v>0</v>
      </c>
      <c r="R27" s="51">
        <v>0</v>
      </c>
      <c r="S27" s="51">
        <v>0</v>
      </c>
      <c r="T27" s="51">
        <v>0</v>
      </c>
      <c r="U27" s="51">
        <v>0</v>
      </c>
      <c r="V27" s="51">
        <v>0</v>
      </c>
      <c r="W27" s="51">
        <v>1</v>
      </c>
      <c r="X27" s="51"/>
      <c r="Y27" s="51"/>
    </row>
    <row r="28" spans="1:25" ht="15.75" customHeight="1">
      <c r="B28" s="1">
        <v>4</v>
      </c>
      <c r="C28" s="51">
        <v>0</v>
      </c>
      <c r="D28" s="51">
        <v>0</v>
      </c>
      <c r="E28" s="51">
        <v>0</v>
      </c>
      <c r="F28" s="51">
        <v>1</v>
      </c>
      <c r="G28" s="51">
        <v>0</v>
      </c>
      <c r="H28" s="51">
        <v>0</v>
      </c>
      <c r="I28" s="51">
        <v>0</v>
      </c>
      <c r="J28" s="51">
        <v>0</v>
      </c>
      <c r="K28" s="51">
        <v>1</v>
      </c>
      <c r="L28" s="51">
        <v>0</v>
      </c>
      <c r="M28" s="51">
        <v>0</v>
      </c>
      <c r="N28" s="51">
        <v>0</v>
      </c>
      <c r="O28" s="51">
        <v>0</v>
      </c>
      <c r="P28" s="51">
        <v>0</v>
      </c>
      <c r="Q28" s="51">
        <v>0</v>
      </c>
      <c r="R28" s="51">
        <v>0</v>
      </c>
      <c r="S28" s="51">
        <v>1</v>
      </c>
      <c r="T28" s="51">
        <v>0</v>
      </c>
      <c r="U28" s="51">
        <v>1</v>
      </c>
      <c r="V28" s="51">
        <v>0</v>
      </c>
      <c r="W28" s="51">
        <v>0</v>
      </c>
      <c r="X28" s="51"/>
      <c r="Y28" s="51"/>
    </row>
    <row r="29" spans="1:25" ht="15.75" customHeight="1">
      <c r="B29" s="1">
        <v>5</v>
      </c>
      <c r="C29" s="51">
        <v>0</v>
      </c>
      <c r="D29" s="51">
        <v>1</v>
      </c>
      <c r="E29" s="51">
        <v>1</v>
      </c>
      <c r="F29" s="51">
        <v>0</v>
      </c>
      <c r="G29" s="51">
        <v>1</v>
      </c>
      <c r="H29" s="51">
        <v>0</v>
      </c>
      <c r="I29" s="51">
        <v>0</v>
      </c>
      <c r="J29" s="51">
        <v>0</v>
      </c>
      <c r="K29" s="51">
        <v>0</v>
      </c>
      <c r="L29" s="51">
        <v>0</v>
      </c>
      <c r="M29" s="51">
        <v>0</v>
      </c>
      <c r="N29" s="51">
        <v>0</v>
      </c>
      <c r="O29" s="51">
        <v>0</v>
      </c>
      <c r="P29" s="51">
        <v>1</v>
      </c>
      <c r="Q29" s="51">
        <v>0</v>
      </c>
      <c r="R29" s="51">
        <v>0</v>
      </c>
      <c r="S29" s="51">
        <v>0</v>
      </c>
      <c r="T29" s="51">
        <v>0</v>
      </c>
      <c r="U29" s="51">
        <v>0</v>
      </c>
      <c r="V29" s="51">
        <v>0</v>
      </c>
      <c r="W29" s="51">
        <v>1</v>
      </c>
      <c r="X29" s="51"/>
      <c r="Y29" s="51"/>
    </row>
    <row r="30" spans="1:25" ht="15.75" customHeight="1">
      <c r="B30" s="1">
        <v>6</v>
      </c>
      <c r="C30" s="51">
        <v>0</v>
      </c>
      <c r="D30" s="51">
        <v>0</v>
      </c>
      <c r="E30" s="51">
        <v>0</v>
      </c>
      <c r="F30" s="51">
        <v>0</v>
      </c>
      <c r="G30" s="51">
        <v>0</v>
      </c>
      <c r="H30" s="51">
        <v>1</v>
      </c>
      <c r="I30" s="51">
        <v>0</v>
      </c>
      <c r="J30" s="51">
        <v>0</v>
      </c>
      <c r="K30" s="51">
        <v>0</v>
      </c>
      <c r="L30" s="51">
        <v>0</v>
      </c>
      <c r="M30" s="51">
        <v>0</v>
      </c>
      <c r="N30" s="51">
        <v>1</v>
      </c>
      <c r="O30" s="51">
        <v>0</v>
      </c>
      <c r="P30" s="51">
        <v>0</v>
      </c>
      <c r="Q30" s="51">
        <v>0</v>
      </c>
      <c r="R30" s="51">
        <v>0</v>
      </c>
      <c r="S30" s="51">
        <v>0</v>
      </c>
      <c r="T30" s="51">
        <v>1</v>
      </c>
      <c r="U30" s="51">
        <v>0</v>
      </c>
      <c r="V30" s="51">
        <v>0</v>
      </c>
      <c r="W30" s="51">
        <v>0</v>
      </c>
      <c r="X30" s="51"/>
      <c r="Y30" s="51"/>
    </row>
    <row r="31" spans="1:25" ht="15.75" customHeight="1">
      <c r="B31" s="1">
        <v>7</v>
      </c>
      <c r="C31" s="51">
        <v>1</v>
      </c>
      <c r="D31" s="51">
        <v>0</v>
      </c>
      <c r="E31" s="51">
        <v>0</v>
      </c>
      <c r="F31" s="51">
        <v>0</v>
      </c>
      <c r="G31" s="51">
        <v>0</v>
      </c>
      <c r="H31" s="51">
        <v>0</v>
      </c>
      <c r="I31" s="51">
        <v>1</v>
      </c>
      <c r="J31" s="51">
        <v>0</v>
      </c>
      <c r="K31" s="51">
        <v>0</v>
      </c>
      <c r="L31" s="51">
        <v>0</v>
      </c>
      <c r="M31" s="51">
        <v>0</v>
      </c>
      <c r="N31" s="51">
        <v>0</v>
      </c>
      <c r="O31" s="51">
        <v>0</v>
      </c>
      <c r="P31" s="51">
        <v>0</v>
      </c>
      <c r="Q31" s="51">
        <v>0</v>
      </c>
      <c r="R31" s="51">
        <v>0</v>
      </c>
      <c r="S31" s="51">
        <v>0</v>
      </c>
      <c r="T31" s="51">
        <v>0</v>
      </c>
      <c r="U31" s="51">
        <v>0</v>
      </c>
      <c r="V31" s="51">
        <v>1</v>
      </c>
      <c r="W31" s="51">
        <v>1</v>
      </c>
      <c r="X31" s="51"/>
      <c r="Y31" s="51"/>
    </row>
    <row r="32" spans="1:25" ht="15.75" customHeight="1">
      <c r="B32" s="1">
        <v>8</v>
      </c>
      <c r="C32" s="51">
        <v>1</v>
      </c>
      <c r="D32" s="51">
        <v>0</v>
      </c>
      <c r="E32" s="51">
        <v>0</v>
      </c>
      <c r="F32" s="51">
        <v>0</v>
      </c>
      <c r="G32" s="51">
        <v>0</v>
      </c>
      <c r="H32" s="51">
        <v>0</v>
      </c>
      <c r="I32" s="51">
        <v>0</v>
      </c>
      <c r="J32" s="51">
        <v>1</v>
      </c>
      <c r="K32" s="51">
        <v>0</v>
      </c>
      <c r="L32" s="51">
        <v>1</v>
      </c>
      <c r="M32" s="51">
        <v>0</v>
      </c>
      <c r="N32" s="51">
        <v>0</v>
      </c>
      <c r="O32" s="51">
        <v>1</v>
      </c>
      <c r="P32" s="51">
        <v>0</v>
      </c>
      <c r="Q32" s="51">
        <v>1</v>
      </c>
      <c r="R32" s="51">
        <v>1</v>
      </c>
      <c r="S32" s="51">
        <v>0</v>
      </c>
      <c r="T32" s="51">
        <v>0</v>
      </c>
      <c r="U32" s="51">
        <v>0</v>
      </c>
      <c r="V32" s="51">
        <v>1</v>
      </c>
      <c r="W32" s="51">
        <v>0</v>
      </c>
      <c r="X32" s="51"/>
      <c r="Y32" s="51"/>
    </row>
    <row r="33" spans="2:25" ht="15.75" customHeight="1">
      <c r="B33" s="1">
        <v>9</v>
      </c>
      <c r="C33" s="51">
        <v>0</v>
      </c>
      <c r="D33" s="51">
        <v>0</v>
      </c>
      <c r="E33" s="51">
        <v>0</v>
      </c>
      <c r="F33" s="51">
        <v>1</v>
      </c>
      <c r="G33" s="51">
        <v>0</v>
      </c>
      <c r="H33" s="51">
        <v>0</v>
      </c>
      <c r="I33" s="51">
        <v>0</v>
      </c>
      <c r="J33" s="51">
        <v>0</v>
      </c>
      <c r="K33" s="51">
        <v>1</v>
      </c>
      <c r="L33" s="51">
        <v>0</v>
      </c>
      <c r="M33" s="51">
        <v>1</v>
      </c>
      <c r="N33" s="51">
        <v>0</v>
      </c>
      <c r="O33" s="51">
        <v>0</v>
      </c>
      <c r="P33" s="51">
        <v>0</v>
      </c>
      <c r="Q33" s="51">
        <v>1</v>
      </c>
      <c r="R33" s="51">
        <v>1</v>
      </c>
      <c r="S33" s="51">
        <v>1</v>
      </c>
      <c r="T33" s="51">
        <v>0</v>
      </c>
      <c r="U33" s="51">
        <v>0</v>
      </c>
      <c r="V33" s="51">
        <v>0</v>
      </c>
      <c r="W33" s="51">
        <v>0</v>
      </c>
      <c r="X33" s="51"/>
      <c r="Y33" s="51"/>
    </row>
    <row r="34" spans="2:25" ht="15.75" customHeight="1">
      <c r="B34" s="1">
        <v>10</v>
      </c>
      <c r="C34" s="51">
        <v>1</v>
      </c>
      <c r="D34" s="51">
        <v>0</v>
      </c>
      <c r="E34" s="51">
        <v>0</v>
      </c>
      <c r="F34" s="51">
        <v>0</v>
      </c>
      <c r="G34" s="51">
        <v>0</v>
      </c>
      <c r="H34" s="51">
        <v>0</v>
      </c>
      <c r="I34" s="51">
        <v>0</v>
      </c>
      <c r="J34" s="51">
        <v>1</v>
      </c>
      <c r="K34" s="51">
        <v>0</v>
      </c>
      <c r="L34" s="51">
        <v>1</v>
      </c>
      <c r="M34" s="51">
        <v>1</v>
      </c>
      <c r="N34" s="51">
        <v>0</v>
      </c>
      <c r="O34" s="51">
        <v>0</v>
      </c>
      <c r="P34" s="51">
        <v>0</v>
      </c>
      <c r="Q34" s="51">
        <v>0</v>
      </c>
      <c r="R34" s="51">
        <v>1</v>
      </c>
      <c r="S34" s="51">
        <v>0</v>
      </c>
      <c r="T34" s="51">
        <v>0</v>
      </c>
      <c r="U34" s="51">
        <v>0</v>
      </c>
      <c r="V34" s="51">
        <v>1</v>
      </c>
      <c r="W34" s="51">
        <v>0</v>
      </c>
      <c r="X34" s="51"/>
      <c r="Y34" s="51"/>
    </row>
    <row r="35" spans="2:25" ht="15.75" customHeight="1">
      <c r="B35" s="1">
        <v>11</v>
      </c>
      <c r="C35" s="51">
        <v>0</v>
      </c>
      <c r="D35" s="51">
        <v>0</v>
      </c>
      <c r="E35" s="51">
        <v>0</v>
      </c>
      <c r="F35" s="51">
        <v>0</v>
      </c>
      <c r="G35" s="51">
        <v>0</v>
      </c>
      <c r="H35" s="51">
        <v>0</v>
      </c>
      <c r="I35" s="51">
        <v>0</v>
      </c>
      <c r="J35" s="51">
        <v>0</v>
      </c>
      <c r="K35" s="51">
        <v>1</v>
      </c>
      <c r="L35" s="51">
        <v>1</v>
      </c>
      <c r="M35" s="51">
        <v>1</v>
      </c>
      <c r="N35" s="51">
        <v>0</v>
      </c>
      <c r="O35" s="51">
        <v>0</v>
      </c>
      <c r="P35" s="51">
        <v>0</v>
      </c>
      <c r="Q35" s="51">
        <v>0</v>
      </c>
      <c r="R35" s="51">
        <v>1</v>
      </c>
      <c r="S35" s="51">
        <v>0</v>
      </c>
      <c r="T35" s="51">
        <v>0</v>
      </c>
      <c r="U35" s="51">
        <v>0</v>
      </c>
      <c r="V35" s="51">
        <v>1</v>
      </c>
      <c r="W35" s="51">
        <v>0</v>
      </c>
      <c r="X35" s="51"/>
      <c r="Y35" s="51"/>
    </row>
    <row r="36" spans="2:25" ht="12.75">
      <c r="B36" s="1">
        <v>12</v>
      </c>
      <c r="C36" s="51">
        <v>0</v>
      </c>
      <c r="D36" s="51">
        <v>1</v>
      </c>
      <c r="E36" s="51">
        <v>0</v>
      </c>
      <c r="F36" s="51">
        <v>0</v>
      </c>
      <c r="G36" s="51">
        <v>0</v>
      </c>
      <c r="H36" s="51">
        <v>1</v>
      </c>
      <c r="I36" s="51">
        <v>0</v>
      </c>
      <c r="J36" s="51">
        <v>0</v>
      </c>
      <c r="K36" s="51">
        <v>0</v>
      </c>
      <c r="L36" s="51">
        <v>0</v>
      </c>
      <c r="M36" s="51">
        <v>0</v>
      </c>
      <c r="N36" s="51">
        <v>1</v>
      </c>
      <c r="O36" s="51">
        <v>1</v>
      </c>
      <c r="P36" s="51">
        <v>1</v>
      </c>
      <c r="Q36" s="51">
        <v>0</v>
      </c>
      <c r="R36" s="51">
        <v>0</v>
      </c>
      <c r="S36" s="51">
        <v>0</v>
      </c>
      <c r="T36" s="51">
        <v>1</v>
      </c>
      <c r="U36" s="51">
        <v>0</v>
      </c>
      <c r="V36" s="51">
        <v>0</v>
      </c>
      <c r="W36" s="51">
        <v>0</v>
      </c>
      <c r="X36" s="51"/>
      <c r="Y36" s="51"/>
    </row>
    <row r="37" spans="2:25" ht="12.75">
      <c r="B37" s="1">
        <v>13</v>
      </c>
      <c r="C37" s="51">
        <v>1</v>
      </c>
      <c r="D37" s="51">
        <v>1</v>
      </c>
      <c r="E37" s="51">
        <v>0</v>
      </c>
      <c r="F37" s="51">
        <v>0</v>
      </c>
      <c r="G37" s="51">
        <v>0</v>
      </c>
      <c r="H37" s="51">
        <v>0</v>
      </c>
      <c r="I37" s="51">
        <v>0</v>
      </c>
      <c r="J37" s="51">
        <v>1</v>
      </c>
      <c r="K37" s="51">
        <v>0</v>
      </c>
      <c r="L37" s="51">
        <v>0</v>
      </c>
      <c r="M37" s="51">
        <v>0</v>
      </c>
      <c r="N37" s="51">
        <v>1</v>
      </c>
      <c r="O37" s="51">
        <v>1</v>
      </c>
      <c r="P37" s="51">
        <v>0</v>
      </c>
      <c r="Q37" s="51">
        <v>1</v>
      </c>
      <c r="R37" s="51">
        <v>0</v>
      </c>
      <c r="S37" s="51">
        <v>1</v>
      </c>
      <c r="T37" s="51">
        <v>1</v>
      </c>
      <c r="U37" s="51">
        <v>0</v>
      </c>
      <c r="V37" s="51">
        <v>0</v>
      </c>
      <c r="W37" s="51">
        <v>0</v>
      </c>
      <c r="X37" s="51"/>
      <c r="Y37" s="51"/>
    </row>
    <row r="38" spans="2:25" ht="12.75">
      <c r="B38" s="1">
        <v>14</v>
      </c>
      <c r="C38" s="51">
        <v>0</v>
      </c>
      <c r="D38" s="51">
        <v>1</v>
      </c>
      <c r="E38" s="51">
        <v>0</v>
      </c>
      <c r="F38" s="51">
        <v>0</v>
      </c>
      <c r="G38" s="51">
        <v>1</v>
      </c>
      <c r="H38" s="51">
        <v>0</v>
      </c>
      <c r="I38" s="51">
        <v>0</v>
      </c>
      <c r="J38" s="51">
        <v>0</v>
      </c>
      <c r="K38" s="51">
        <v>0</v>
      </c>
      <c r="L38" s="51">
        <v>0</v>
      </c>
      <c r="M38" s="51">
        <v>0</v>
      </c>
      <c r="N38" s="51">
        <v>1</v>
      </c>
      <c r="O38" s="51">
        <v>0</v>
      </c>
      <c r="P38" s="51">
        <v>1</v>
      </c>
      <c r="Q38" s="51">
        <v>0</v>
      </c>
      <c r="R38" s="51">
        <v>0</v>
      </c>
      <c r="S38" s="51">
        <v>0</v>
      </c>
      <c r="T38" s="51">
        <v>0</v>
      </c>
      <c r="U38" s="51">
        <v>0</v>
      </c>
      <c r="V38" s="51">
        <v>0</v>
      </c>
      <c r="W38" s="51">
        <v>1</v>
      </c>
      <c r="X38" s="51"/>
      <c r="Y38" s="51"/>
    </row>
    <row r="39" spans="2:25" ht="12.75">
      <c r="B39" s="1">
        <v>15</v>
      </c>
      <c r="C39" s="51">
        <v>0</v>
      </c>
      <c r="D39" s="51">
        <v>0</v>
      </c>
      <c r="E39" s="51">
        <v>0</v>
      </c>
      <c r="F39" s="51">
        <v>0</v>
      </c>
      <c r="G39" s="51">
        <v>0</v>
      </c>
      <c r="H39" s="51">
        <v>0</v>
      </c>
      <c r="I39" s="51">
        <v>0</v>
      </c>
      <c r="J39" s="51">
        <v>1</v>
      </c>
      <c r="K39" s="51">
        <v>1</v>
      </c>
      <c r="L39" s="51">
        <v>0</v>
      </c>
      <c r="M39" s="51">
        <v>0</v>
      </c>
      <c r="N39" s="51">
        <v>0</v>
      </c>
      <c r="O39" s="51">
        <v>1</v>
      </c>
      <c r="P39" s="51">
        <v>0</v>
      </c>
      <c r="Q39" s="51">
        <v>1</v>
      </c>
      <c r="R39" s="51">
        <v>1</v>
      </c>
      <c r="S39" s="51">
        <v>1</v>
      </c>
      <c r="T39" s="51">
        <v>0</v>
      </c>
      <c r="U39" s="51">
        <v>0</v>
      </c>
      <c r="V39" s="51">
        <v>0</v>
      </c>
      <c r="W39" s="51">
        <v>0</v>
      </c>
      <c r="X39" s="51"/>
      <c r="Y39" s="51"/>
    </row>
    <row r="40" spans="2:25" ht="12.75">
      <c r="B40" s="1">
        <v>16</v>
      </c>
      <c r="C40" s="51">
        <v>0</v>
      </c>
      <c r="D40" s="51">
        <v>0</v>
      </c>
      <c r="E40" s="51">
        <v>0</v>
      </c>
      <c r="F40" s="51">
        <v>0</v>
      </c>
      <c r="G40" s="51">
        <v>0</v>
      </c>
      <c r="H40" s="51">
        <v>0</v>
      </c>
      <c r="I40" s="51">
        <v>0</v>
      </c>
      <c r="J40" s="51">
        <v>1</v>
      </c>
      <c r="K40" s="51">
        <v>1</v>
      </c>
      <c r="L40" s="51">
        <v>1</v>
      </c>
      <c r="M40" s="51">
        <v>1</v>
      </c>
      <c r="N40" s="51">
        <v>0</v>
      </c>
      <c r="O40" s="51">
        <v>0</v>
      </c>
      <c r="P40" s="51">
        <v>0</v>
      </c>
      <c r="Q40" s="51">
        <v>1</v>
      </c>
      <c r="R40" s="51">
        <v>1</v>
      </c>
      <c r="S40" s="51">
        <v>0</v>
      </c>
      <c r="T40" s="51">
        <v>0</v>
      </c>
      <c r="U40" s="51">
        <v>0</v>
      </c>
      <c r="V40" s="51">
        <v>0</v>
      </c>
      <c r="W40" s="51">
        <v>0</v>
      </c>
      <c r="X40" s="51"/>
      <c r="Y40" s="51"/>
    </row>
    <row r="41" spans="2:25" ht="12.75">
      <c r="B41" s="1">
        <v>17</v>
      </c>
      <c r="C41" s="51">
        <v>0</v>
      </c>
      <c r="D41" s="51">
        <v>0</v>
      </c>
      <c r="E41" s="51">
        <v>0</v>
      </c>
      <c r="F41" s="51">
        <v>1</v>
      </c>
      <c r="G41" s="51">
        <v>0</v>
      </c>
      <c r="H41" s="51">
        <v>0</v>
      </c>
      <c r="I41" s="51">
        <v>0</v>
      </c>
      <c r="J41" s="51">
        <v>0</v>
      </c>
      <c r="K41" s="51">
        <v>1</v>
      </c>
      <c r="L41" s="51">
        <v>0</v>
      </c>
      <c r="M41" s="51">
        <v>0</v>
      </c>
      <c r="N41" s="51">
        <v>0</v>
      </c>
      <c r="O41" s="51">
        <v>1</v>
      </c>
      <c r="P41" s="51">
        <v>0</v>
      </c>
      <c r="Q41" s="51">
        <v>1</v>
      </c>
      <c r="R41" s="51">
        <v>0</v>
      </c>
      <c r="S41" s="51">
        <v>1</v>
      </c>
      <c r="T41" s="51">
        <v>1</v>
      </c>
      <c r="U41" s="51">
        <v>1</v>
      </c>
      <c r="V41" s="51">
        <v>0</v>
      </c>
      <c r="W41" s="51">
        <v>0</v>
      </c>
      <c r="X41" s="51"/>
      <c r="Y41" s="51"/>
    </row>
    <row r="42" spans="2:25" ht="12.75">
      <c r="B42" s="1">
        <v>18</v>
      </c>
      <c r="C42" s="51">
        <v>0</v>
      </c>
      <c r="D42" s="51">
        <v>1</v>
      </c>
      <c r="E42" s="51">
        <v>0</v>
      </c>
      <c r="F42" s="51">
        <v>0</v>
      </c>
      <c r="G42" s="51">
        <v>0</v>
      </c>
      <c r="H42" s="51">
        <v>1</v>
      </c>
      <c r="I42" s="51">
        <v>0</v>
      </c>
      <c r="J42" s="51">
        <v>0</v>
      </c>
      <c r="K42" s="51">
        <v>0</v>
      </c>
      <c r="L42" s="51">
        <v>0</v>
      </c>
      <c r="M42" s="51">
        <v>0</v>
      </c>
      <c r="N42" s="51">
        <v>1</v>
      </c>
      <c r="O42" s="51">
        <v>1</v>
      </c>
      <c r="P42" s="51">
        <v>0</v>
      </c>
      <c r="Q42" s="51">
        <v>0</v>
      </c>
      <c r="R42" s="51">
        <v>0</v>
      </c>
      <c r="S42" s="51">
        <v>1</v>
      </c>
      <c r="T42" s="51">
        <v>1</v>
      </c>
      <c r="U42" s="51">
        <v>1</v>
      </c>
      <c r="V42" s="51">
        <v>0</v>
      </c>
      <c r="W42" s="51">
        <v>0</v>
      </c>
      <c r="X42" s="51"/>
      <c r="Y42" s="51"/>
    </row>
    <row r="43" spans="2:25" ht="12.75">
      <c r="B43" s="1">
        <v>19</v>
      </c>
      <c r="C43" s="51">
        <v>0</v>
      </c>
      <c r="D43" s="51">
        <v>0</v>
      </c>
      <c r="E43" s="51">
        <v>0</v>
      </c>
      <c r="F43" s="51">
        <v>1</v>
      </c>
      <c r="G43" s="51">
        <v>0</v>
      </c>
      <c r="H43" s="51">
        <v>0</v>
      </c>
      <c r="I43" s="51">
        <v>0</v>
      </c>
      <c r="J43" s="51">
        <v>0</v>
      </c>
      <c r="K43" s="51">
        <v>0</v>
      </c>
      <c r="L43" s="51">
        <v>0</v>
      </c>
      <c r="M43" s="51">
        <v>0</v>
      </c>
      <c r="N43" s="51">
        <v>0</v>
      </c>
      <c r="O43" s="51">
        <v>0</v>
      </c>
      <c r="P43" s="51">
        <v>0</v>
      </c>
      <c r="Q43" s="51">
        <v>0</v>
      </c>
      <c r="R43" s="51">
        <v>0</v>
      </c>
      <c r="S43" s="51">
        <v>1</v>
      </c>
      <c r="T43" s="51">
        <v>1</v>
      </c>
      <c r="U43" s="51">
        <v>1</v>
      </c>
      <c r="V43" s="51">
        <v>0</v>
      </c>
      <c r="W43" s="51">
        <v>0</v>
      </c>
      <c r="X43" s="51"/>
      <c r="Y43" s="51"/>
    </row>
    <row r="44" spans="2:25" ht="12.75">
      <c r="B44" s="1">
        <v>20</v>
      </c>
      <c r="C44" s="51">
        <v>1</v>
      </c>
      <c r="D44" s="51">
        <v>0</v>
      </c>
      <c r="E44" s="51">
        <v>0</v>
      </c>
      <c r="F44" s="51">
        <v>0</v>
      </c>
      <c r="G44" s="51">
        <v>0</v>
      </c>
      <c r="H44" s="51">
        <v>0</v>
      </c>
      <c r="I44" s="51">
        <v>1</v>
      </c>
      <c r="J44" s="51">
        <v>1</v>
      </c>
      <c r="K44" s="51">
        <v>0</v>
      </c>
      <c r="L44" s="51">
        <v>1</v>
      </c>
      <c r="M44" s="51">
        <v>1</v>
      </c>
      <c r="N44" s="51">
        <v>0</v>
      </c>
      <c r="O44" s="51">
        <v>0</v>
      </c>
      <c r="P44" s="51">
        <v>0</v>
      </c>
      <c r="Q44" s="51">
        <v>0</v>
      </c>
      <c r="R44" s="51">
        <v>0</v>
      </c>
      <c r="S44" s="51">
        <v>0</v>
      </c>
      <c r="T44" s="51">
        <v>0</v>
      </c>
      <c r="U44" s="51">
        <v>0</v>
      </c>
      <c r="V44" s="51">
        <v>1</v>
      </c>
      <c r="W44" s="51">
        <v>0</v>
      </c>
      <c r="X44" s="51"/>
      <c r="Y44" s="51"/>
    </row>
    <row r="45" spans="2:25" ht="12.75">
      <c r="B45" s="1">
        <v>21</v>
      </c>
      <c r="C45" s="51">
        <v>1</v>
      </c>
      <c r="D45" s="51">
        <v>1</v>
      </c>
      <c r="E45" s="51">
        <v>1</v>
      </c>
      <c r="F45" s="51">
        <v>0</v>
      </c>
      <c r="G45" s="51">
        <v>1</v>
      </c>
      <c r="H45" s="51">
        <v>0</v>
      </c>
      <c r="I45" s="51">
        <v>1</v>
      </c>
      <c r="J45" s="51">
        <v>0</v>
      </c>
      <c r="K45" s="51">
        <v>0</v>
      </c>
      <c r="L45" s="51">
        <v>0</v>
      </c>
      <c r="M45" s="51">
        <v>0</v>
      </c>
      <c r="N45" s="51">
        <v>0</v>
      </c>
      <c r="O45" s="51">
        <v>0</v>
      </c>
      <c r="P45" s="51">
        <v>1</v>
      </c>
      <c r="Q45" s="51">
        <v>0</v>
      </c>
      <c r="R45" s="51">
        <v>0</v>
      </c>
      <c r="S45" s="51">
        <v>0</v>
      </c>
      <c r="T45" s="51">
        <v>0</v>
      </c>
      <c r="U45" s="51">
        <v>0</v>
      </c>
      <c r="V45" s="51">
        <v>0</v>
      </c>
      <c r="W45" s="51">
        <v>1</v>
      </c>
      <c r="X45" s="51"/>
      <c r="Y45" s="51"/>
    </row>
    <row r="64" spans="2:20" ht="12.75"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</row>
    <row r="77" spans="2:21" ht="12.75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9" spans="2:21" ht="12.75">
      <c r="C79" s="51"/>
      <c r="D79" s="1"/>
    </row>
    <row r="80" spans="2:21" ht="12.75">
      <c r="C80" s="51"/>
      <c r="D80" s="1"/>
    </row>
    <row r="81" spans="3:4" ht="12.75">
      <c r="C81" s="51"/>
      <c r="D81" s="1"/>
    </row>
    <row r="82" spans="3:4" ht="12.75">
      <c r="C82" s="51"/>
      <c r="D82" s="1"/>
    </row>
    <row r="83" spans="3:4" ht="12.75">
      <c r="C83" s="51"/>
      <c r="D83" s="1"/>
    </row>
    <row r="84" spans="3:4" ht="12.75">
      <c r="C84" s="51"/>
      <c r="D84" s="1"/>
    </row>
    <row r="85" spans="3:4" ht="12.75">
      <c r="C85" s="51"/>
      <c r="D85" s="1"/>
    </row>
    <row r="86" spans="3:4" ht="12.75">
      <c r="C86" s="51"/>
      <c r="D86" s="1"/>
    </row>
    <row r="87" spans="3:4" ht="12.75">
      <c r="C87" s="51"/>
      <c r="D87" s="1"/>
    </row>
    <row r="88" spans="3:4" ht="12.75">
      <c r="C88" s="51"/>
      <c r="D88" s="1"/>
    </row>
    <row r="89" spans="3:4" ht="12.75">
      <c r="C89" s="51"/>
      <c r="D89" s="1"/>
    </row>
    <row r="90" spans="3:4" ht="12.75">
      <c r="C90" s="51"/>
      <c r="D90" s="1"/>
    </row>
    <row r="91" spans="3:4" ht="12.75">
      <c r="C91" s="51"/>
      <c r="D91" s="1"/>
    </row>
    <row r="92" spans="3:4" ht="12.75">
      <c r="C92" s="51"/>
      <c r="D92" s="1"/>
    </row>
    <row r="93" spans="3:4" ht="12.75">
      <c r="C93" s="51"/>
      <c r="D93" s="1"/>
    </row>
    <row r="94" spans="3:4" ht="12.75">
      <c r="C94" s="51"/>
      <c r="D94" s="1"/>
    </row>
    <row r="95" spans="3:4" ht="12.75">
      <c r="C95" s="51"/>
      <c r="D95" s="1"/>
    </row>
    <row r="96" spans="3:4" ht="12.75">
      <c r="C96" s="51"/>
      <c r="D96" s="1"/>
    </row>
    <row r="97" spans="3:4" ht="12.75">
      <c r="C97" s="51"/>
      <c r="D97" s="1"/>
    </row>
    <row r="98" spans="3:4" ht="12.75">
      <c r="D98" s="1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S237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.75" customHeight="1"/>
  <cols>
    <col min="1" max="1" width="28.7109375" customWidth="1"/>
  </cols>
  <sheetData>
    <row r="1" spans="1:97" ht="15.75" customHeight="1"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</row>
    <row r="2" spans="1:97" ht="15.75" customHeight="1">
      <c r="A2" s="1">
        <v>1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1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1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1</v>
      </c>
      <c r="BW2">
        <v>0</v>
      </c>
      <c r="BX2">
        <v>0</v>
      </c>
      <c r="BY2">
        <v>0</v>
      </c>
      <c r="BZ2">
        <v>1</v>
      </c>
      <c r="CA2">
        <v>0</v>
      </c>
      <c r="CB2">
        <v>0</v>
      </c>
      <c r="CC2">
        <v>0</v>
      </c>
      <c r="CD2">
        <v>0</v>
      </c>
      <c r="CE2">
        <v>1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</row>
    <row r="3" spans="1:97" ht="15.75" customHeight="1">
      <c r="A3" s="1">
        <v>2</v>
      </c>
      <c r="B3">
        <v>0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1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1</v>
      </c>
      <c r="CJ3">
        <v>0</v>
      </c>
      <c r="CK3">
        <v>1</v>
      </c>
      <c r="CL3">
        <v>1</v>
      </c>
      <c r="CM3">
        <v>0</v>
      </c>
      <c r="CN3">
        <v>0</v>
      </c>
      <c r="CO3">
        <v>0</v>
      </c>
      <c r="CP3">
        <v>0</v>
      </c>
      <c r="CQ3">
        <v>0</v>
      </c>
      <c r="CR3">
        <v>1</v>
      </c>
      <c r="CS3">
        <v>0</v>
      </c>
    </row>
    <row r="4" spans="1:97" ht="15.75" customHeight="1">
      <c r="A4" s="1">
        <v>3</v>
      </c>
      <c r="B4">
        <v>0</v>
      </c>
      <c r="C4">
        <v>0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1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1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1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1</v>
      </c>
      <c r="CS4">
        <v>0</v>
      </c>
    </row>
    <row r="5" spans="1:97" ht="15.75" customHeight="1">
      <c r="A5" s="1">
        <v>4</v>
      </c>
      <c r="B5">
        <v>0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1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1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1</v>
      </c>
      <c r="CB5">
        <v>0</v>
      </c>
      <c r="CC5">
        <v>0</v>
      </c>
      <c r="CD5">
        <v>1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</row>
    <row r="6" spans="1:97" ht="15.75" customHeight="1">
      <c r="A6" s="1">
        <v>5</v>
      </c>
      <c r="B6">
        <v>0</v>
      </c>
      <c r="C6">
        <v>0</v>
      </c>
      <c r="D6">
        <v>0</v>
      </c>
      <c r="E6">
        <v>0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</v>
      </c>
      <c r="O6">
        <v>0</v>
      </c>
      <c r="P6">
        <v>0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0</v>
      </c>
      <c r="X6">
        <v>0</v>
      </c>
      <c r="Y6">
        <v>1</v>
      </c>
      <c r="Z6">
        <v>1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1</v>
      </c>
      <c r="AQ6">
        <v>0</v>
      </c>
      <c r="AR6">
        <v>0</v>
      </c>
      <c r="AS6">
        <v>0</v>
      </c>
      <c r="AT6">
        <v>0</v>
      </c>
      <c r="AU6">
        <v>0</v>
      </c>
      <c r="AV6">
        <v>1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1</v>
      </c>
      <c r="BP6">
        <v>0</v>
      </c>
      <c r="BQ6">
        <v>0</v>
      </c>
      <c r="BR6">
        <v>0</v>
      </c>
      <c r="BS6">
        <v>0</v>
      </c>
      <c r="BT6">
        <v>1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1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</row>
    <row r="7" spans="1:97" ht="15.75" customHeight="1">
      <c r="A7" s="1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1</v>
      </c>
      <c r="M7">
        <v>0</v>
      </c>
      <c r="N7">
        <v>0</v>
      </c>
      <c r="O7">
        <v>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1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1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</row>
    <row r="8" spans="1:97" ht="15.75" customHeight="1">
      <c r="A8" s="1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1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1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1</v>
      </c>
      <c r="CO8">
        <v>0</v>
      </c>
      <c r="CP8">
        <v>0</v>
      </c>
      <c r="CQ8">
        <v>1</v>
      </c>
      <c r="CR8">
        <v>0</v>
      </c>
      <c r="CS8">
        <v>1</v>
      </c>
    </row>
    <row r="9" spans="1:97" ht="15.75" customHeight="1">
      <c r="A9" s="1">
        <v>8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1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</row>
    <row r="10" spans="1:97" ht="15.75" customHeight="1">
      <c r="A10" s="1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</v>
      </c>
      <c r="I10">
        <v>0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1</v>
      </c>
      <c r="AY10">
        <v>0</v>
      </c>
      <c r="AZ10">
        <v>0</v>
      </c>
      <c r="BA10">
        <v>1</v>
      </c>
      <c r="BB10">
        <v>0</v>
      </c>
      <c r="BC10">
        <v>0</v>
      </c>
      <c r="BD10">
        <v>1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1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1</v>
      </c>
      <c r="CR10">
        <v>0</v>
      </c>
      <c r="CS10">
        <v>0</v>
      </c>
    </row>
    <row r="11" spans="1:97" ht="15.75" customHeight="1">
      <c r="A11" s="1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1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1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</row>
    <row r="12" spans="1:97" ht="15.75" customHeight="1">
      <c r="A12" s="1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1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1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</row>
    <row r="13" spans="1:97" ht="15.75" customHeight="1">
      <c r="A13" s="1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1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1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1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</row>
    <row r="14" spans="1:97" ht="15.75" customHeight="1">
      <c r="A14" s="1">
        <v>13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1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1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1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1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1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</row>
    <row r="15" spans="1:97" ht="15.75" customHeight="1">
      <c r="A15" s="1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1</v>
      </c>
      <c r="AS15">
        <v>0</v>
      </c>
      <c r="AT15">
        <v>0</v>
      </c>
      <c r="AU15">
        <v>0</v>
      </c>
      <c r="AV15">
        <v>0</v>
      </c>
      <c r="AW15">
        <v>1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1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1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1</v>
      </c>
      <c r="CJ15">
        <v>0</v>
      </c>
      <c r="CK15">
        <v>0</v>
      </c>
      <c r="CL15">
        <v>1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</row>
    <row r="16" spans="1:97" ht="15.75" customHeight="1">
      <c r="A16" s="1">
        <v>15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1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1</v>
      </c>
      <c r="CA16">
        <v>0</v>
      </c>
      <c r="CB16">
        <v>0</v>
      </c>
      <c r="CC16">
        <v>1</v>
      </c>
      <c r="CD16">
        <v>0</v>
      </c>
      <c r="CE16">
        <v>1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</row>
    <row r="17" spans="1:97" ht="15.75" customHeight="1">
      <c r="A17" s="1">
        <v>16</v>
      </c>
      <c r="B17">
        <v>0</v>
      </c>
      <c r="C17">
        <v>0</v>
      </c>
      <c r="D17">
        <v>0</v>
      </c>
      <c r="E17">
        <v>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</v>
      </c>
      <c r="R17">
        <v>0</v>
      </c>
      <c r="S17">
        <v>0</v>
      </c>
      <c r="T17">
        <v>0</v>
      </c>
      <c r="U17">
        <v>0</v>
      </c>
      <c r="V17">
        <v>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1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1</v>
      </c>
      <c r="CB17">
        <v>1</v>
      </c>
      <c r="CC17">
        <v>0</v>
      </c>
      <c r="CD17">
        <v>1</v>
      </c>
      <c r="CE17">
        <v>0</v>
      </c>
      <c r="CF17">
        <v>0</v>
      </c>
      <c r="CG17">
        <v>0</v>
      </c>
      <c r="CH17">
        <v>0</v>
      </c>
      <c r="CI17">
        <v>1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</row>
    <row r="18" spans="1:97" ht="15.75" customHeight="1">
      <c r="A18" s="1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1</v>
      </c>
      <c r="S18">
        <v>0</v>
      </c>
      <c r="T18">
        <v>0</v>
      </c>
      <c r="U18">
        <v>0</v>
      </c>
      <c r="V18">
        <v>0</v>
      </c>
      <c r="W18">
        <v>0</v>
      </c>
      <c r="X18">
        <v>1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1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1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1</v>
      </c>
      <c r="BP18">
        <v>1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1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</row>
    <row r="19" spans="1:97" ht="15.75" customHeight="1">
      <c r="A19" s="1">
        <v>18</v>
      </c>
      <c r="B19">
        <v>1</v>
      </c>
      <c r="C19">
        <v>0</v>
      </c>
      <c r="D19">
        <v>0</v>
      </c>
      <c r="E19">
        <v>0</v>
      </c>
      <c r="F19">
        <v>1</v>
      </c>
      <c r="G19">
        <v>0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  <c r="T19">
        <v>0</v>
      </c>
      <c r="U19">
        <v>0</v>
      </c>
      <c r="V19">
        <v>0</v>
      </c>
      <c r="W19">
        <v>0</v>
      </c>
      <c r="X19">
        <v>0</v>
      </c>
      <c r="Y19">
        <v>1</v>
      </c>
      <c r="Z19">
        <v>1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1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</row>
    <row r="20" spans="1:97" ht="15.75" customHeight="1">
      <c r="A20" s="1">
        <v>19</v>
      </c>
      <c r="B20">
        <v>0</v>
      </c>
      <c r="C20">
        <v>0</v>
      </c>
      <c r="D20">
        <v>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1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1</v>
      </c>
      <c r="BC20">
        <v>1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1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1</v>
      </c>
      <c r="CS20">
        <v>0</v>
      </c>
    </row>
    <row r="21" spans="1:97" ht="15.75" customHeight="1">
      <c r="A21" s="1">
        <v>20</v>
      </c>
      <c r="B21">
        <v>0</v>
      </c>
      <c r="C21">
        <v>0</v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1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1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1</v>
      </c>
      <c r="CS21">
        <v>0</v>
      </c>
    </row>
    <row r="22" spans="1:97" ht="15.75" customHeight="1">
      <c r="A22" s="1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</v>
      </c>
      <c r="M22">
        <v>0</v>
      </c>
      <c r="N22">
        <v>0</v>
      </c>
      <c r="O22">
        <v>1</v>
      </c>
      <c r="P22">
        <v>0</v>
      </c>
      <c r="Q22">
        <v>1</v>
      </c>
      <c r="R22">
        <v>0</v>
      </c>
      <c r="S22">
        <v>0</v>
      </c>
      <c r="T22">
        <v>0</v>
      </c>
      <c r="U22">
        <v>0</v>
      </c>
      <c r="V22">
        <v>1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1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1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1</v>
      </c>
      <c r="BV22">
        <v>0</v>
      </c>
      <c r="BW22">
        <v>0</v>
      </c>
      <c r="BX22">
        <v>1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1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</row>
    <row r="23" spans="1:97" ht="15.75" customHeight="1">
      <c r="A23" s="1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1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1</v>
      </c>
      <c r="CI23">
        <v>0</v>
      </c>
      <c r="CJ23">
        <v>0</v>
      </c>
      <c r="CK23">
        <v>0</v>
      </c>
      <c r="CL23">
        <v>0</v>
      </c>
      <c r="CM23">
        <v>1</v>
      </c>
      <c r="CN23">
        <v>0</v>
      </c>
      <c r="CO23">
        <v>1</v>
      </c>
      <c r="CP23">
        <v>0</v>
      </c>
      <c r="CQ23">
        <v>0</v>
      </c>
      <c r="CR23">
        <v>0</v>
      </c>
      <c r="CS23">
        <v>0</v>
      </c>
    </row>
    <row r="24" spans="1:97" ht="15.75" customHeight="1">
      <c r="A24" s="1">
        <v>23</v>
      </c>
      <c r="B24">
        <v>0</v>
      </c>
      <c r="C24">
        <v>1</v>
      </c>
      <c r="D24">
        <v>0</v>
      </c>
      <c r="E24">
        <v>0</v>
      </c>
      <c r="F24">
        <v>0</v>
      </c>
      <c r="G24">
        <v>0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1</v>
      </c>
      <c r="S24">
        <v>0</v>
      </c>
      <c r="T24">
        <v>0</v>
      </c>
      <c r="U24">
        <v>0</v>
      </c>
      <c r="V24">
        <v>0</v>
      </c>
      <c r="W24">
        <v>0</v>
      </c>
      <c r="X24">
        <v>1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1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1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1</v>
      </c>
      <c r="CM24">
        <v>0</v>
      </c>
      <c r="CN24">
        <v>1</v>
      </c>
      <c r="CO24">
        <v>0</v>
      </c>
      <c r="CP24">
        <v>0</v>
      </c>
      <c r="CQ24">
        <v>0</v>
      </c>
      <c r="CR24">
        <v>1</v>
      </c>
      <c r="CS24">
        <v>1</v>
      </c>
    </row>
    <row r="25" spans="1:97" ht="15.75" customHeight="1">
      <c r="A25" s="1">
        <v>24</v>
      </c>
      <c r="B25">
        <v>0</v>
      </c>
      <c r="C25">
        <v>0</v>
      </c>
      <c r="D25">
        <v>0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</v>
      </c>
      <c r="O25">
        <v>0</v>
      </c>
      <c r="P25">
        <v>0</v>
      </c>
      <c r="Q25">
        <v>0</v>
      </c>
      <c r="R25">
        <v>0</v>
      </c>
      <c r="S25">
        <v>1</v>
      </c>
      <c r="T25">
        <v>0</v>
      </c>
      <c r="U25">
        <v>0</v>
      </c>
      <c r="V25">
        <v>0</v>
      </c>
      <c r="W25">
        <v>0</v>
      </c>
      <c r="X25">
        <v>0</v>
      </c>
      <c r="Y25">
        <v>1</v>
      </c>
      <c r="Z25">
        <v>1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1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</row>
    <row r="26" spans="1:97" ht="15.75" customHeight="1">
      <c r="A26" s="1">
        <v>25</v>
      </c>
      <c r="B26">
        <v>0</v>
      </c>
      <c r="C26">
        <v>0</v>
      </c>
      <c r="D26">
        <v>0</v>
      </c>
      <c r="E26">
        <v>0</v>
      </c>
      <c r="F26">
        <v>1</v>
      </c>
      <c r="G26">
        <v>0</v>
      </c>
      <c r="H26">
        <v>0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</v>
      </c>
      <c r="T26">
        <v>0</v>
      </c>
      <c r="U26">
        <v>0</v>
      </c>
      <c r="V26">
        <v>0</v>
      </c>
      <c r="W26">
        <v>0</v>
      </c>
      <c r="X26">
        <v>0</v>
      </c>
      <c r="Y26">
        <v>1</v>
      </c>
      <c r="Z26">
        <v>1</v>
      </c>
      <c r="AA26">
        <v>0</v>
      </c>
      <c r="AB26">
        <v>0</v>
      </c>
      <c r="AC26">
        <v>1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1</v>
      </c>
      <c r="BL26">
        <v>1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1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1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</row>
    <row r="27" spans="1:97" ht="15.75" customHeight="1">
      <c r="A27" s="1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1</v>
      </c>
      <c r="AB27">
        <v>0</v>
      </c>
      <c r="AC27">
        <v>0</v>
      </c>
      <c r="AD27">
        <v>0</v>
      </c>
      <c r="AE27">
        <v>0</v>
      </c>
      <c r="AF27">
        <v>1</v>
      </c>
      <c r="AG27">
        <v>1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1</v>
      </c>
      <c r="AP27">
        <v>0</v>
      </c>
      <c r="AQ27">
        <v>0</v>
      </c>
      <c r="AR27">
        <v>0</v>
      </c>
      <c r="AS27">
        <v>1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1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1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</row>
    <row r="28" spans="1:97" ht="15.75" customHeight="1">
      <c r="A28" s="1">
        <v>27</v>
      </c>
      <c r="B28">
        <v>0</v>
      </c>
      <c r="C28">
        <v>0</v>
      </c>
      <c r="D28">
        <v>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1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1</v>
      </c>
      <c r="AM28">
        <v>0</v>
      </c>
      <c r="AN28">
        <v>0</v>
      </c>
      <c r="AO28">
        <v>0</v>
      </c>
      <c r="AP28">
        <v>0</v>
      </c>
      <c r="AQ28">
        <v>1</v>
      </c>
      <c r="AR28">
        <v>0</v>
      </c>
      <c r="AS28">
        <v>0</v>
      </c>
      <c r="AT28">
        <v>0</v>
      </c>
      <c r="AU28">
        <v>1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1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1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</row>
    <row r="29" spans="1:97" ht="15.75" customHeight="1">
      <c r="A29" s="1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1</v>
      </c>
      <c r="X29">
        <v>0</v>
      </c>
      <c r="Y29">
        <v>0</v>
      </c>
      <c r="Z29">
        <v>1</v>
      </c>
      <c r="AA29">
        <v>0</v>
      </c>
      <c r="AB29">
        <v>0</v>
      </c>
      <c r="AC29">
        <v>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1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1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1</v>
      </c>
      <c r="CI29">
        <v>0</v>
      </c>
      <c r="CJ29">
        <v>0</v>
      </c>
      <c r="CK29">
        <v>0</v>
      </c>
      <c r="CL29">
        <v>0</v>
      </c>
      <c r="CM29">
        <v>1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</row>
    <row r="30" spans="1:97" ht="15.75" customHeight="1">
      <c r="A30" s="1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1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1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1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1</v>
      </c>
      <c r="BT30">
        <v>0</v>
      </c>
      <c r="BU30">
        <v>0</v>
      </c>
      <c r="BV30">
        <v>0</v>
      </c>
      <c r="BW30">
        <v>1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</row>
    <row r="31" spans="1:97" ht="15.75" customHeight="1">
      <c r="A31" s="1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1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1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1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</row>
    <row r="32" spans="1:97" ht="15.75" customHeight="1">
      <c r="A32" s="1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1</v>
      </c>
      <c r="AB32">
        <v>0</v>
      </c>
      <c r="AC32">
        <v>0</v>
      </c>
      <c r="AD32">
        <v>0</v>
      </c>
      <c r="AE32">
        <v>0</v>
      </c>
      <c r="AF32">
        <v>1</v>
      </c>
      <c r="AG32">
        <v>1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</row>
    <row r="33" spans="1:97" ht="15.75" customHeight="1">
      <c r="A33" s="1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1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1</v>
      </c>
      <c r="AB33">
        <v>0</v>
      </c>
      <c r="AC33">
        <v>0</v>
      </c>
      <c r="AD33">
        <v>0</v>
      </c>
      <c r="AE33">
        <v>0</v>
      </c>
      <c r="AF33">
        <v>1</v>
      </c>
      <c r="AG33">
        <v>1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1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1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</row>
    <row r="34" spans="1:97" ht="15.75" customHeight="1">
      <c r="A34" s="1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1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1</v>
      </c>
      <c r="CO34">
        <v>0</v>
      </c>
      <c r="CP34">
        <v>0</v>
      </c>
      <c r="CQ34">
        <v>0</v>
      </c>
      <c r="CR34">
        <v>1</v>
      </c>
      <c r="CS34">
        <v>1</v>
      </c>
    </row>
    <row r="35" spans="1:97" ht="15.75" customHeight="1">
      <c r="A35" s="1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1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1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1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1</v>
      </c>
      <c r="BR35">
        <v>0</v>
      </c>
      <c r="BS35">
        <v>0</v>
      </c>
      <c r="BT35">
        <v>0</v>
      </c>
      <c r="BU35">
        <v>1</v>
      </c>
      <c r="BV35">
        <v>0</v>
      </c>
      <c r="BW35">
        <v>0</v>
      </c>
      <c r="BX35">
        <v>1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1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</row>
    <row r="36" spans="1:97" ht="15.75" customHeight="1">
      <c r="A36" s="1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1</v>
      </c>
      <c r="AK36">
        <v>0</v>
      </c>
      <c r="AL36">
        <v>0</v>
      </c>
      <c r="AM36">
        <v>0</v>
      </c>
      <c r="AN36">
        <v>1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1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1</v>
      </c>
      <c r="BT36">
        <v>0</v>
      </c>
      <c r="BU36">
        <v>0</v>
      </c>
      <c r="BV36">
        <v>0</v>
      </c>
      <c r="BW36">
        <v>1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1</v>
      </c>
      <c r="CE36">
        <v>0</v>
      </c>
      <c r="CF36">
        <v>0</v>
      </c>
      <c r="CG36">
        <v>1</v>
      </c>
      <c r="CH36">
        <v>0</v>
      </c>
      <c r="CI36">
        <v>0</v>
      </c>
      <c r="CJ36">
        <v>1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1</v>
      </c>
      <c r="CQ36">
        <v>0</v>
      </c>
      <c r="CR36">
        <v>0</v>
      </c>
      <c r="CS36">
        <v>0</v>
      </c>
    </row>
    <row r="37" spans="1:97" ht="12.75">
      <c r="A37" s="1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1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1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1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1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1</v>
      </c>
      <c r="BW37">
        <v>0</v>
      </c>
      <c r="BX37">
        <v>0</v>
      </c>
      <c r="BY37">
        <v>0</v>
      </c>
      <c r="BZ37">
        <v>1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</row>
    <row r="38" spans="1:97" ht="12.75">
      <c r="A38" s="1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1</v>
      </c>
      <c r="AC38">
        <v>0</v>
      </c>
      <c r="AD38">
        <v>1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1</v>
      </c>
      <c r="AM38">
        <v>0</v>
      </c>
      <c r="AN38">
        <v>0</v>
      </c>
      <c r="AO38">
        <v>0</v>
      </c>
      <c r="AP38">
        <v>0</v>
      </c>
      <c r="AQ38">
        <v>1</v>
      </c>
      <c r="AR38">
        <v>0</v>
      </c>
      <c r="AS38">
        <v>0</v>
      </c>
      <c r="AT38">
        <v>0</v>
      </c>
      <c r="AU38">
        <v>1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1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1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1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</row>
    <row r="39" spans="1:97" ht="12.75">
      <c r="A39" s="1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1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1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1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</row>
    <row r="40" spans="1:97" ht="12.75">
      <c r="A40" s="1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1</v>
      </c>
      <c r="AK40">
        <v>0</v>
      </c>
      <c r="AL40">
        <v>0</v>
      </c>
      <c r="AM40">
        <v>0</v>
      </c>
      <c r="AN40">
        <v>1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1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1</v>
      </c>
      <c r="CQ40">
        <v>0</v>
      </c>
      <c r="CR40">
        <v>0</v>
      </c>
      <c r="CS40">
        <v>0</v>
      </c>
    </row>
    <row r="41" spans="1:97" ht="12.75">
      <c r="A41" s="1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1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1</v>
      </c>
      <c r="AP41">
        <v>0</v>
      </c>
      <c r="AQ41">
        <v>0</v>
      </c>
      <c r="AR41">
        <v>0</v>
      </c>
      <c r="AS41">
        <v>1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1</v>
      </c>
      <c r="BB41">
        <v>0</v>
      </c>
      <c r="BC41">
        <v>0</v>
      </c>
      <c r="BD41">
        <v>0</v>
      </c>
      <c r="BE41">
        <v>1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1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</row>
    <row r="42" spans="1:97" ht="12.75">
      <c r="A42" s="1">
        <v>41</v>
      </c>
      <c r="B42">
        <v>1</v>
      </c>
      <c r="C42">
        <v>0</v>
      </c>
      <c r="D42">
        <v>0</v>
      </c>
      <c r="E42">
        <v>0</v>
      </c>
      <c r="F42">
        <v>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1</v>
      </c>
      <c r="O42">
        <v>0</v>
      </c>
      <c r="P42">
        <v>0</v>
      </c>
      <c r="Q42">
        <v>0</v>
      </c>
      <c r="R42">
        <v>0</v>
      </c>
      <c r="S42">
        <v>1</v>
      </c>
      <c r="T42">
        <v>0</v>
      </c>
      <c r="U42">
        <v>0</v>
      </c>
      <c r="V42">
        <v>0</v>
      </c>
      <c r="W42">
        <v>0</v>
      </c>
      <c r="X42">
        <v>0</v>
      </c>
      <c r="Y42">
        <v>1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1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1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1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1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</row>
    <row r="43" spans="1:97" ht="12.75">
      <c r="A43" s="1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1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1</v>
      </c>
      <c r="AM43">
        <v>0</v>
      </c>
      <c r="AN43">
        <v>0</v>
      </c>
      <c r="AO43">
        <v>0</v>
      </c>
      <c r="AP43">
        <v>0</v>
      </c>
      <c r="AQ43">
        <v>1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1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</row>
    <row r="44" spans="1:97" ht="12.75">
      <c r="A44" s="1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1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1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1</v>
      </c>
      <c r="AS44">
        <v>0</v>
      </c>
      <c r="AT44">
        <v>0</v>
      </c>
      <c r="AU44">
        <v>0</v>
      </c>
      <c r="AV44">
        <v>0</v>
      </c>
      <c r="AW44">
        <v>1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1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1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</row>
    <row r="45" spans="1:97" ht="12.75">
      <c r="A45" s="1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1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1</v>
      </c>
      <c r="AP45">
        <v>0</v>
      </c>
      <c r="AQ45">
        <v>0</v>
      </c>
      <c r="AR45">
        <v>0</v>
      </c>
      <c r="AS45">
        <v>1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1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1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</row>
    <row r="46" spans="1:97" ht="12.75">
      <c r="A46" s="1">
        <v>45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1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1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1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1</v>
      </c>
      <c r="BO46">
        <v>0</v>
      </c>
      <c r="BP46">
        <v>0</v>
      </c>
      <c r="BQ46">
        <v>0</v>
      </c>
      <c r="BR46">
        <v>1</v>
      </c>
      <c r="BS46">
        <v>0</v>
      </c>
      <c r="BT46">
        <v>0</v>
      </c>
      <c r="BU46">
        <v>0</v>
      </c>
      <c r="BV46">
        <v>1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</row>
    <row r="47" spans="1:97" ht="12.75">
      <c r="A47" s="1">
        <v>46</v>
      </c>
      <c r="B47">
        <v>0</v>
      </c>
      <c r="C47">
        <v>1</v>
      </c>
      <c r="D47">
        <v>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1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1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1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1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1</v>
      </c>
      <c r="CS47">
        <v>0</v>
      </c>
    </row>
    <row r="48" spans="1:97" ht="12.75">
      <c r="A48" s="1">
        <v>47</v>
      </c>
      <c r="B48">
        <v>0</v>
      </c>
      <c r="C48">
        <v>0</v>
      </c>
      <c r="D48">
        <v>0</v>
      </c>
      <c r="E48">
        <v>0</v>
      </c>
      <c r="F48">
        <v>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1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1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1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1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1</v>
      </c>
      <c r="BP48">
        <v>0</v>
      </c>
      <c r="BQ48">
        <v>0</v>
      </c>
      <c r="BR48">
        <v>0</v>
      </c>
      <c r="BS48">
        <v>0</v>
      </c>
      <c r="BT48">
        <v>1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1</v>
      </c>
      <c r="CM48">
        <v>1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</row>
    <row r="49" spans="1:97" ht="12.75">
      <c r="A49" s="1">
        <v>48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1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1</v>
      </c>
      <c r="AS49">
        <v>0</v>
      </c>
      <c r="AT49">
        <v>0</v>
      </c>
      <c r="AU49">
        <v>0</v>
      </c>
      <c r="AV49">
        <v>0</v>
      </c>
      <c r="AW49">
        <v>1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1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1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</row>
    <row r="50" spans="1:97" ht="12.75">
      <c r="A50" s="1">
        <v>49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1</v>
      </c>
      <c r="I50">
        <v>0</v>
      </c>
      <c r="J50">
        <v>1</v>
      </c>
      <c r="K50">
        <v>0</v>
      </c>
      <c r="L50">
        <v>0</v>
      </c>
      <c r="M50">
        <v>0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1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1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1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1</v>
      </c>
      <c r="BJ50">
        <v>0</v>
      </c>
      <c r="BK50">
        <v>0</v>
      </c>
      <c r="BL50">
        <v>0</v>
      </c>
      <c r="BM50">
        <v>0</v>
      </c>
      <c r="BN50">
        <v>1</v>
      </c>
      <c r="BO50">
        <v>0</v>
      </c>
      <c r="BP50">
        <v>1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</row>
    <row r="51" spans="1:97" ht="12.75">
      <c r="A51" s="1">
        <v>50</v>
      </c>
      <c r="B51">
        <v>0</v>
      </c>
      <c r="C51">
        <v>0</v>
      </c>
      <c r="D51">
        <v>0</v>
      </c>
      <c r="E51">
        <v>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1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1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1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1</v>
      </c>
      <c r="CQ51">
        <v>0</v>
      </c>
      <c r="CR51">
        <v>0</v>
      </c>
      <c r="CS51">
        <v>0</v>
      </c>
    </row>
    <row r="52" spans="1:97" ht="12.75">
      <c r="A52" s="1">
        <v>51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1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1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1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</row>
    <row r="53" spans="1:97" ht="12.75">
      <c r="A53" s="1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1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1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1</v>
      </c>
      <c r="BB53">
        <v>0</v>
      </c>
      <c r="BC53">
        <v>0</v>
      </c>
      <c r="BD53">
        <v>1</v>
      </c>
      <c r="BE53">
        <v>1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1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1</v>
      </c>
      <c r="CR53">
        <v>0</v>
      </c>
      <c r="CS53">
        <v>0</v>
      </c>
    </row>
    <row r="54" spans="1:97" ht="12.75">
      <c r="A54" s="1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1</v>
      </c>
      <c r="BC54">
        <v>1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1</v>
      </c>
      <c r="BK54">
        <v>0</v>
      </c>
      <c r="BL54">
        <v>0</v>
      </c>
      <c r="BM54">
        <v>1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</row>
    <row r="55" spans="1:97" ht="12.75">
      <c r="A55" s="1">
        <v>54</v>
      </c>
      <c r="B55">
        <v>0</v>
      </c>
      <c r="C55">
        <v>0</v>
      </c>
      <c r="D55">
        <v>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1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1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1</v>
      </c>
      <c r="BC55">
        <v>1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1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</row>
    <row r="56" spans="1:97" ht="12.75">
      <c r="A56" s="1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1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1</v>
      </c>
      <c r="BB56">
        <v>0</v>
      </c>
      <c r="BC56">
        <v>0</v>
      </c>
      <c r="BD56">
        <v>1</v>
      </c>
      <c r="BE56">
        <v>1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1</v>
      </c>
      <c r="BO56">
        <v>0</v>
      </c>
      <c r="BP56">
        <v>0</v>
      </c>
      <c r="BQ56">
        <v>0</v>
      </c>
      <c r="BR56">
        <v>1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</row>
    <row r="57" spans="1:97" ht="12.75">
      <c r="A57" s="1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1</v>
      </c>
      <c r="BB57">
        <v>0</v>
      </c>
      <c r="BC57">
        <v>0</v>
      </c>
      <c r="BD57">
        <v>1</v>
      </c>
      <c r="BE57">
        <v>1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1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</row>
    <row r="58" spans="1:97" ht="12.75">
      <c r="A58" s="1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1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1</v>
      </c>
      <c r="AS58">
        <v>0</v>
      </c>
      <c r="AT58">
        <v>0</v>
      </c>
      <c r="AU58">
        <v>0</v>
      </c>
      <c r="AV58">
        <v>1</v>
      </c>
      <c r="AW58">
        <v>1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1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1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1</v>
      </c>
      <c r="CM58">
        <v>1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</row>
    <row r="59" spans="1:97" ht="12.75">
      <c r="A59" s="1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1</v>
      </c>
      <c r="H59">
        <v>0</v>
      </c>
      <c r="I59">
        <v>0</v>
      </c>
      <c r="J59">
        <v>0</v>
      </c>
      <c r="K59">
        <v>0</v>
      </c>
      <c r="L59">
        <v>1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1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1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1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1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</row>
    <row r="60" spans="1:97" ht="12.75">
      <c r="A60" s="1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1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1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1</v>
      </c>
      <c r="AT60">
        <v>1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1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1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</row>
    <row r="61" spans="1:97" ht="12.75">
      <c r="A61" s="1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1</v>
      </c>
      <c r="O61">
        <v>0</v>
      </c>
      <c r="P61">
        <v>0</v>
      </c>
      <c r="Q61">
        <v>0</v>
      </c>
      <c r="R61">
        <v>1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1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1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1</v>
      </c>
      <c r="BP61">
        <v>1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</row>
    <row r="62" spans="1:97" ht="12.75">
      <c r="A62" s="1">
        <v>61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1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1</v>
      </c>
      <c r="BK62">
        <v>0</v>
      </c>
      <c r="BL62">
        <v>0</v>
      </c>
      <c r="BM62">
        <v>1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</row>
    <row r="63" spans="1:97" ht="12.75">
      <c r="A63" s="1">
        <v>62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  <c r="AA63">
        <v>0</v>
      </c>
      <c r="AB63">
        <v>0</v>
      </c>
      <c r="AC63">
        <v>1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1</v>
      </c>
      <c r="BL63">
        <v>1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1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1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1</v>
      </c>
      <c r="CP63">
        <v>0</v>
      </c>
      <c r="CQ63">
        <v>0</v>
      </c>
      <c r="CR63">
        <v>0</v>
      </c>
      <c r="CS63">
        <v>0</v>
      </c>
    </row>
    <row r="64" spans="1:97" ht="12.75">
      <c r="A64" s="1">
        <v>63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1</v>
      </c>
      <c r="BL64">
        <v>1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1</v>
      </c>
      <c r="CD64">
        <v>0</v>
      </c>
      <c r="CE64">
        <v>1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</row>
    <row r="65" spans="1:97" ht="12.75">
      <c r="A65" s="1">
        <v>64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1</v>
      </c>
      <c r="AC65">
        <v>0</v>
      </c>
      <c r="AD65">
        <v>1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1</v>
      </c>
      <c r="AM65">
        <v>0</v>
      </c>
      <c r="AN65">
        <v>0</v>
      </c>
      <c r="AO65">
        <v>0</v>
      </c>
      <c r="AP65">
        <v>0</v>
      </c>
      <c r="AQ65">
        <v>1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1</v>
      </c>
      <c r="BC65">
        <v>1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1</v>
      </c>
      <c r="BK65">
        <v>0</v>
      </c>
      <c r="BL65">
        <v>0</v>
      </c>
      <c r="BM65">
        <v>1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</row>
    <row r="66" spans="1:97" ht="12.75">
      <c r="A66" s="1">
        <v>65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1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1</v>
      </c>
      <c r="AL66">
        <v>0</v>
      </c>
      <c r="AM66">
        <v>0</v>
      </c>
      <c r="AN66">
        <v>0</v>
      </c>
      <c r="AO66">
        <v>0</v>
      </c>
      <c r="AP66">
        <v>1</v>
      </c>
      <c r="AQ66">
        <v>0</v>
      </c>
      <c r="AR66">
        <v>0</v>
      </c>
      <c r="AS66">
        <v>0</v>
      </c>
      <c r="AT66">
        <v>1</v>
      </c>
      <c r="AU66">
        <v>0</v>
      </c>
      <c r="AV66">
        <v>0</v>
      </c>
      <c r="AW66">
        <v>0</v>
      </c>
      <c r="AX66">
        <v>1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1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1</v>
      </c>
      <c r="BO66">
        <v>0</v>
      </c>
      <c r="BP66">
        <v>0</v>
      </c>
      <c r="BQ66">
        <v>0</v>
      </c>
      <c r="BR66">
        <v>1</v>
      </c>
      <c r="BS66">
        <v>0</v>
      </c>
      <c r="BT66">
        <v>0</v>
      </c>
      <c r="BU66">
        <v>0</v>
      </c>
      <c r="BV66">
        <v>1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</row>
    <row r="67" spans="1:97" ht="12.75">
      <c r="A67" s="1">
        <v>66</v>
      </c>
      <c r="B67">
        <v>0</v>
      </c>
      <c r="C67">
        <v>0</v>
      </c>
      <c r="D67">
        <v>0</v>
      </c>
      <c r="E67">
        <v>0</v>
      </c>
      <c r="F67">
        <v>1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1</v>
      </c>
      <c r="O67">
        <v>0</v>
      </c>
      <c r="P67">
        <v>0</v>
      </c>
      <c r="Q67">
        <v>0</v>
      </c>
      <c r="R67">
        <v>1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1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1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1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</row>
    <row r="68" spans="1:97" ht="12.75">
      <c r="A68" s="1">
        <v>67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</v>
      </c>
      <c r="S68">
        <v>0</v>
      </c>
      <c r="T68">
        <v>0</v>
      </c>
      <c r="U68">
        <v>0</v>
      </c>
      <c r="V68">
        <v>0</v>
      </c>
      <c r="W68">
        <v>0</v>
      </c>
      <c r="X68">
        <v>1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1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1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1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</row>
    <row r="69" spans="1:97" ht="12.75">
      <c r="A69" s="1">
        <v>68</v>
      </c>
      <c r="B69">
        <v>0</v>
      </c>
      <c r="C69">
        <v>0</v>
      </c>
      <c r="D69">
        <v>0</v>
      </c>
      <c r="E69">
        <v>0</v>
      </c>
      <c r="F69">
        <v>0</v>
      </c>
      <c r="G69">
        <v>1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1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1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1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1</v>
      </c>
      <c r="BR69">
        <v>0</v>
      </c>
      <c r="BS69">
        <v>0</v>
      </c>
      <c r="BT69">
        <v>0</v>
      </c>
      <c r="BU69">
        <v>1</v>
      </c>
      <c r="BV69">
        <v>0</v>
      </c>
      <c r="BW69">
        <v>0</v>
      </c>
      <c r="BX69">
        <v>1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1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</row>
    <row r="70" spans="1:97" ht="12.75">
      <c r="A70" s="1">
        <v>69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1</v>
      </c>
      <c r="AP70">
        <v>0</v>
      </c>
      <c r="AQ70">
        <v>0</v>
      </c>
      <c r="AR70">
        <v>0</v>
      </c>
      <c r="AS70">
        <v>1</v>
      </c>
      <c r="AT70">
        <v>1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1</v>
      </c>
      <c r="BE70">
        <v>1</v>
      </c>
      <c r="BF70">
        <v>0</v>
      </c>
      <c r="BG70">
        <v>0</v>
      </c>
      <c r="BH70">
        <v>1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1</v>
      </c>
      <c r="BO70">
        <v>0</v>
      </c>
      <c r="BP70">
        <v>0</v>
      </c>
      <c r="BQ70">
        <v>0</v>
      </c>
      <c r="BR70">
        <v>1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</row>
    <row r="71" spans="1:97" ht="12.75">
      <c r="A71" s="1">
        <v>70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1</v>
      </c>
      <c r="AK71">
        <v>0</v>
      </c>
      <c r="AL71">
        <v>1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1</v>
      </c>
      <c r="BT71">
        <v>0</v>
      </c>
      <c r="BU71">
        <v>0</v>
      </c>
      <c r="BV71">
        <v>0</v>
      </c>
      <c r="BW71">
        <v>1</v>
      </c>
      <c r="BX71">
        <v>0</v>
      </c>
      <c r="BY71">
        <v>0</v>
      </c>
      <c r="BZ71">
        <v>0</v>
      </c>
      <c r="CA71">
        <v>0</v>
      </c>
      <c r="CB71">
        <v>1</v>
      </c>
      <c r="CC71">
        <v>0</v>
      </c>
      <c r="CD71">
        <v>1</v>
      </c>
      <c r="CE71">
        <v>0</v>
      </c>
      <c r="CF71">
        <v>0</v>
      </c>
      <c r="CG71">
        <v>0</v>
      </c>
      <c r="CH71">
        <v>0</v>
      </c>
      <c r="CI71">
        <v>1</v>
      </c>
      <c r="CJ71">
        <v>1</v>
      </c>
      <c r="CK71">
        <v>1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</row>
    <row r="72" spans="1:97" ht="12.75">
      <c r="A72" s="1">
        <v>71</v>
      </c>
      <c r="B72">
        <v>0</v>
      </c>
      <c r="C72">
        <v>0</v>
      </c>
      <c r="D72">
        <v>0</v>
      </c>
      <c r="E72">
        <v>0</v>
      </c>
      <c r="F72">
        <v>1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  <c r="AA72">
        <v>0</v>
      </c>
      <c r="AB72">
        <v>0</v>
      </c>
      <c r="AC72">
        <v>1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1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1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1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1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</row>
    <row r="73" spans="1:97" ht="12.75">
      <c r="A73" s="1">
        <v>72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1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1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1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1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1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1</v>
      </c>
      <c r="BR73">
        <v>0</v>
      </c>
      <c r="BS73">
        <v>0</v>
      </c>
      <c r="BT73">
        <v>0</v>
      </c>
      <c r="BU73">
        <v>1</v>
      </c>
      <c r="BV73">
        <v>0</v>
      </c>
      <c r="BW73">
        <v>0</v>
      </c>
      <c r="BX73">
        <v>1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</row>
    <row r="74" spans="1:97" ht="12.75">
      <c r="A74" s="1">
        <v>73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1</v>
      </c>
      <c r="AL74">
        <v>0</v>
      </c>
      <c r="AM74">
        <v>0</v>
      </c>
      <c r="AN74">
        <v>0</v>
      </c>
      <c r="AO74">
        <v>0</v>
      </c>
      <c r="AP74">
        <v>1</v>
      </c>
      <c r="AQ74">
        <v>0</v>
      </c>
      <c r="AR74">
        <v>0</v>
      </c>
      <c r="AS74">
        <v>0</v>
      </c>
      <c r="AT74">
        <v>1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1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1</v>
      </c>
      <c r="BW74">
        <v>0</v>
      </c>
      <c r="BX74">
        <v>0</v>
      </c>
      <c r="BY74">
        <v>0</v>
      </c>
      <c r="BZ74">
        <v>1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</row>
    <row r="75" spans="1:97" ht="12.75">
      <c r="A75" s="1">
        <v>74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1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1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1</v>
      </c>
      <c r="BT75">
        <v>0</v>
      </c>
      <c r="BU75">
        <v>0</v>
      </c>
      <c r="BV75">
        <v>0</v>
      </c>
      <c r="BW75">
        <v>1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1</v>
      </c>
      <c r="CH75">
        <v>0</v>
      </c>
      <c r="CI75">
        <v>0</v>
      </c>
      <c r="CJ75">
        <v>1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</row>
    <row r="76" spans="1:97" ht="12.75">
      <c r="A76" s="1">
        <v>75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1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1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1</v>
      </c>
      <c r="BR76">
        <v>0</v>
      </c>
      <c r="BS76">
        <v>0</v>
      </c>
      <c r="BT76">
        <v>0</v>
      </c>
      <c r="BU76">
        <v>1</v>
      </c>
      <c r="BV76">
        <v>0</v>
      </c>
      <c r="BW76">
        <v>0</v>
      </c>
      <c r="BX76">
        <v>1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</row>
    <row r="77" spans="1:97" ht="12.75">
      <c r="A77" s="1">
        <v>76</v>
      </c>
      <c r="B77" s="1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1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1</v>
      </c>
      <c r="U77">
        <v>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1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1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</row>
    <row r="78" spans="1:97" ht="12.75">
      <c r="A78" s="1">
        <v>77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1</v>
      </c>
      <c r="N78">
        <v>0</v>
      </c>
      <c r="O78">
        <v>0</v>
      </c>
      <c r="P78">
        <v>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1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1</v>
      </c>
      <c r="BW78">
        <v>0</v>
      </c>
      <c r="BX78">
        <v>0</v>
      </c>
      <c r="BY78">
        <v>0</v>
      </c>
      <c r="BZ78">
        <v>1</v>
      </c>
      <c r="CA78">
        <v>0</v>
      </c>
      <c r="CB78">
        <v>0</v>
      </c>
      <c r="CC78">
        <v>1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</row>
    <row r="79" spans="1:97" ht="12.75">
      <c r="A79" s="1">
        <v>78</v>
      </c>
      <c r="B79">
        <v>0</v>
      </c>
      <c r="C79">
        <v>0</v>
      </c>
      <c r="D79">
        <v>0</v>
      </c>
      <c r="E79">
        <v>1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1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1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1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1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</row>
    <row r="80" spans="1:97" ht="12.75">
      <c r="A80" s="1">
        <v>79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1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1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1</v>
      </c>
      <c r="CC80">
        <v>0</v>
      </c>
      <c r="CD80">
        <v>1</v>
      </c>
      <c r="CE80">
        <v>0</v>
      </c>
      <c r="CF80">
        <v>0</v>
      </c>
      <c r="CG80">
        <v>0</v>
      </c>
      <c r="CH80">
        <v>0</v>
      </c>
      <c r="CI80">
        <v>1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</row>
    <row r="81" spans="1:97" ht="12.75">
      <c r="A81" s="1">
        <v>80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1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1</v>
      </c>
      <c r="CA81">
        <v>0</v>
      </c>
      <c r="CB81">
        <v>0</v>
      </c>
      <c r="CC81">
        <v>1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</row>
    <row r="82" spans="1:97" ht="12.75">
      <c r="A82" s="1">
        <v>81</v>
      </c>
      <c r="B82">
        <v>0</v>
      </c>
      <c r="C82">
        <v>0</v>
      </c>
      <c r="D82">
        <v>0</v>
      </c>
      <c r="E82">
        <v>1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1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1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1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1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1</v>
      </c>
      <c r="CC82">
        <v>0</v>
      </c>
      <c r="CD82">
        <v>1</v>
      </c>
      <c r="CE82">
        <v>0</v>
      </c>
      <c r="CF82">
        <v>0</v>
      </c>
      <c r="CG82">
        <v>0</v>
      </c>
      <c r="CH82">
        <v>0</v>
      </c>
      <c r="CI82">
        <v>1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</row>
    <row r="83" spans="1:97" ht="12.75">
      <c r="A83" s="1">
        <v>82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1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1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</row>
    <row r="84" spans="1:97" ht="12.75">
      <c r="A84" s="1">
        <v>83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1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</v>
      </c>
      <c r="V84">
        <v>0</v>
      </c>
      <c r="W84">
        <v>0</v>
      </c>
      <c r="X84">
        <v>0</v>
      </c>
      <c r="Y84">
        <v>0</v>
      </c>
      <c r="Z84">
        <v>0</v>
      </c>
      <c r="AA84">
        <v>1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1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1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1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1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1</v>
      </c>
      <c r="CR84">
        <v>0</v>
      </c>
      <c r="CS84">
        <v>1</v>
      </c>
    </row>
    <row r="85" spans="1:97" ht="12.75">
      <c r="A85" s="1">
        <v>84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1</v>
      </c>
      <c r="AK85">
        <v>0</v>
      </c>
      <c r="AL85">
        <v>0</v>
      </c>
      <c r="AM85">
        <v>0</v>
      </c>
      <c r="AN85">
        <v>1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1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1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1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</row>
    <row r="86" spans="1:97" ht="12.75">
      <c r="A86" s="1">
        <v>85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1</v>
      </c>
      <c r="X86">
        <v>0</v>
      </c>
      <c r="Y86">
        <v>0</v>
      </c>
      <c r="Z86">
        <v>0</v>
      </c>
      <c r="AA86">
        <v>0</v>
      </c>
      <c r="AB86">
        <v>0</v>
      </c>
      <c r="AC86">
        <v>1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1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1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1</v>
      </c>
      <c r="CP86">
        <v>0</v>
      </c>
      <c r="CQ86">
        <v>0</v>
      </c>
      <c r="CR86">
        <v>0</v>
      </c>
      <c r="CS86">
        <v>0</v>
      </c>
    </row>
    <row r="87" spans="1:97" ht="12.75">
      <c r="A87" s="1">
        <v>86</v>
      </c>
      <c r="B87">
        <v>0</v>
      </c>
      <c r="C87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1</v>
      </c>
      <c r="P87">
        <v>0</v>
      </c>
      <c r="Q87">
        <v>1</v>
      </c>
      <c r="R87">
        <v>0</v>
      </c>
      <c r="S87">
        <v>0</v>
      </c>
      <c r="T87">
        <v>0</v>
      </c>
      <c r="U87">
        <v>0</v>
      </c>
      <c r="V87">
        <v>1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1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1</v>
      </c>
      <c r="CC87">
        <v>0</v>
      </c>
      <c r="CD87">
        <v>1</v>
      </c>
      <c r="CE87">
        <v>0</v>
      </c>
      <c r="CF87">
        <v>0</v>
      </c>
      <c r="CG87">
        <v>0</v>
      </c>
      <c r="CH87">
        <v>0</v>
      </c>
      <c r="CI87">
        <v>1</v>
      </c>
      <c r="CJ87">
        <v>0</v>
      </c>
      <c r="CK87">
        <v>1</v>
      </c>
      <c r="CL87">
        <v>1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</row>
    <row r="88" spans="1:97" ht="12.75">
      <c r="A88" s="1">
        <v>87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1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1</v>
      </c>
      <c r="BT88">
        <v>0</v>
      </c>
      <c r="BU88">
        <v>0</v>
      </c>
      <c r="BV88">
        <v>0</v>
      </c>
      <c r="BW88">
        <v>1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1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</row>
    <row r="89" spans="1:97" ht="12.75">
      <c r="A89" s="1">
        <v>88</v>
      </c>
      <c r="B89">
        <v>0</v>
      </c>
      <c r="C89">
        <v>1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1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1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1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1</v>
      </c>
      <c r="CJ89">
        <v>0</v>
      </c>
      <c r="CK89">
        <v>1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</row>
    <row r="90" spans="1:97" ht="12.75">
      <c r="A90" s="1">
        <v>89</v>
      </c>
      <c r="B90">
        <v>0</v>
      </c>
      <c r="C90">
        <v>1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1</v>
      </c>
      <c r="P90">
        <v>0</v>
      </c>
      <c r="Q90">
        <v>0</v>
      </c>
      <c r="R90">
        <v>1</v>
      </c>
      <c r="S90">
        <v>0</v>
      </c>
      <c r="T90">
        <v>0</v>
      </c>
      <c r="U90">
        <v>0</v>
      </c>
      <c r="V90">
        <v>0</v>
      </c>
      <c r="W90">
        <v>0</v>
      </c>
      <c r="X90">
        <v>1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1</v>
      </c>
      <c r="AW90">
        <v>1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1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1</v>
      </c>
      <c r="CJ90">
        <v>0</v>
      </c>
      <c r="CK90">
        <v>0</v>
      </c>
      <c r="CL90">
        <v>1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</row>
    <row r="91" spans="1:97" ht="12.75">
      <c r="A91" s="1">
        <v>90</v>
      </c>
      <c r="B91">
        <v>0</v>
      </c>
      <c r="C91">
        <v>0</v>
      </c>
      <c r="D91">
        <v>0</v>
      </c>
      <c r="E91">
        <v>0</v>
      </c>
      <c r="F91">
        <v>1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1</v>
      </c>
      <c r="X91">
        <v>0</v>
      </c>
      <c r="Y91">
        <v>0</v>
      </c>
      <c r="Z91">
        <v>0</v>
      </c>
      <c r="AA91">
        <v>0</v>
      </c>
      <c r="AB91">
        <v>0</v>
      </c>
      <c r="AC91">
        <v>1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1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1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1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1</v>
      </c>
      <c r="BR91">
        <v>0</v>
      </c>
      <c r="BS91">
        <v>0</v>
      </c>
      <c r="BT91">
        <v>1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1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</row>
    <row r="92" spans="1:97" ht="12.75">
      <c r="A92" s="1">
        <v>91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1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1</v>
      </c>
      <c r="CO92">
        <v>0</v>
      </c>
      <c r="CP92">
        <v>0</v>
      </c>
      <c r="CQ92">
        <v>0</v>
      </c>
      <c r="CR92">
        <v>1</v>
      </c>
      <c r="CS92">
        <v>1</v>
      </c>
    </row>
    <row r="93" spans="1:97" ht="12.75">
      <c r="A93" s="1">
        <v>92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1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1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1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1</v>
      </c>
      <c r="CP93">
        <v>0</v>
      </c>
      <c r="CQ93">
        <v>0</v>
      </c>
      <c r="CR93">
        <v>0</v>
      </c>
      <c r="CS93">
        <v>0</v>
      </c>
    </row>
    <row r="94" spans="1:97" ht="12.75">
      <c r="A94" s="1">
        <v>93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1</v>
      </c>
      <c r="AK94">
        <v>0</v>
      </c>
      <c r="AL94">
        <v>0</v>
      </c>
      <c r="AM94">
        <v>0</v>
      </c>
      <c r="AN94">
        <v>1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1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1</v>
      </c>
      <c r="CQ94">
        <v>0</v>
      </c>
      <c r="CR94">
        <v>0</v>
      </c>
      <c r="CS94">
        <v>0</v>
      </c>
    </row>
    <row r="95" spans="1:97" ht="12.75">
      <c r="A95" s="1">
        <v>94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1</v>
      </c>
      <c r="I95">
        <v>0</v>
      </c>
      <c r="J95">
        <v>1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1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1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1</v>
      </c>
      <c r="CR95">
        <v>0</v>
      </c>
      <c r="CS95">
        <v>1</v>
      </c>
    </row>
    <row r="96" spans="1:97" ht="12.75">
      <c r="A96" s="1">
        <v>95</v>
      </c>
      <c r="B96">
        <v>0</v>
      </c>
      <c r="C96">
        <v>1</v>
      </c>
      <c r="D96">
        <v>1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1</v>
      </c>
      <c r="U96">
        <v>1</v>
      </c>
      <c r="V96">
        <v>0</v>
      </c>
      <c r="W96">
        <v>0</v>
      </c>
      <c r="X96">
        <v>1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1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1</v>
      </c>
      <c r="CO96">
        <v>0</v>
      </c>
      <c r="CP96">
        <v>0</v>
      </c>
      <c r="CQ96">
        <v>0</v>
      </c>
      <c r="CR96">
        <v>1</v>
      </c>
      <c r="CS96">
        <v>0</v>
      </c>
    </row>
    <row r="97" spans="1:97" ht="12.75">
      <c r="A97" s="1">
        <v>96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1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1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1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1</v>
      </c>
      <c r="CO97">
        <v>0</v>
      </c>
      <c r="CP97">
        <v>0</v>
      </c>
      <c r="CQ97">
        <v>1</v>
      </c>
      <c r="CR97">
        <v>0</v>
      </c>
      <c r="CS97">
        <v>1</v>
      </c>
    </row>
    <row r="99" spans="1:97" ht="12.75">
      <c r="B99" s="1">
        <v>1</v>
      </c>
      <c r="C99" s="1">
        <v>2</v>
      </c>
      <c r="D99" s="1">
        <v>3</v>
      </c>
      <c r="E99" s="1">
        <v>4</v>
      </c>
      <c r="F99" s="1">
        <v>5</v>
      </c>
      <c r="G99" s="1">
        <v>6</v>
      </c>
      <c r="H99" s="1">
        <v>7</v>
      </c>
      <c r="I99" s="1">
        <v>8</v>
      </c>
      <c r="J99" s="1">
        <v>9</v>
      </c>
      <c r="K99" s="1">
        <v>10</v>
      </c>
      <c r="L99" s="1">
        <v>11</v>
      </c>
      <c r="M99" s="1">
        <v>12</v>
      </c>
      <c r="N99" s="1">
        <v>13</v>
      </c>
      <c r="O99" s="1">
        <v>14</v>
      </c>
      <c r="P99" s="1">
        <v>15</v>
      </c>
      <c r="Q99" s="1">
        <v>16</v>
      </c>
      <c r="R99" s="1">
        <v>17</v>
      </c>
      <c r="S99" s="1">
        <v>18</v>
      </c>
      <c r="T99" s="1">
        <v>19</v>
      </c>
    </row>
    <row r="100" spans="1:97" ht="12.75">
      <c r="A100" s="1">
        <v>1</v>
      </c>
      <c r="B100" s="1">
        <v>1</v>
      </c>
      <c r="C100" s="1">
        <v>0</v>
      </c>
      <c r="D100" s="1">
        <v>0</v>
      </c>
      <c r="E100" s="1">
        <v>0</v>
      </c>
      <c r="F100" s="1">
        <v>0</v>
      </c>
      <c r="G100" s="1">
        <v>1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</row>
    <row r="101" spans="1:97" ht="12.75">
      <c r="A101" s="1">
        <v>2</v>
      </c>
      <c r="B101" s="1">
        <v>0</v>
      </c>
      <c r="C101" s="1">
        <v>1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1</v>
      </c>
      <c r="S101" s="1">
        <v>0</v>
      </c>
      <c r="T101" s="1">
        <v>0</v>
      </c>
    </row>
    <row r="102" spans="1:97" ht="12.75">
      <c r="A102" s="1">
        <v>3</v>
      </c>
      <c r="B102" s="1">
        <v>0</v>
      </c>
      <c r="C102" s="1">
        <v>0</v>
      </c>
      <c r="D102" s="1">
        <v>1</v>
      </c>
      <c r="E102" s="1">
        <v>0</v>
      </c>
      <c r="F102" s="1">
        <v>0</v>
      </c>
      <c r="G102" s="1">
        <v>0</v>
      </c>
      <c r="H102" s="1">
        <v>1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1</v>
      </c>
      <c r="S102" s="1">
        <v>1</v>
      </c>
      <c r="T102" s="1">
        <v>0</v>
      </c>
    </row>
    <row r="103" spans="1:97" ht="12.75">
      <c r="A103" s="1">
        <v>4</v>
      </c>
      <c r="B103" s="1">
        <v>0</v>
      </c>
      <c r="C103" s="1">
        <v>0</v>
      </c>
      <c r="D103" s="1">
        <v>0</v>
      </c>
      <c r="E103" s="1">
        <v>1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1</v>
      </c>
      <c r="M103" s="1">
        <v>1</v>
      </c>
      <c r="N103" s="1">
        <v>0</v>
      </c>
      <c r="O103" s="1">
        <v>1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</row>
    <row r="104" spans="1:97" ht="12.75">
      <c r="A104" s="1">
        <v>5</v>
      </c>
      <c r="B104" s="1">
        <v>0</v>
      </c>
      <c r="C104" s="1">
        <v>0</v>
      </c>
      <c r="D104" s="1">
        <v>0</v>
      </c>
      <c r="E104" s="1">
        <v>0</v>
      </c>
      <c r="F104" s="1">
        <v>1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1</v>
      </c>
      <c r="M104" s="1">
        <v>0</v>
      </c>
      <c r="N104" s="1">
        <v>1</v>
      </c>
      <c r="O104" s="1">
        <v>0</v>
      </c>
      <c r="P104" s="1">
        <v>0</v>
      </c>
      <c r="Q104" s="1">
        <v>1</v>
      </c>
      <c r="R104" s="1">
        <v>0</v>
      </c>
      <c r="S104" s="1">
        <v>0</v>
      </c>
      <c r="T104" s="1">
        <v>0</v>
      </c>
    </row>
    <row r="105" spans="1:97" ht="12.75">
      <c r="A105" s="1">
        <v>6</v>
      </c>
      <c r="B105" s="1">
        <v>1</v>
      </c>
      <c r="C105" s="1">
        <v>0</v>
      </c>
      <c r="D105" s="1">
        <v>0</v>
      </c>
      <c r="E105" s="1">
        <v>0</v>
      </c>
      <c r="F105" s="1">
        <v>0</v>
      </c>
      <c r="G105" s="1">
        <v>1</v>
      </c>
      <c r="H105" s="1">
        <v>0</v>
      </c>
      <c r="I105" s="1">
        <v>0</v>
      </c>
      <c r="J105" s="1">
        <v>1</v>
      </c>
      <c r="K105" s="1">
        <v>1</v>
      </c>
      <c r="L105" s="1">
        <v>0</v>
      </c>
      <c r="M105" s="1">
        <v>0</v>
      </c>
      <c r="N105" s="1">
        <v>0</v>
      </c>
      <c r="O105" s="1">
        <v>1</v>
      </c>
      <c r="P105" s="1">
        <v>0</v>
      </c>
      <c r="Q105" s="1">
        <v>0</v>
      </c>
      <c r="R105" s="1">
        <v>0</v>
      </c>
      <c r="S105" s="1">
        <v>1</v>
      </c>
      <c r="T105" s="1">
        <v>0</v>
      </c>
    </row>
    <row r="106" spans="1:97" ht="12.75">
      <c r="A106" s="1">
        <v>7</v>
      </c>
      <c r="B106" s="1">
        <v>0</v>
      </c>
      <c r="C106" s="1">
        <v>0</v>
      </c>
      <c r="D106" s="1">
        <v>1</v>
      </c>
      <c r="E106" s="1">
        <v>0</v>
      </c>
      <c r="F106" s="1">
        <v>0</v>
      </c>
      <c r="G106" s="1">
        <v>0</v>
      </c>
      <c r="H106" s="1">
        <v>1</v>
      </c>
      <c r="I106" s="1">
        <v>0</v>
      </c>
      <c r="J106" s="1">
        <v>0</v>
      </c>
      <c r="K106" s="1">
        <v>1</v>
      </c>
      <c r="L106" s="1">
        <v>0</v>
      </c>
      <c r="M106" s="1">
        <v>0</v>
      </c>
      <c r="N106" s="1">
        <v>0</v>
      </c>
      <c r="O106" s="1">
        <v>0</v>
      </c>
      <c r="P106" s="1">
        <v>1</v>
      </c>
      <c r="Q106" s="1">
        <v>0</v>
      </c>
      <c r="R106" s="1">
        <v>0</v>
      </c>
      <c r="S106" s="1">
        <v>1</v>
      </c>
      <c r="T106" s="1">
        <v>1</v>
      </c>
    </row>
    <row r="107" spans="1:97" ht="12.75">
      <c r="A107" s="1">
        <v>8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1</v>
      </c>
      <c r="J107" s="1">
        <v>1</v>
      </c>
      <c r="K107" s="1">
        <v>1</v>
      </c>
      <c r="L107" s="1">
        <v>1</v>
      </c>
      <c r="M107" s="1">
        <v>1</v>
      </c>
      <c r="N107" s="1">
        <v>0</v>
      </c>
      <c r="O107" s="1">
        <v>0</v>
      </c>
      <c r="P107" s="1">
        <v>0</v>
      </c>
      <c r="Q107" s="1">
        <v>1</v>
      </c>
      <c r="R107" s="1">
        <v>0</v>
      </c>
      <c r="S107" s="1">
        <v>0</v>
      </c>
      <c r="T107" s="1">
        <v>0</v>
      </c>
    </row>
    <row r="108" spans="1:97" ht="12.75">
      <c r="A108" s="1">
        <v>9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1</v>
      </c>
      <c r="H108" s="1">
        <v>0</v>
      </c>
      <c r="I108" s="1">
        <v>1</v>
      </c>
      <c r="J108" s="1">
        <v>1</v>
      </c>
      <c r="K108" s="1">
        <v>1</v>
      </c>
      <c r="L108" s="1">
        <v>0</v>
      </c>
      <c r="M108" s="1">
        <v>1</v>
      </c>
      <c r="N108" s="1">
        <v>0</v>
      </c>
      <c r="O108" s="1">
        <v>1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</row>
    <row r="109" spans="1:97" ht="12.75">
      <c r="A109" s="1">
        <v>10</v>
      </c>
      <c r="B109" s="1">
        <v>0</v>
      </c>
      <c r="C109" s="1">
        <v>0</v>
      </c>
      <c r="D109" s="1">
        <v>0</v>
      </c>
      <c r="E109" s="1">
        <v>0</v>
      </c>
      <c r="F109" s="1">
        <v>0</v>
      </c>
      <c r="G109" s="1">
        <v>1</v>
      </c>
      <c r="H109" s="1">
        <v>1</v>
      </c>
      <c r="I109" s="1">
        <v>1</v>
      </c>
      <c r="J109" s="1">
        <v>1</v>
      </c>
      <c r="K109" s="1">
        <v>1</v>
      </c>
      <c r="L109" s="1">
        <v>0</v>
      </c>
      <c r="M109" s="1">
        <v>0</v>
      </c>
      <c r="N109" s="1">
        <v>0</v>
      </c>
      <c r="O109" s="1">
        <v>0</v>
      </c>
      <c r="P109" s="1">
        <v>1</v>
      </c>
      <c r="Q109" s="1">
        <v>1</v>
      </c>
      <c r="R109" s="1">
        <v>0</v>
      </c>
      <c r="S109" s="1">
        <v>1</v>
      </c>
      <c r="T109" s="1">
        <v>0</v>
      </c>
    </row>
    <row r="110" spans="1:97" ht="12.75">
      <c r="A110" s="1">
        <v>11</v>
      </c>
      <c r="B110" s="1">
        <v>0</v>
      </c>
      <c r="C110" s="1">
        <v>0</v>
      </c>
      <c r="D110" s="1">
        <v>0</v>
      </c>
      <c r="E110" s="1">
        <v>1</v>
      </c>
      <c r="F110" s="1">
        <v>1</v>
      </c>
      <c r="G110" s="1">
        <v>0</v>
      </c>
      <c r="H110" s="1">
        <v>0</v>
      </c>
      <c r="I110" s="1">
        <v>1</v>
      </c>
      <c r="J110" s="1">
        <v>0</v>
      </c>
      <c r="K110" s="1">
        <v>0</v>
      </c>
      <c r="L110" s="1">
        <v>1</v>
      </c>
      <c r="M110" s="1">
        <v>1</v>
      </c>
      <c r="N110" s="1">
        <v>0</v>
      </c>
      <c r="O110" s="1">
        <v>0</v>
      </c>
      <c r="P110" s="1">
        <v>0</v>
      </c>
      <c r="Q110" s="1">
        <v>1</v>
      </c>
      <c r="R110" s="1">
        <v>0</v>
      </c>
      <c r="S110" s="1">
        <v>0</v>
      </c>
      <c r="T110" s="1">
        <v>0</v>
      </c>
    </row>
    <row r="111" spans="1:97" ht="12.75">
      <c r="A111" s="1">
        <v>12</v>
      </c>
      <c r="B111" s="1">
        <v>0</v>
      </c>
      <c r="C111" s="1">
        <v>0</v>
      </c>
      <c r="D111" s="1">
        <v>0</v>
      </c>
      <c r="E111" s="1">
        <v>1</v>
      </c>
      <c r="F111" s="1">
        <v>0</v>
      </c>
      <c r="G111" s="1">
        <v>0</v>
      </c>
      <c r="H111" s="1">
        <v>0</v>
      </c>
      <c r="I111" s="1">
        <v>1</v>
      </c>
      <c r="J111" s="1">
        <v>1</v>
      </c>
      <c r="K111" s="1">
        <v>0</v>
      </c>
      <c r="L111" s="1">
        <v>1</v>
      </c>
      <c r="M111" s="1">
        <v>1</v>
      </c>
      <c r="N111" s="1">
        <v>0</v>
      </c>
      <c r="O111" s="1">
        <v>1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</row>
    <row r="112" spans="1:97" ht="12.75">
      <c r="A112" s="1">
        <v>13</v>
      </c>
      <c r="B112" s="1">
        <v>0</v>
      </c>
      <c r="C112" s="1">
        <v>0</v>
      </c>
      <c r="D112" s="1">
        <v>0</v>
      </c>
      <c r="E112" s="1">
        <v>0</v>
      </c>
      <c r="F112" s="1">
        <v>1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1</v>
      </c>
      <c r="O112" s="1">
        <v>0</v>
      </c>
      <c r="P112" s="1">
        <v>1</v>
      </c>
      <c r="Q112" s="1">
        <v>1</v>
      </c>
      <c r="R112" s="1">
        <v>0</v>
      </c>
      <c r="S112" s="1">
        <v>0</v>
      </c>
      <c r="T112" s="1">
        <v>0</v>
      </c>
    </row>
    <row r="113" spans="1:20" ht="12.75">
      <c r="A113" s="1">
        <v>14</v>
      </c>
      <c r="B113" s="1">
        <v>0</v>
      </c>
      <c r="C113" s="1">
        <v>0</v>
      </c>
      <c r="D113" s="1">
        <v>0</v>
      </c>
      <c r="E113" s="1">
        <v>1</v>
      </c>
      <c r="F113" s="1">
        <v>0</v>
      </c>
      <c r="G113" s="1">
        <v>1</v>
      </c>
      <c r="H113" s="1">
        <v>0</v>
      </c>
      <c r="I113" s="1">
        <v>0</v>
      </c>
      <c r="J113" s="1">
        <v>1</v>
      </c>
      <c r="K113" s="1">
        <v>0</v>
      </c>
      <c r="L113" s="1">
        <v>0</v>
      </c>
      <c r="M113" s="1">
        <v>1</v>
      </c>
      <c r="N113" s="1">
        <v>0</v>
      </c>
      <c r="O113" s="1">
        <v>1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</row>
    <row r="114" spans="1:20" ht="12.75">
      <c r="A114" s="1">
        <v>15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1</v>
      </c>
      <c r="I114" s="1">
        <v>0</v>
      </c>
      <c r="J114" s="1">
        <v>0</v>
      </c>
      <c r="K114" s="1">
        <v>1</v>
      </c>
      <c r="L114" s="1">
        <v>0</v>
      </c>
      <c r="M114" s="1">
        <v>0</v>
      </c>
      <c r="N114" s="1">
        <v>1</v>
      </c>
      <c r="O114" s="1">
        <v>0</v>
      </c>
      <c r="P114" s="1">
        <v>1</v>
      </c>
      <c r="Q114" s="1">
        <v>1</v>
      </c>
      <c r="R114" s="1">
        <v>0</v>
      </c>
      <c r="S114" s="1">
        <v>1</v>
      </c>
      <c r="T114" s="1">
        <v>1</v>
      </c>
    </row>
    <row r="115" spans="1:20" ht="12.75">
      <c r="A115" s="1">
        <v>16</v>
      </c>
      <c r="B115" s="1">
        <v>0</v>
      </c>
      <c r="C115" s="1">
        <v>0</v>
      </c>
      <c r="D115" s="1">
        <v>0</v>
      </c>
      <c r="E115" s="1">
        <v>0</v>
      </c>
      <c r="F115" s="1">
        <v>1</v>
      </c>
      <c r="G115" s="1">
        <v>0</v>
      </c>
      <c r="H115" s="1">
        <v>0</v>
      </c>
      <c r="I115" s="1">
        <v>1</v>
      </c>
      <c r="J115" s="1">
        <v>0</v>
      </c>
      <c r="K115" s="1">
        <v>1</v>
      </c>
      <c r="L115" s="1">
        <v>1</v>
      </c>
      <c r="M115" s="1">
        <v>0</v>
      </c>
      <c r="N115" s="1">
        <v>1</v>
      </c>
      <c r="O115" s="1">
        <v>0</v>
      </c>
      <c r="P115" s="1">
        <v>1</v>
      </c>
      <c r="Q115" s="1">
        <v>1</v>
      </c>
      <c r="R115" s="1">
        <v>0</v>
      </c>
      <c r="S115" s="1">
        <v>0</v>
      </c>
      <c r="T115" s="1">
        <v>0</v>
      </c>
    </row>
    <row r="116" spans="1:20" ht="12.75">
      <c r="A116" s="1">
        <v>17</v>
      </c>
      <c r="B116" s="1">
        <v>0</v>
      </c>
      <c r="C116" s="1">
        <v>1</v>
      </c>
      <c r="D116" s="1">
        <v>1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1</v>
      </c>
      <c r="S116" s="1">
        <v>1</v>
      </c>
      <c r="T116" s="1">
        <v>0</v>
      </c>
    </row>
    <row r="117" spans="1:20" ht="12.75">
      <c r="A117" s="1">
        <v>18</v>
      </c>
      <c r="B117" s="1">
        <v>0</v>
      </c>
      <c r="C117" s="1">
        <v>0</v>
      </c>
      <c r="D117" s="1">
        <v>1</v>
      </c>
      <c r="E117" s="1">
        <v>0</v>
      </c>
      <c r="F117" s="1">
        <v>0</v>
      </c>
      <c r="G117" s="1">
        <v>1</v>
      </c>
      <c r="H117" s="1">
        <v>1</v>
      </c>
      <c r="I117" s="1">
        <v>0</v>
      </c>
      <c r="J117" s="1">
        <v>0</v>
      </c>
      <c r="K117" s="1">
        <v>1</v>
      </c>
      <c r="L117" s="1">
        <v>0</v>
      </c>
      <c r="M117" s="1">
        <v>0</v>
      </c>
      <c r="N117" s="1">
        <v>0</v>
      </c>
      <c r="O117" s="1">
        <v>0</v>
      </c>
      <c r="P117" s="1">
        <v>1</v>
      </c>
      <c r="Q117" s="1">
        <v>0</v>
      </c>
      <c r="R117" s="1">
        <v>1</v>
      </c>
      <c r="S117" s="1">
        <v>1</v>
      </c>
      <c r="T117" s="1">
        <v>0</v>
      </c>
    </row>
    <row r="118" spans="1:20" ht="12.75">
      <c r="A118" s="1">
        <v>19</v>
      </c>
      <c r="B118" s="1">
        <v>0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1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1</v>
      </c>
      <c r="Q118" s="1">
        <v>0</v>
      </c>
      <c r="R118" s="1">
        <v>0</v>
      </c>
      <c r="S118" s="1">
        <v>0</v>
      </c>
      <c r="T118" s="1">
        <v>1</v>
      </c>
    </row>
    <row r="159" spans="2:2" ht="12.75">
      <c r="B159" s="1"/>
    </row>
    <row r="196" spans="1:20" ht="12.75">
      <c r="B196" s="51"/>
      <c r="C196" s="51"/>
      <c r="D196" s="51"/>
      <c r="E196" s="51"/>
      <c r="F196" s="51"/>
      <c r="G196" s="51"/>
      <c r="H196" s="51"/>
      <c r="I196" s="51"/>
      <c r="J196" s="51"/>
      <c r="K196" s="51"/>
      <c r="L196" s="51"/>
      <c r="M196" s="51"/>
      <c r="N196" s="51"/>
      <c r="O196" s="51"/>
      <c r="P196" s="51"/>
      <c r="Q196" s="51"/>
      <c r="R196" s="51"/>
      <c r="S196" s="51"/>
      <c r="T196" s="51"/>
    </row>
    <row r="197" spans="1:20" ht="12.75">
      <c r="A197" s="51"/>
      <c r="B197" s="51"/>
      <c r="C197" s="51"/>
      <c r="D197" s="51"/>
      <c r="E197" s="51"/>
      <c r="F197" s="51"/>
      <c r="G197" s="51"/>
      <c r="H197" s="51"/>
      <c r="I197" s="51"/>
      <c r="J197" s="51"/>
      <c r="K197" s="51"/>
      <c r="L197" s="51"/>
      <c r="M197" s="51"/>
      <c r="N197" s="51"/>
      <c r="O197" s="51"/>
      <c r="P197" s="51"/>
      <c r="Q197" s="51"/>
      <c r="R197" s="51"/>
      <c r="S197" s="51"/>
      <c r="T197" s="51"/>
    </row>
    <row r="198" spans="1:20" ht="12.75">
      <c r="A198" s="51"/>
      <c r="B198" s="51"/>
      <c r="C198" s="51"/>
      <c r="D198" s="51"/>
      <c r="E198" s="51"/>
      <c r="F198" s="51"/>
      <c r="G198" s="51"/>
      <c r="H198" s="51"/>
      <c r="I198" s="51"/>
      <c r="J198" s="51"/>
      <c r="K198" s="51"/>
      <c r="L198" s="51"/>
      <c r="N198" s="51"/>
      <c r="O198" s="51"/>
      <c r="P198" s="51"/>
      <c r="Q198" s="51"/>
      <c r="R198" s="51"/>
      <c r="S198" s="51"/>
      <c r="T198" s="51"/>
    </row>
    <row r="199" spans="1:20" ht="12.75">
      <c r="A199" s="51"/>
      <c r="B199" s="51"/>
      <c r="C199" s="51"/>
      <c r="D199" s="51"/>
      <c r="E199" s="51"/>
      <c r="F199" s="51"/>
      <c r="G199" s="51"/>
      <c r="H199" s="51"/>
      <c r="I199" s="51"/>
      <c r="J199" s="51"/>
      <c r="K199" s="51"/>
      <c r="L199" s="51"/>
      <c r="M199" s="51"/>
      <c r="N199" s="51"/>
      <c r="O199" s="51"/>
      <c r="P199" s="51"/>
      <c r="Q199" s="51"/>
      <c r="R199" s="51"/>
      <c r="S199" s="51"/>
      <c r="T199" s="51"/>
    </row>
    <row r="200" spans="1:20" ht="12.75">
      <c r="A200" s="51"/>
      <c r="B200" s="51"/>
      <c r="C200" s="51"/>
      <c r="D200" s="51"/>
      <c r="E200" s="51"/>
      <c r="F200" s="51"/>
      <c r="G200" s="51"/>
      <c r="H200" s="51"/>
      <c r="I200" s="51"/>
      <c r="J200" s="51"/>
      <c r="K200" s="51"/>
      <c r="L200" s="51"/>
      <c r="M200" s="51"/>
      <c r="N200" s="51"/>
      <c r="O200" s="51"/>
      <c r="P200" s="51"/>
      <c r="Q200" s="51"/>
      <c r="R200" s="51"/>
      <c r="S200" s="51"/>
      <c r="T200" s="51"/>
    </row>
    <row r="201" spans="1:20" ht="12.75">
      <c r="A201" s="51"/>
      <c r="B201" s="51"/>
      <c r="C201" s="51"/>
      <c r="D201" s="51"/>
      <c r="E201" s="51"/>
      <c r="F201" s="51"/>
      <c r="G201" s="51"/>
      <c r="H201" s="51"/>
      <c r="I201" s="51"/>
      <c r="J201" s="51"/>
      <c r="K201" s="51"/>
      <c r="L201" s="51"/>
      <c r="M201" s="51"/>
      <c r="N201" s="51"/>
      <c r="O201" s="51"/>
      <c r="P201" s="51"/>
      <c r="Q201" s="51"/>
      <c r="R201" s="51"/>
      <c r="S201" s="51"/>
      <c r="T201" s="51"/>
    </row>
    <row r="202" spans="1:20" ht="12.75">
      <c r="A202" s="51"/>
      <c r="B202" s="51"/>
      <c r="C202" s="51"/>
      <c r="D202" s="51"/>
      <c r="E202" s="51"/>
      <c r="F202" s="51"/>
      <c r="G202" s="51"/>
      <c r="H202" s="51"/>
      <c r="I202" s="51"/>
      <c r="J202" s="51"/>
      <c r="K202" s="51"/>
      <c r="L202" s="51"/>
      <c r="M202" s="51"/>
      <c r="N202" s="51"/>
      <c r="O202" s="51"/>
      <c r="P202" s="51"/>
      <c r="Q202" s="51"/>
      <c r="R202" s="51"/>
      <c r="S202" s="51"/>
      <c r="T202" s="51"/>
    </row>
    <row r="203" spans="1:20" ht="12.75">
      <c r="A203" s="51"/>
      <c r="B203" s="51"/>
      <c r="C203" s="51"/>
      <c r="D203" s="51"/>
      <c r="E203" s="51"/>
      <c r="F203" s="51"/>
      <c r="G203" s="51"/>
      <c r="H203" s="51"/>
      <c r="I203" s="51"/>
      <c r="J203" s="51"/>
      <c r="K203" s="51"/>
      <c r="L203" s="51"/>
      <c r="M203" s="51"/>
      <c r="N203" s="51"/>
      <c r="O203" s="51"/>
      <c r="P203" s="51"/>
      <c r="Q203" s="51"/>
      <c r="R203" s="51"/>
      <c r="S203" s="51"/>
      <c r="T203" s="51"/>
    </row>
    <row r="204" spans="1:20" ht="12.75">
      <c r="A204" s="51"/>
      <c r="B204" s="51"/>
      <c r="C204" s="51"/>
      <c r="D204" s="51"/>
      <c r="E204" s="51"/>
      <c r="F204" s="51"/>
      <c r="G204" s="51"/>
      <c r="H204" s="51"/>
      <c r="I204" s="51"/>
      <c r="J204" s="51"/>
      <c r="K204" s="51"/>
      <c r="L204" s="51"/>
      <c r="M204" s="51"/>
      <c r="N204" s="51"/>
      <c r="O204" s="51"/>
      <c r="P204" s="51"/>
      <c r="Q204" s="51"/>
      <c r="R204" s="51"/>
      <c r="S204" s="51"/>
      <c r="T204" s="51"/>
    </row>
    <row r="205" spans="1:20" ht="12.75">
      <c r="A205" s="51"/>
      <c r="B205" s="51"/>
      <c r="C205" s="51"/>
      <c r="D205" s="51"/>
      <c r="E205" s="51"/>
      <c r="F205" s="51"/>
      <c r="G205" s="51"/>
      <c r="H205" s="51"/>
      <c r="I205" s="51"/>
      <c r="J205" s="51"/>
      <c r="K205" s="51"/>
      <c r="L205" s="51"/>
      <c r="M205" s="51"/>
      <c r="N205" s="51"/>
      <c r="O205" s="51"/>
      <c r="P205" s="51"/>
      <c r="Q205" s="51"/>
      <c r="R205" s="51"/>
      <c r="S205" s="51"/>
      <c r="T205" s="51"/>
    </row>
    <row r="206" spans="1:20" ht="12.75">
      <c r="A206" s="51"/>
      <c r="B206" s="51"/>
      <c r="C206" s="51"/>
      <c r="D206" s="51"/>
      <c r="E206" s="51"/>
      <c r="F206" s="51"/>
      <c r="G206" s="51"/>
      <c r="H206" s="51"/>
      <c r="I206" s="51"/>
      <c r="J206" s="51"/>
      <c r="K206" s="51"/>
      <c r="L206" s="51"/>
      <c r="M206" s="51"/>
      <c r="N206" s="51"/>
      <c r="O206" s="51"/>
      <c r="P206" s="51"/>
      <c r="Q206" s="51"/>
      <c r="R206" s="51"/>
      <c r="S206" s="51"/>
      <c r="T206" s="51"/>
    </row>
    <row r="207" spans="1:20" ht="12.75">
      <c r="A207" s="51"/>
      <c r="B207" s="51"/>
      <c r="C207" s="51"/>
      <c r="D207" s="51"/>
      <c r="E207" s="51"/>
      <c r="F207" s="51"/>
      <c r="G207" s="51"/>
      <c r="H207" s="51"/>
      <c r="I207" s="51"/>
      <c r="J207" s="51"/>
      <c r="K207" s="51"/>
      <c r="L207" s="51"/>
      <c r="M207" s="51"/>
      <c r="N207" s="51"/>
      <c r="O207" s="51"/>
      <c r="P207" s="51"/>
      <c r="Q207" s="51"/>
      <c r="R207" s="51"/>
      <c r="S207" s="51"/>
      <c r="T207" s="51"/>
    </row>
    <row r="208" spans="1:20" ht="12.75">
      <c r="A208" s="51"/>
      <c r="B208" s="51"/>
      <c r="C208" s="51"/>
      <c r="D208" s="51"/>
      <c r="E208" s="51"/>
      <c r="F208" s="51"/>
      <c r="G208" s="51"/>
      <c r="H208" s="51"/>
      <c r="I208" s="51"/>
      <c r="J208" s="51"/>
      <c r="K208" s="51"/>
      <c r="L208" s="51"/>
      <c r="M208" s="51"/>
      <c r="N208" s="51"/>
      <c r="O208" s="51"/>
      <c r="P208" s="51"/>
      <c r="Q208" s="51"/>
      <c r="R208" s="51"/>
      <c r="S208" s="51"/>
      <c r="T208" s="51"/>
    </row>
    <row r="209" spans="1:22" ht="12.75">
      <c r="A209" s="51"/>
      <c r="E209" s="1"/>
      <c r="J209" s="1"/>
      <c r="R209" s="1"/>
      <c r="S209" s="1"/>
      <c r="T209" s="1"/>
    </row>
    <row r="210" spans="1:22" ht="12.75">
      <c r="A210" s="51"/>
      <c r="B210" s="51"/>
      <c r="C210" s="51"/>
      <c r="D210" s="51"/>
      <c r="E210" s="51"/>
      <c r="F210" s="51"/>
      <c r="G210" s="51"/>
      <c r="H210" s="51"/>
      <c r="I210" s="51"/>
      <c r="J210" s="51"/>
      <c r="K210" s="51"/>
      <c r="L210" s="51"/>
      <c r="M210" s="51"/>
      <c r="N210" s="51"/>
      <c r="O210" s="51"/>
      <c r="P210" s="51"/>
      <c r="Q210" s="51"/>
      <c r="R210" s="51"/>
      <c r="S210" s="51"/>
      <c r="T210" s="51"/>
    </row>
    <row r="211" spans="1:22" ht="12.75">
      <c r="A211" s="51"/>
      <c r="B211" s="51"/>
      <c r="C211" s="51"/>
      <c r="D211" s="51"/>
      <c r="E211" s="51"/>
      <c r="F211" s="51"/>
      <c r="G211" s="51"/>
      <c r="H211" s="51"/>
      <c r="I211" s="51"/>
      <c r="J211" s="51"/>
      <c r="K211" s="51"/>
      <c r="L211" s="51"/>
      <c r="M211" s="51"/>
      <c r="N211" s="51"/>
      <c r="O211" s="51"/>
      <c r="P211" s="51"/>
      <c r="Q211" s="51"/>
      <c r="R211" s="51"/>
      <c r="S211" s="51"/>
      <c r="T211" s="51"/>
    </row>
    <row r="212" spans="1:22" ht="12.75">
      <c r="A212" s="51"/>
      <c r="B212" s="51"/>
      <c r="C212" s="51"/>
      <c r="D212" s="51"/>
      <c r="E212" s="51"/>
      <c r="F212" s="51"/>
      <c r="G212" s="51"/>
      <c r="H212" s="51"/>
      <c r="I212" s="51"/>
      <c r="J212" s="51"/>
      <c r="K212" s="51"/>
      <c r="L212" s="51"/>
      <c r="M212" s="51"/>
      <c r="N212" s="51"/>
      <c r="O212" s="51"/>
      <c r="P212" s="51"/>
      <c r="Q212" s="51"/>
      <c r="R212" s="51"/>
      <c r="S212" s="51"/>
      <c r="T212" s="51"/>
    </row>
    <row r="213" spans="1:22" ht="12.75">
      <c r="A213" s="51"/>
      <c r="B213" s="51"/>
      <c r="C213" s="51"/>
      <c r="D213" s="51"/>
      <c r="E213" s="51"/>
      <c r="F213" s="51"/>
      <c r="G213" s="51"/>
      <c r="H213" s="51"/>
      <c r="I213" s="51"/>
      <c r="J213" s="51"/>
      <c r="K213" s="51"/>
      <c r="L213" s="51"/>
      <c r="M213" s="51"/>
      <c r="N213" s="51"/>
      <c r="O213" s="51"/>
      <c r="P213" s="51"/>
      <c r="Q213" s="51"/>
      <c r="R213" s="51"/>
      <c r="S213" s="51"/>
      <c r="T213" s="51"/>
    </row>
    <row r="214" spans="1:22" ht="12.75">
      <c r="A214" s="51"/>
      <c r="B214" s="51"/>
      <c r="C214" s="51"/>
      <c r="D214" s="51"/>
      <c r="E214" s="51"/>
      <c r="F214" s="51"/>
      <c r="G214" s="51"/>
      <c r="H214" s="51"/>
      <c r="I214" s="51"/>
      <c r="J214" s="51"/>
      <c r="K214" s="51"/>
      <c r="L214" s="51"/>
      <c r="M214" s="51"/>
      <c r="N214" s="51"/>
      <c r="O214" s="51"/>
      <c r="P214" s="51"/>
      <c r="Q214" s="51"/>
      <c r="R214" s="51"/>
      <c r="S214" s="51"/>
      <c r="T214" s="51"/>
    </row>
    <row r="215" spans="1:22" ht="12.75">
      <c r="A215" s="51"/>
      <c r="B215" s="51"/>
      <c r="C215" s="51"/>
      <c r="D215" s="51"/>
      <c r="E215" s="51"/>
      <c r="F215" s="51"/>
      <c r="G215" s="51"/>
      <c r="H215" s="51"/>
      <c r="I215" s="51"/>
      <c r="J215" s="51"/>
      <c r="K215" s="51"/>
      <c r="L215" s="51"/>
      <c r="M215" s="51"/>
      <c r="N215" s="51"/>
      <c r="O215" s="51"/>
      <c r="P215" s="51"/>
      <c r="Q215" s="51"/>
      <c r="R215" s="51"/>
      <c r="S215" s="51"/>
      <c r="T215" s="51"/>
    </row>
    <row r="217" spans="1:22" ht="12.75">
      <c r="B217" s="1">
        <v>1</v>
      </c>
      <c r="C217" s="1">
        <v>2</v>
      </c>
      <c r="D217" s="1">
        <v>3</v>
      </c>
      <c r="E217" s="1">
        <v>4</v>
      </c>
      <c r="F217" s="1">
        <v>5</v>
      </c>
      <c r="G217" s="1">
        <v>6</v>
      </c>
      <c r="H217" s="1">
        <v>7</v>
      </c>
      <c r="I217" s="1">
        <v>8</v>
      </c>
      <c r="J217" s="1">
        <v>9</v>
      </c>
      <c r="K217" s="1">
        <v>10</v>
      </c>
      <c r="L217" s="1">
        <v>11</v>
      </c>
      <c r="M217" s="1">
        <v>12</v>
      </c>
      <c r="N217" s="1">
        <v>13</v>
      </c>
      <c r="O217" s="1">
        <v>14</v>
      </c>
      <c r="P217" s="1">
        <v>15</v>
      </c>
      <c r="Q217" s="1">
        <v>16</v>
      </c>
      <c r="R217" s="1">
        <v>17</v>
      </c>
      <c r="S217" s="1">
        <v>18</v>
      </c>
      <c r="T217" s="1">
        <v>19</v>
      </c>
    </row>
    <row r="218" spans="1:22" ht="12.75">
      <c r="A218" s="1">
        <v>1</v>
      </c>
      <c r="B218">
        <v>1</v>
      </c>
      <c r="G218">
        <v>1</v>
      </c>
      <c r="U218">
        <f t="shared" ref="U218:U236" si="0">SUM(B218:T218)</f>
        <v>2</v>
      </c>
      <c r="V218">
        <f t="array" ref="V218:V236">TRANSPOSE(B237:T237)</f>
        <v>2</v>
      </c>
    </row>
    <row r="219" spans="1:22" ht="12.75">
      <c r="A219" s="1">
        <v>2</v>
      </c>
      <c r="C219">
        <v>1</v>
      </c>
      <c r="R219">
        <v>1</v>
      </c>
      <c r="U219">
        <f t="shared" si="0"/>
        <v>2</v>
      </c>
      <c r="V219">
        <v>2</v>
      </c>
    </row>
    <row r="220" spans="1:22" ht="12.75">
      <c r="A220" s="1">
        <v>3</v>
      </c>
      <c r="D220">
        <v>1</v>
      </c>
      <c r="H220">
        <v>1</v>
      </c>
      <c r="R220">
        <v>1</v>
      </c>
      <c r="S220">
        <v>1</v>
      </c>
      <c r="U220">
        <f t="shared" si="0"/>
        <v>4</v>
      </c>
      <c r="V220">
        <v>4</v>
      </c>
    </row>
    <row r="221" spans="1:22" ht="12.75">
      <c r="A221" s="1">
        <v>4</v>
      </c>
      <c r="E221">
        <v>1</v>
      </c>
      <c r="L221">
        <v>1</v>
      </c>
      <c r="M221">
        <v>1</v>
      </c>
      <c r="O221">
        <v>1</v>
      </c>
      <c r="U221">
        <f t="shared" si="0"/>
        <v>4</v>
      </c>
      <c r="V221">
        <v>4</v>
      </c>
    </row>
    <row r="222" spans="1:22" ht="12.75">
      <c r="A222" s="1">
        <v>5</v>
      </c>
      <c r="F222">
        <v>1</v>
      </c>
      <c r="L222">
        <v>1</v>
      </c>
      <c r="N222">
        <v>1</v>
      </c>
      <c r="Q222">
        <v>1</v>
      </c>
      <c r="U222">
        <f t="shared" si="0"/>
        <v>4</v>
      </c>
      <c r="V222">
        <v>4</v>
      </c>
    </row>
    <row r="223" spans="1:22" ht="12.75">
      <c r="A223" s="1">
        <v>6</v>
      </c>
      <c r="B223">
        <v>1</v>
      </c>
      <c r="G223">
        <v>1</v>
      </c>
      <c r="J223">
        <v>1</v>
      </c>
      <c r="K223">
        <v>1</v>
      </c>
      <c r="O223">
        <v>1</v>
      </c>
      <c r="S223">
        <v>1</v>
      </c>
      <c r="U223">
        <f t="shared" si="0"/>
        <v>6</v>
      </c>
      <c r="V223">
        <v>6</v>
      </c>
    </row>
    <row r="224" spans="1:22" ht="12.75">
      <c r="A224" s="1">
        <v>7</v>
      </c>
      <c r="D224">
        <v>1</v>
      </c>
      <c r="H224">
        <v>1</v>
      </c>
      <c r="K224">
        <v>1</v>
      </c>
      <c r="P224">
        <v>1</v>
      </c>
      <c r="S224">
        <v>1</v>
      </c>
      <c r="T224">
        <v>1</v>
      </c>
      <c r="U224">
        <f t="shared" si="0"/>
        <v>6</v>
      </c>
      <c r="V224">
        <v>6</v>
      </c>
    </row>
    <row r="225" spans="1:22" ht="12.75">
      <c r="A225" s="1">
        <v>8</v>
      </c>
      <c r="I225">
        <v>1</v>
      </c>
      <c r="J225">
        <v>1</v>
      </c>
      <c r="K225">
        <v>1</v>
      </c>
      <c r="L225">
        <v>1</v>
      </c>
      <c r="M225">
        <v>1</v>
      </c>
      <c r="Q225">
        <v>1</v>
      </c>
      <c r="U225">
        <f t="shared" si="0"/>
        <v>6</v>
      </c>
      <c r="V225">
        <v>6</v>
      </c>
    </row>
    <row r="226" spans="1:22" ht="12.75">
      <c r="A226" s="1">
        <v>9</v>
      </c>
      <c r="G226">
        <v>1</v>
      </c>
      <c r="I226">
        <v>1</v>
      </c>
      <c r="J226">
        <v>1</v>
      </c>
      <c r="K226">
        <v>1</v>
      </c>
      <c r="M226">
        <v>1</v>
      </c>
      <c r="O226">
        <v>1</v>
      </c>
      <c r="U226">
        <f t="shared" si="0"/>
        <v>6</v>
      </c>
      <c r="V226">
        <v>6</v>
      </c>
    </row>
    <row r="227" spans="1:22" ht="12.75">
      <c r="A227" s="1">
        <v>10</v>
      </c>
      <c r="G227">
        <v>1</v>
      </c>
      <c r="H227">
        <v>1</v>
      </c>
      <c r="I227">
        <v>1</v>
      </c>
      <c r="J227">
        <v>1</v>
      </c>
      <c r="K227">
        <v>1</v>
      </c>
      <c r="P227">
        <v>1</v>
      </c>
      <c r="Q227">
        <v>1</v>
      </c>
      <c r="S227">
        <v>1</v>
      </c>
      <c r="U227">
        <f t="shared" si="0"/>
        <v>8</v>
      </c>
      <c r="V227">
        <v>8</v>
      </c>
    </row>
    <row r="228" spans="1:22" ht="12.75">
      <c r="A228" s="1">
        <v>11</v>
      </c>
      <c r="E228">
        <v>1</v>
      </c>
      <c r="F228">
        <v>1</v>
      </c>
      <c r="I228">
        <v>1</v>
      </c>
      <c r="L228">
        <v>1</v>
      </c>
      <c r="M228">
        <v>1</v>
      </c>
      <c r="Q228">
        <v>1</v>
      </c>
      <c r="U228">
        <f t="shared" si="0"/>
        <v>6</v>
      </c>
      <c r="V228">
        <v>6</v>
      </c>
    </row>
    <row r="229" spans="1:22" ht="12.75">
      <c r="A229" s="1">
        <v>12</v>
      </c>
      <c r="E229">
        <v>1</v>
      </c>
      <c r="I229">
        <v>1</v>
      </c>
      <c r="J229">
        <v>1</v>
      </c>
      <c r="L229">
        <v>1</v>
      </c>
      <c r="M229">
        <v>1</v>
      </c>
      <c r="O229">
        <v>1</v>
      </c>
      <c r="U229">
        <f t="shared" si="0"/>
        <v>6</v>
      </c>
      <c r="V229">
        <v>6</v>
      </c>
    </row>
    <row r="230" spans="1:22" ht="12.75">
      <c r="A230" s="1">
        <v>13</v>
      </c>
      <c r="F230">
        <v>1</v>
      </c>
      <c r="N230">
        <v>1</v>
      </c>
      <c r="P230">
        <v>1</v>
      </c>
      <c r="Q230">
        <v>1</v>
      </c>
      <c r="U230">
        <f t="shared" si="0"/>
        <v>4</v>
      </c>
      <c r="V230">
        <v>4</v>
      </c>
    </row>
    <row r="231" spans="1:22" ht="12.75">
      <c r="A231" s="1">
        <v>14</v>
      </c>
      <c r="E231">
        <v>1</v>
      </c>
      <c r="G231">
        <v>1</v>
      </c>
      <c r="J231">
        <v>1</v>
      </c>
      <c r="M231">
        <v>1</v>
      </c>
      <c r="O231">
        <v>1</v>
      </c>
      <c r="U231">
        <f t="shared" si="0"/>
        <v>5</v>
      </c>
      <c r="V231">
        <v>5</v>
      </c>
    </row>
    <row r="232" spans="1:22" ht="12.75">
      <c r="A232" s="1">
        <v>15</v>
      </c>
      <c r="H232">
        <v>1</v>
      </c>
      <c r="K232">
        <v>1</v>
      </c>
      <c r="N232">
        <v>1</v>
      </c>
      <c r="P232">
        <v>1</v>
      </c>
      <c r="Q232">
        <v>1</v>
      </c>
      <c r="S232">
        <v>1</v>
      </c>
      <c r="T232">
        <v>1</v>
      </c>
      <c r="U232">
        <f t="shared" si="0"/>
        <v>7</v>
      </c>
      <c r="V232">
        <v>7</v>
      </c>
    </row>
    <row r="233" spans="1:22" ht="12.75">
      <c r="A233" s="1">
        <v>16</v>
      </c>
      <c r="F233">
        <v>1</v>
      </c>
      <c r="I233">
        <v>1</v>
      </c>
      <c r="K233">
        <v>1</v>
      </c>
      <c r="L233">
        <v>1</v>
      </c>
      <c r="N233">
        <v>1</v>
      </c>
      <c r="P233">
        <v>1</v>
      </c>
      <c r="Q233">
        <v>1</v>
      </c>
      <c r="U233">
        <f t="shared" si="0"/>
        <v>7</v>
      </c>
      <c r="V233">
        <v>7</v>
      </c>
    </row>
    <row r="234" spans="1:22" ht="12.75">
      <c r="A234" s="1">
        <v>17</v>
      </c>
      <c r="C234">
        <v>1</v>
      </c>
      <c r="D234">
        <v>1</v>
      </c>
      <c r="R234">
        <v>1</v>
      </c>
      <c r="S234">
        <v>1</v>
      </c>
      <c r="U234">
        <f t="shared" si="0"/>
        <v>4</v>
      </c>
      <c r="V234">
        <v>4</v>
      </c>
    </row>
    <row r="235" spans="1:22" ht="12.75">
      <c r="A235" s="1">
        <v>18</v>
      </c>
      <c r="D235">
        <v>1</v>
      </c>
      <c r="G235">
        <v>1</v>
      </c>
      <c r="H235">
        <v>1</v>
      </c>
      <c r="K235">
        <v>1</v>
      </c>
      <c r="P235">
        <v>1</v>
      </c>
      <c r="R235">
        <v>1</v>
      </c>
      <c r="S235">
        <v>1</v>
      </c>
      <c r="U235">
        <f t="shared" si="0"/>
        <v>7</v>
      </c>
      <c r="V235">
        <v>7</v>
      </c>
    </row>
    <row r="236" spans="1:22" ht="12.75">
      <c r="A236" s="1">
        <v>19</v>
      </c>
      <c r="H236">
        <v>1</v>
      </c>
      <c r="P236">
        <v>1</v>
      </c>
      <c r="T236">
        <v>1</v>
      </c>
      <c r="U236">
        <f t="shared" si="0"/>
        <v>3</v>
      </c>
      <c r="V236">
        <v>3</v>
      </c>
    </row>
    <row r="237" spans="1:22" ht="12.75">
      <c r="B237">
        <v>2</v>
      </c>
      <c r="C237">
        <v>2</v>
      </c>
      <c r="D237">
        <v>4</v>
      </c>
      <c r="E237">
        <v>4</v>
      </c>
      <c r="F237">
        <v>4</v>
      </c>
      <c r="G237">
        <v>6</v>
      </c>
      <c r="H237">
        <v>6</v>
      </c>
      <c r="I237">
        <v>6</v>
      </c>
      <c r="J237">
        <v>6</v>
      </c>
      <c r="K237">
        <v>8</v>
      </c>
      <c r="L237">
        <v>6</v>
      </c>
      <c r="M237">
        <v>6</v>
      </c>
      <c r="N237">
        <v>4</v>
      </c>
      <c r="O237">
        <v>5</v>
      </c>
      <c r="P237">
        <v>7</v>
      </c>
      <c r="Q237">
        <v>7</v>
      </c>
      <c r="R237">
        <v>4</v>
      </c>
      <c r="S237">
        <v>7</v>
      </c>
      <c r="T237">
        <v>3</v>
      </c>
    </row>
  </sheetData>
  <conditionalFormatting sqref="B196:T215">
    <cfRule type="colorScale" priority="2">
      <colorScale>
        <cfvo type="min"/>
        <cfvo type="max"/>
        <color rgb="FF57BB8A"/>
        <color rgb="FFFFFFFF"/>
      </colorScale>
    </cfRule>
  </conditionalFormatting>
  <conditionalFormatting sqref="D98">
    <cfRule type="colorScale" priority="1">
      <colorScale>
        <cfvo type="min"/>
        <cfvo type="max"/>
        <color rgb="FF57BB8A"/>
        <color rgb="FFFFFFFF"/>
      </colorScale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Z1001"/>
  <sheetViews>
    <sheetView workbookViewId="0"/>
  </sheetViews>
  <sheetFormatPr defaultColWidth="14.42578125" defaultRowHeight="15.75" customHeight="1"/>
  <cols>
    <col min="1" max="1" width="22.28515625" customWidth="1"/>
    <col min="2" max="2" width="23.28515625" customWidth="1"/>
    <col min="3" max="3" width="24.140625" customWidth="1"/>
    <col min="4" max="4" width="22.5703125" customWidth="1"/>
    <col min="5" max="5" width="22.85546875" customWidth="1"/>
    <col min="6" max="7" width="22.42578125" customWidth="1"/>
    <col min="8" max="8" width="14" customWidth="1"/>
    <col min="11" max="11" width="14.7109375" customWidth="1"/>
    <col min="12" max="12" width="14.5703125" customWidth="1"/>
    <col min="13" max="13" width="18.42578125" customWidth="1"/>
    <col min="14" max="14" width="12.5703125" customWidth="1"/>
    <col min="15" max="15" width="13.140625" customWidth="1"/>
    <col min="16" max="16" width="15.28515625" customWidth="1"/>
    <col min="17" max="17" width="21.42578125" customWidth="1"/>
    <col min="18" max="18" width="19.85546875" customWidth="1"/>
    <col min="19" max="19" width="22.140625" customWidth="1"/>
    <col min="20" max="20" width="18.28515625" customWidth="1"/>
    <col min="21" max="21" width="12.7109375" customWidth="1"/>
    <col min="22" max="22" width="12.140625" customWidth="1"/>
    <col min="23" max="23" width="11" customWidth="1"/>
    <col min="24" max="24" width="9.5703125" customWidth="1"/>
    <col min="25" max="25" width="10.5703125" customWidth="1"/>
    <col min="26" max="26" width="9" customWidth="1"/>
  </cols>
  <sheetData>
    <row r="1" spans="1:26">
      <c r="A1" s="75" t="s">
        <v>641</v>
      </c>
      <c r="B1" s="76" t="s">
        <v>82</v>
      </c>
      <c r="C1" s="76" t="s">
        <v>235</v>
      </c>
      <c r="D1" s="76" t="s">
        <v>911</v>
      </c>
      <c r="E1" s="76" t="s">
        <v>81</v>
      </c>
      <c r="F1" s="76" t="s">
        <v>234</v>
      </c>
      <c r="G1" s="76" t="s">
        <v>238</v>
      </c>
      <c r="H1" s="76" t="s">
        <v>45</v>
      </c>
      <c r="I1" s="76" t="s">
        <v>208</v>
      </c>
      <c r="J1" s="76" t="s">
        <v>216</v>
      </c>
      <c r="K1" s="76" t="s">
        <v>225</v>
      </c>
      <c r="L1" s="76" t="s">
        <v>78</v>
      </c>
      <c r="M1" s="76" t="s">
        <v>148</v>
      </c>
      <c r="N1" s="76" t="s">
        <v>212</v>
      </c>
      <c r="O1" s="76" t="s">
        <v>59</v>
      </c>
      <c r="P1" s="76" t="s">
        <v>205</v>
      </c>
      <c r="Q1" s="76" t="s">
        <v>220</v>
      </c>
      <c r="R1" s="76" t="s">
        <v>232</v>
      </c>
      <c r="S1" s="76" t="s">
        <v>228</v>
      </c>
      <c r="T1" s="76" t="s">
        <v>222</v>
      </c>
      <c r="U1" s="77" t="s">
        <v>912</v>
      </c>
      <c r="V1" s="78" t="s">
        <v>913</v>
      </c>
      <c r="W1" s="79" t="s">
        <v>914</v>
      </c>
      <c r="X1" s="80" t="s">
        <v>589</v>
      </c>
      <c r="Y1" s="81" t="s">
        <v>915</v>
      </c>
      <c r="Z1" s="82" t="s">
        <v>916</v>
      </c>
    </row>
    <row r="2" spans="1:26" ht="15.75" customHeight="1">
      <c r="A2" s="83" t="s">
        <v>917</v>
      </c>
      <c r="B2" s="84">
        <v>1819</v>
      </c>
      <c r="C2" s="84">
        <v>1227</v>
      </c>
      <c r="D2" s="84">
        <v>1902</v>
      </c>
      <c r="E2" s="84">
        <v>1479</v>
      </c>
      <c r="F2" s="84">
        <v>1497</v>
      </c>
      <c r="G2" s="84">
        <v>1494</v>
      </c>
      <c r="H2" s="84">
        <v>1263</v>
      </c>
      <c r="I2" s="84">
        <v>1341</v>
      </c>
      <c r="J2" s="84">
        <v>1341</v>
      </c>
      <c r="K2" s="84">
        <v>1555</v>
      </c>
      <c r="L2" s="84">
        <v>1527</v>
      </c>
      <c r="M2" s="84">
        <v>1529</v>
      </c>
      <c r="N2" s="84">
        <v>1260</v>
      </c>
      <c r="O2" s="84">
        <v>1259</v>
      </c>
      <c r="P2" s="84">
        <v>1401</v>
      </c>
      <c r="Q2" s="84">
        <v>1485</v>
      </c>
      <c r="R2" s="84">
        <v>1505</v>
      </c>
      <c r="S2" s="84">
        <v>1450</v>
      </c>
      <c r="T2" s="84">
        <v>1389</v>
      </c>
      <c r="U2" s="84">
        <f t="shared" ref="U2:U7" si="0">B2+H2</f>
        <v>3082</v>
      </c>
      <c r="V2" s="84">
        <f t="shared" ref="V2:V7" si="1">I2</f>
        <v>1341</v>
      </c>
      <c r="W2" s="84">
        <f t="shared" ref="W2:W7" si="2">J2+K2+L2+Q2</f>
        <v>5908</v>
      </c>
      <c r="X2" s="84">
        <f t="shared" ref="X2:X7" si="3">C2+G2+M2+N2+S2</f>
        <v>6960</v>
      </c>
      <c r="Y2" s="84">
        <f t="shared" ref="Y2:Y7" si="4">D2+F2+O2</f>
        <v>4658</v>
      </c>
      <c r="Z2" s="84">
        <f t="shared" ref="Z2:Z7" si="5">E2+P2+R2+T2</f>
        <v>5774</v>
      </c>
    </row>
    <row r="3" spans="1:26" ht="15.75" customHeight="1">
      <c r="A3" s="83" t="s">
        <v>918</v>
      </c>
      <c r="B3" s="84">
        <v>1887</v>
      </c>
      <c r="C3" s="84">
        <v>1301</v>
      </c>
      <c r="D3" s="84">
        <v>1944</v>
      </c>
      <c r="E3" s="84">
        <v>1466</v>
      </c>
      <c r="F3" s="84">
        <v>1501</v>
      </c>
      <c r="G3" s="84">
        <v>1511</v>
      </c>
      <c r="H3" s="84">
        <v>1289</v>
      </c>
      <c r="I3" s="84">
        <v>1331</v>
      </c>
      <c r="J3" s="84">
        <v>1279</v>
      </c>
      <c r="K3" s="84">
        <v>1508</v>
      </c>
      <c r="L3" s="84">
        <v>1452</v>
      </c>
      <c r="M3" s="84">
        <v>1467</v>
      </c>
      <c r="N3" s="84">
        <v>1245</v>
      </c>
      <c r="O3" s="84">
        <v>1296</v>
      </c>
      <c r="P3" s="84">
        <v>1382</v>
      </c>
      <c r="Q3" s="84">
        <v>1446</v>
      </c>
      <c r="R3" s="84">
        <v>1416</v>
      </c>
      <c r="S3" s="84">
        <v>1380</v>
      </c>
      <c r="T3" s="84">
        <v>1333</v>
      </c>
      <c r="U3" s="84">
        <f t="shared" si="0"/>
        <v>3176</v>
      </c>
      <c r="V3" s="84">
        <f t="shared" si="1"/>
        <v>1331</v>
      </c>
      <c r="W3" s="84">
        <f t="shared" si="2"/>
        <v>5685</v>
      </c>
      <c r="X3" s="84">
        <f t="shared" si="3"/>
        <v>6904</v>
      </c>
      <c r="Y3" s="84">
        <f t="shared" si="4"/>
        <v>4741</v>
      </c>
      <c r="Z3" s="84">
        <f t="shared" si="5"/>
        <v>5597</v>
      </c>
    </row>
    <row r="4" spans="1:26" ht="15.75" customHeight="1">
      <c r="A4" s="83" t="s">
        <v>919</v>
      </c>
      <c r="B4" s="84">
        <v>1925</v>
      </c>
      <c r="C4" s="84">
        <v>1412</v>
      </c>
      <c r="D4" s="84">
        <v>1927</v>
      </c>
      <c r="E4" s="84">
        <v>1441</v>
      </c>
      <c r="F4" s="84">
        <v>1484</v>
      </c>
      <c r="G4" s="84">
        <v>1475</v>
      </c>
      <c r="H4" s="84">
        <v>1261</v>
      </c>
      <c r="I4" s="84">
        <v>1288</v>
      </c>
      <c r="J4" s="84">
        <v>1260</v>
      </c>
      <c r="K4" s="84">
        <v>1435</v>
      </c>
      <c r="L4" s="84">
        <v>1428</v>
      </c>
      <c r="M4" s="84">
        <v>1465</v>
      </c>
      <c r="N4" s="84">
        <v>1198</v>
      </c>
      <c r="O4" s="84">
        <v>1309</v>
      </c>
      <c r="P4" s="84">
        <v>1320</v>
      </c>
      <c r="Q4" s="84">
        <v>1444</v>
      </c>
      <c r="R4" s="84">
        <v>1384</v>
      </c>
      <c r="S4" s="84">
        <v>1308</v>
      </c>
      <c r="T4" s="84">
        <v>1304</v>
      </c>
      <c r="U4" s="84">
        <f t="shared" si="0"/>
        <v>3186</v>
      </c>
      <c r="V4" s="84">
        <f t="shared" si="1"/>
        <v>1288</v>
      </c>
      <c r="W4" s="84">
        <f t="shared" si="2"/>
        <v>5567</v>
      </c>
      <c r="X4" s="84">
        <f t="shared" si="3"/>
        <v>6858</v>
      </c>
      <c r="Y4" s="84">
        <f t="shared" si="4"/>
        <v>4720</v>
      </c>
      <c r="Z4" s="84">
        <f t="shared" si="5"/>
        <v>5449</v>
      </c>
    </row>
    <row r="5" spans="1:26" ht="15.75" customHeight="1">
      <c r="A5" s="83" t="s">
        <v>920</v>
      </c>
      <c r="B5" s="84">
        <v>2000</v>
      </c>
      <c r="C5" s="84">
        <v>1434</v>
      </c>
      <c r="D5" s="84">
        <v>1943</v>
      </c>
      <c r="E5" s="84">
        <v>1461</v>
      </c>
      <c r="F5" s="84">
        <v>1520</v>
      </c>
      <c r="G5" s="84">
        <v>1491</v>
      </c>
      <c r="H5" s="84">
        <v>1270</v>
      </c>
      <c r="I5" s="84">
        <v>1319</v>
      </c>
      <c r="J5" s="84">
        <v>1282</v>
      </c>
      <c r="K5" s="84">
        <v>1356</v>
      </c>
      <c r="L5" s="84">
        <v>1370</v>
      </c>
      <c r="M5" s="84">
        <v>1502</v>
      </c>
      <c r="N5" s="84">
        <v>1214</v>
      </c>
      <c r="O5" s="84">
        <v>1303</v>
      </c>
      <c r="P5" s="84">
        <v>1301</v>
      </c>
      <c r="Q5" s="84">
        <v>1460</v>
      </c>
      <c r="R5" s="84">
        <v>1262</v>
      </c>
      <c r="S5" s="84">
        <v>1308</v>
      </c>
      <c r="T5" s="84">
        <v>1264</v>
      </c>
      <c r="U5" s="84">
        <f t="shared" si="0"/>
        <v>3270</v>
      </c>
      <c r="V5" s="84">
        <f t="shared" si="1"/>
        <v>1319</v>
      </c>
      <c r="W5" s="84">
        <f t="shared" si="2"/>
        <v>5468</v>
      </c>
      <c r="X5" s="84">
        <f t="shared" si="3"/>
        <v>6949</v>
      </c>
      <c r="Y5" s="84">
        <f t="shared" si="4"/>
        <v>4766</v>
      </c>
      <c r="Z5" s="84">
        <f t="shared" si="5"/>
        <v>5288</v>
      </c>
    </row>
    <row r="6" spans="1:26" ht="15.75" customHeight="1">
      <c r="A6" s="83" t="s">
        <v>921</v>
      </c>
      <c r="B6" s="84">
        <v>2081</v>
      </c>
      <c r="C6" s="84">
        <v>1537</v>
      </c>
      <c r="D6" s="84">
        <v>1911</v>
      </c>
      <c r="E6" s="84">
        <v>1498</v>
      </c>
      <c r="F6" s="84">
        <v>1583</v>
      </c>
      <c r="G6" s="84">
        <v>1444</v>
      </c>
      <c r="H6" s="84">
        <v>1332</v>
      </c>
      <c r="I6" s="84">
        <v>1370</v>
      </c>
      <c r="J6" s="84">
        <v>1250</v>
      </c>
      <c r="K6" s="84">
        <v>1371</v>
      </c>
      <c r="L6" s="84">
        <v>1381</v>
      </c>
      <c r="M6" s="84">
        <v>1552</v>
      </c>
      <c r="N6" s="84">
        <v>1172</v>
      </c>
      <c r="O6" s="84">
        <v>1276</v>
      </c>
      <c r="P6" s="84">
        <v>1337</v>
      </c>
      <c r="Q6" s="84">
        <v>1411</v>
      </c>
      <c r="R6" s="84">
        <v>1213</v>
      </c>
      <c r="S6" s="84">
        <v>1328</v>
      </c>
      <c r="T6" s="84">
        <v>1175</v>
      </c>
      <c r="U6" s="84">
        <f t="shared" si="0"/>
        <v>3413</v>
      </c>
      <c r="V6" s="84">
        <f t="shared" si="1"/>
        <v>1370</v>
      </c>
      <c r="W6" s="84">
        <f t="shared" si="2"/>
        <v>5413</v>
      </c>
      <c r="X6" s="84">
        <f t="shared" si="3"/>
        <v>7033</v>
      </c>
      <c r="Y6" s="84">
        <f t="shared" si="4"/>
        <v>4770</v>
      </c>
      <c r="Z6" s="84">
        <f t="shared" si="5"/>
        <v>5223</v>
      </c>
    </row>
    <row r="7" spans="1:26" ht="15.75" customHeight="1">
      <c r="A7" s="83" t="s">
        <v>922</v>
      </c>
      <c r="B7" s="84">
        <v>2055</v>
      </c>
      <c r="C7" s="84">
        <v>1518</v>
      </c>
      <c r="D7" s="84">
        <v>1856</v>
      </c>
      <c r="E7" s="84">
        <v>1531</v>
      </c>
      <c r="F7" s="84">
        <v>1623</v>
      </c>
      <c r="G7" s="84">
        <v>1446</v>
      </c>
      <c r="H7" s="84">
        <v>1359</v>
      </c>
      <c r="I7" s="84">
        <v>1465</v>
      </c>
      <c r="J7" s="84">
        <v>1262</v>
      </c>
      <c r="K7" s="84">
        <v>1348</v>
      </c>
      <c r="L7" s="84">
        <v>1405</v>
      </c>
      <c r="M7" s="84">
        <v>1603</v>
      </c>
      <c r="N7" s="84">
        <v>1215</v>
      </c>
      <c r="O7" s="84">
        <v>1206</v>
      </c>
      <c r="P7" s="84">
        <v>1347</v>
      </c>
      <c r="Q7" s="84">
        <v>1395</v>
      </c>
      <c r="R7" s="84">
        <v>1237</v>
      </c>
      <c r="S7" s="84">
        <v>1308</v>
      </c>
      <c r="T7" s="84">
        <v>1121</v>
      </c>
      <c r="U7" s="84">
        <f t="shared" si="0"/>
        <v>3414</v>
      </c>
      <c r="V7" s="84">
        <f t="shared" si="1"/>
        <v>1465</v>
      </c>
      <c r="W7" s="84">
        <f t="shared" si="2"/>
        <v>5410</v>
      </c>
      <c r="X7" s="84">
        <f t="shared" si="3"/>
        <v>7090</v>
      </c>
      <c r="Y7" s="84">
        <f t="shared" si="4"/>
        <v>4685</v>
      </c>
      <c r="Z7" s="84">
        <f t="shared" si="5"/>
        <v>5236</v>
      </c>
    </row>
    <row r="8" spans="1:26" ht="15.75" customHeight="1">
      <c r="A8" s="83"/>
      <c r="B8" s="84"/>
      <c r="C8" s="84"/>
      <c r="D8" s="84"/>
      <c r="E8" s="84"/>
      <c r="F8" s="84"/>
      <c r="G8" s="84"/>
      <c r="H8" s="84"/>
      <c r="I8" s="84"/>
      <c r="J8" s="84"/>
      <c r="K8" s="84"/>
      <c r="L8" s="84"/>
      <c r="M8" s="84"/>
      <c r="N8" s="84"/>
      <c r="O8" s="84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</row>
    <row r="9" spans="1:26" ht="15.75" customHeight="1">
      <c r="A9" s="83" t="str">
        <f t="array" ref="A9:G34">TRANSPOSE(A1:Z7)</f>
        <v>School Name</v>
      </c>
      <c r="B9" s="85" t="str">
        <v>Enrollment - 2011/12</v>
      </c>
      <c r="C9" s="85" t="str">
        <v>Enrollment - 2012/13</v>
      </c>
      <c r="D9" s="85" t="str">
        <v>Enrollment - 2013/14</v>
      </c>
      <c r="E9" s="85" t="str">
        <v>Enrollment - 2014/15</v>
      </c>
      <c r="F9" s="85" t="str">
        <v>Enrollment - 2015/16</v>
      </c>
      <c r="G9" s="85" t="str">
        <v>Enrollment - 2016/17</v>
      </c>
      <c r="H9" s="86"/>
      <c r="I9" s="86"/>
      <c r="J9" s="86"/>
      <c r="K9" s="86"/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</row>
    <row r="10" spans="1:26" ht="15.75" customHeight="1">
      <c r="A10" s="83" t="str">
        <v>Ecole Lord Tweedsmuir</v>
      </c>
      <c r="B10" s="84">
        <v>1819</v>
      </c>
      <c r="C10" s="84">
        <v>1887</v>
      </c>
      <c r="D10" s="84">
        <v>1925</v>
      </c>
      <c r="E10" s="84">
        <v>2000</v>
      </c>
      <c r="F10" s="84">
        <v>2081</v>
      </c>
      <c r="G10" s="84">
        <v>2055</v>
      </c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</row>
    <row r="11" spans="1:26" ht="15.75" customHeight="1">
      <c r="A11" s="83" t="str">
        <v>Sullivan Heights Secondary</v>
      </c>
      <c r="B11" s="85">
        <v>1227</v>
      </c>
      <c r="C11" s="85">
        <v>1301</v>
      </c>
      <c r="D11" s="85">
        <v>1412</v>
      </c>
      <c r="E11" s="85">
        <v>1434</v>
      </c>
      <c r="F11" s="85">
        <v>1537</v>
      </c>
      <c r="G11" s="85">
        <v>1518</v>
      </c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</row>
    <row r="12" spans="1:26" ht="15.75" customHeight="1">
      <c r="A12" s="83" t="str">
        <v>Ecole Earl Marriott Secondary</v>
      </c>
      <c r="B12" s="84">
        <v>1902</v>
      </c>
      <c r="C12" s="84">
        <v>1944</v>
      </c>
      <c r="D12" s="84">
        <v>1927</v>
      </c>
      <c r="E12" s="84">
        <v>1943</v>
      </c>
      <c r="F12" s="84">
        <v>1911</v>
      </c>
      <c r="G12" s="84">
        <v>1856</v>
      </c>
      <c r="H12" s="84"/>
      <c r="I12" s="84"/>
      <c r="J12" s="84"/>
      <c r="K12" s="84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</row>
    <row r="13" spans="1:26" ht="15.75" customHeight="1">
      <c r="A13" s="83" t="str">
        <v>Ecole Kwantlen Park</v>
      </c>
      <c r="B13" s="84">
        <v>1479</v>
      </c>
      <c r="C13" s="84">
        <v>1466</v>
      </c>
      <c r="D13" s="84">
        <v>1441</v>
      </c>
      <c r="E13" s="84">
        <v>1461</v>
      </c>
      <c r="F13" s="84">
        <v>1498</v>
      </c>
      <c r="G13" s="84">
        <v>1531</v>
      </c>
      <c r="H13" s="84"/>
      <c r="I13" s="84"/>
      <c r="J13" s="84"/>
      <c r="K13" s="84"/>
      <c r="L13" s="84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</row>
    <row r="14" spans="1:26" ht="15.75" customHeight="1">
      <c r="A14" s="83" t="str">
        <v>Semiahmoo Secondary</v>
      </c>
      <c r="B14" s="84">
        <v>1497</v>
      </c>
      <c r="C14" s="84">
        <v>1501</v>
      </c>
      <c r="D14" s="84">
        <v>1484</v>
      </c>
      <c r="E14" s="84">
        <v>1520</v>
      </c>
      <c r="F14" s="84">
        <v>1583</v>
      </c>
      <c r="G14" s="84">
        <v>1623</v>
      </c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</row>
    <row r="15" spans="1:26" ht="15.75" customHeight="1">
      <c r="A15" s="83" t="str">
        <v>Tamanawis Secondary</v>
      </c>
      <c r="B15" s="84">
        <v>1494</v>
      </c>
      <c r="C15" s="84">
        <v>1511</v>
      </c>
      <c r="D15" s="84">
        <v>1475</v>
      </c>
      <c r="E15" s="84">
        <v>1491</v>
      </c>
      <c r="F15" s="84">
        <v>1444</v>
      </c>
      <c r="G15" s="84">
        <v>1446</v>
      </c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</row>
    <row r="16" spans="1:26" ht="15.75" customHeight="1">
      <c r="A16" s="83" t="str">
        <v>Clayton Heights Secondary</v>
      </c>
      <c r="B16" s="84">
        <v>1263</v>
      </c>
      <c r="C16" s="84">
        <v>1289</v>
      </c>
      <c r="D16" s="84">
        <v>1261</v>
      </c>
      <c r="E16" s="84">
        <v>1270</v>
      </c>
      <c r="F16" s="84">
        <v>1332</v>
      </c>
      <c r="G16" s="84">
        <v>1359</v>
      </c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</row>
    <row r="17" spans="1:26" ht="15.75" customHeight="1">
      <c r="A17" s="83" t="str">
        <v>Fleetwood Park Secondary</v>
      </c>
      <c r="B17" s="84">
        <v>1341</v>
      </c>
      <c r="C17" s="84">
        <v>1331</v>
      </c>
      <c r="D17" s="84">
        <v>1288</v>
      </c>
      <c r="E17" s="84">
        <v>1319</v>
      </c>
      <c r="F17" s="84">
        <v>1370</v>
      </c>
      <c r="G17" s="84">
        <v>1465</v>
      </c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</row>
    <row r="18" spans="1:26" ht="15.75" customHeight="1">
      <c r="A18" s="83" t="str">
        <v>Guildford Park Secondary</v>
      </c>
      <c r="B18" s="84">
        <v>1341</v>
      </c>
      <c r="C18" s="84">
        <v>1279</v>
      </c>
      <c r="D18" s="84">
        <v>1260</v>
      </c>
      <c r="E18" s="84">
        <v>1282</v>
      </c>
      <c r="F18" s="84">
        <v>1250</v>
      </c>
      <c r="G18" s="84">
        <v>1262</v>
      </c>
      <c r="H18" s="84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</row>
    <row r="19" spans="1:26" ht="15.75" customHeight="1">
      <c r="A19" s="83" t="str">
        <v>North Surrey Secondary</v>
      </c>
      <c r="B19" s="84">
        <v>1555</v>
      </c>
      <c r="C19" s="84">
        <v>1508</v>
      </c>
      <c r="D19" s="84">
        <v>1435</v>
      </c>
      <c r="E19" s="84">
        <v>1356</v>
      </c>
      <c r="F19" s="84">
        <v>1371</v>
      </c>
      <c r="G19" s="84">
        <v>1348</v>
      </c>
      <c r="H19" s="84"/>
      <c r="I19" s="84"/>
      <c r="J19" s="84"/>
      <c r="K19" s="84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</row>
    <row r="20" spans="1:26" ht="15.75" customHeight="1">
      <c r="A20" s="83" t="str">
        <v>Ecole Fraser Heights</v>
      </c>
      <c r="B20" s="84">
        <v>1527</v>
      </c>
      <c r="C20" s="84">
        <v>1452</v>
      </c>
      <c r="D20" s="84">
        <v>1428</v>
      </c>
      <c r="E20" s="84">
        <v>1370</v>
      </c>
      <c r="F20" s="84">
        <v>1381</v>
      </c>
      <c r="G20" s="84">
        <v>1405</v>
      </c>
      <c r="H20" s="84"/>
      <c r="I20" s="84"/>
      <c r="J20" s="84"/>
      <c r="K20" s="84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</row>
    <row r="21" spans="1:26" ht="15.75" customHeight="1">
      <c r="A21" s="83" t="str">
        <v>Ecole Panorama Ridge</v>
      </c>
      <c r="B21" s="84">
        <v>1529</v>
      </c>
      <c r="C21" s="84">
        <v>1467</v>
      </c>
      <c r="D21" s="84">
        <v>1465</v>
      </c>
      <c r="E21" s="84">
        <v>1502</v>
      </c>
      <c r="F21" s="84">
        <v>1552</v>
      </c>
      <c r="G21" s="84">
        <v>1603</v>
      </c>
      <c r="H21" s="84"/>
      <c r="I21" s="84"/>
      <c r="J21" s="84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</row>
    <row r="22" spans="1:26" ht="15.75" customHeight="1">
      <c r="A22" s="83" t="str">
        <v>Frank Hurt Secondary</v>
      </c>
      <c r="B22" s="84">
        <v>1260</v>
      </c>
      <c r="C22" s="84">
        <v>1245</v>
      </c>
      <c r="D22" s="84">
        <v>1198</v>
      </c>
      <c r="E22" s="84">
        <v>1214</v>
      </c>
      <c r="F22" s="84">
        <v>1172</v>
      </c>
      <c r="G22" s="84">
        <v>1215</v>
      </c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</row>
    <row r="23" spans="1:26" ht="15.75" customHeight="1">
      <c r="A23" s="83" t="str">
        <v>Ecole Elgin Park</v>
      </c>
      <c r="B23" s="84">
        <v>1259</v>
      </c>
      <c r="C23" s="84">
        <v>1296</v>
      </c>
      <c r="D23" s="84">
        <v>1309</v>
      </c>
      <c r="E23" s="84">
        <v>1303</v>
      </c>
      <c r="F23" s="84">
        <v>1276</v>
      </c>
      <c r="G23" s="84">
        <v>1206</v>
      </c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</row>
    <row r="24" spans="1:26" ht="15.75" customHeight="1">
      <c r="A24" s="83" t="str">
        <v>Enver Creek Secondary</v>
      </c>
      <c r="B24" s="84">
        <v>1401</v>
      </c>
      <c r="C24" s="84">
        <v>1382</v>
      </c>
      <c r="D24" s="84">
        <v>1320</v>
      </c>
      <c r="E24" s="84">
        <v>1301</v>
      </c>
      <c r="F24" s="84">
        <v>1337</v>
      </c>
      <c r="G24" s="84">
        <v>1347</v>
      </c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</row>
    <row r="25" spans="1:26" ht="15.75" customHeight="1">
      <c r="A25" s="83" t="str">
        <v>Johnston Heights Secondary</v>
      </c>
      <c r="B25" s="84">
        <v>1485</v>
      </c>
      <c r="C25" s="84">
        <v>1446</v>
      </c>
      <c r="D25" s="84">
        <v>1444</v>
      </c>
      <c r="E25" s="84">
        <v>1460</v>
      </c>
      <c r="F25" s="84">
        <v>1411</v>
      </c>
      <c r="G25" s="84">
        <v>1395</v>
      </c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</row>
    <row r="26" spans="1:26" ht="15.75" customHeight="1">
      <c r="A26" s="83" t="str">
        <v>Queen Elizabeth Secondary</v>
      </c>
      <c r="B26" s="84">
        <v>1505</v>
      </c>
      <c r="C26" s="84">
        <v>1416</v>
      </c>
      <c r="D26" s="84">
        <v>1384</v>
      </c>
      <c r="E26" s="84">
        <v>1262</v>
      </c>
      <c r="F26" s="84">
        <v>1213</v>
      </c>
      <c r="G26" s="84">
        <v>1237</v>
      </c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</row>
    <row r="27" spans="1:26" ht="15.75" customHeight="1">
      <c r="A27" s="83" t="str">
        <v>Princess Margaret Secondary</v>
      </c>
      <c r="B27" s="84">
        <v>1450</v>
      </c>
      <c r="C27" s="84">
        <v>1380</v>
      </c>
      <c r="D27" s="84">
        <v>1308</v>
      </c>
      <c r="E27" s="84">
        <v>1308</v>
      </c>
      <c r="F27" s="84">
        <v>1328</v>
      </c>
      <c r="G27" s="84">
        <v>1308</v>
      </c>
      <c r="H27" s="84"/>
      <c r="I27" s="84"/>
      <c r="J27" s="84"/>
      <c r="K27" s="84"/>
      <c r="L27" s="84"/>
      <c r="M27" s="84"/>
      <c r="N27" s="84"/>
      <c r="O27" s="84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</row>
    <row r="28" spans="1:26" ht="15.75" customHeight="1">
      <c r="A28" s="83" t="str">
        <v>L. A. Matheson Secondary</v>
      </c>
      <c r="B28" s="84">
        <v>1389</v>
      </c>
      <c r="C28" s="84">
        <v>1333</v>
      </c>
      <c r="D28" s="84">
        <v>1304</v>
      </c>
      <c r="E28" s="84">
        <v>1264</v>
      </c>
      <c r="F28" s="84">
        <v>1175</v>
      </c>
      <c r="G28" s="84">
        <v>1121</v>
      </c>
      <c r="H28" s="84"/>
      <c r="I28" s="84"/>
      <c r="J28" s="84"/>
      <c r="K28" s="84"/>
      <c r="L28" s="84"/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</row>
    <row r="29" spans="1:26" ht="15.75" customHeight="1">
      <c r="A29" s="83" t="str">
        <v>Cloverdale</v>
      </c>
      <c r="B29" s="84">
        <v>3082</v>
      </c>
      <c r="C29" s="84">
        <v>3176</v>
      </c>
      <c r="D29" s="84">
        <v>3186</v>
      </c>
      <c r="E29" s="84">
        <v>3270</v>
      </c>
      <c r="F29" s="84">
        <v>3413</v>
      </c>
      <c r="G29" s="84">
        <v>3414</v>
      </c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</row>
    <row r="30" spans="1:26" ht="15.75" customHeight="1">
      <c r="A30" s="83" t="str">
        <v>Fleetwood</v>
      </c>
      <c r="B30" s="84">
        <v>1341</v>
      </c>
      <c r="C30" s="84">
        <v>1331</v>
      </c>
      <c r="D30" s="84">
        <v>1288</v>
      </c>
      <c r="E30" s="84">
        <v>1319</v>
      </c>
      <c r="F30" s="84">
        <v>1370</v>
      </c>
      <c r="G30" s="84">
        <v>1465</v>
      </c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</row>
    <row r="31" spans="1:26" ht="15.75" customHeight="1">
      <c r="A31" s="83" t="str">
        <v>Guildford</v>
      </c>
      <c r="B31" s="84">
        <v>5908</v>
      </c>
      <c r="C31" s="84">
        <v>5685</v>
      </c>
      <c r="D31" s="84">
        <v>5567</v>
      </c>
      <c r="E31" s="84">
        <v>5468</v>
      </c>
      <c r="F31" s="84">
        <v>5413</v>
      </c>
      <c r="G31" s="84">
        <v>5410</v>
      </c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</row>
    <row r="32" spans="1:26" ht="15.75" customHeight="1">
      <c r="A32" s="83" t="str">
        <v>Newton</v>
      </c>
      <c r="B32" s="84">
        <v>6960</v>
      </c>
      <c r="C32" s="84">
        <v>6904</v>
      </c>
      <c r="D32" s="84">
        <v>6858</v>
      </c>
      <c r="E32" s="84">
        <v>6949</v>
      </c>
      <c r="F32" s="84">
        <v>7033</v>
      </c>
      <c r="G32" s="84">
        <v>7090</v>
      </c>
      <c r="H32" s="84"/>
      <c r="I32" s="84"/>
      <c r="J32" s="84"/>
      <c r="K32" s="84"/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</row>
    <row r="33" spans="1:26" ht="15.75" customHeight="1">
      <c r="A33" s="83" t="str">
        <v>S Surrey</v>
      </c>
      <c r="B33" s="84">
        <v>4658</v>
      </c>
      <c r="C33" s="84">
        <v>4741</v>
      </c>
      <c r="D33" s="84">
        <v>4720</v>
      </c>
      <c r="E33" s="84">
        <v>4766</v>
      </c>
      <c r="F33" s="84">
        <v>4770</v>
      </c>
      <c r="G33" s="84">
        <v>4685</v>
      </c>
      <c r="H33" s="84"/>
      <c r="I33" s="84"/>
      <c r="J33" s="84"/>
      <c r="K33" s="84"/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</row>
    <row r="34" spans="1:26" ht="15.75" customHeight="1">
      <c r="A34" s="83" t="str">
        <v>Whally</v>
      </c>
      <c r="B34" s="84">
        <v>5774</v>
      </c>
      <c r="C34" s="84">
        <v>5597</v>
      </c>
      <c r="D34" s="84">
        <v>5449</v>
      </c>
      <c r="E34" s="84">
        <v>5288</v>
      </c>
      <c r="F34" s="84">
        <v>5223</v>
      </c>
      <c r="G34" s="84">
        <v>5236</v>
      </c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</row>
    <row r="35" spans="1:26" ht="15.75" customHeight="1">
      <c r="A35" s="83"/>
      <c r="B35" s="84"/>
      <c r="C35" s="84"/>
      <c r="D35" s="84"/>
      <c r="E35" s="84"/>
      <c r="F35" s="84"/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</row>
    <row r="36" spans="1:26" ht="15">
      <c r="A36" s="83"/>
      <c r="B36" s="84"/>
      <c r="C36" s="84"/>
      <c r="D36" s="84"/>
      <c r="E36" s="84"/>
      <c r="F36" s="84"/>
      <c r="G36" s="84"/>
      <c r="H36" s="84"/>
      <c r="I36" s="84"/>
      <c r="J36" s="84"/>
      <c r="K36" s="84"/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</row>
    <row r="37" spans="1:26" ht="15">
      <c r="A37" s="83"/>
      <c r="B37" s="84"/>
      <c r="C37" s="84"/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</row>
    <row r="38" spans="1:26" ht="15">
      <c r="A38" s="83"/>
      <c r="B38" s="84"/>
      <c r="C38" s="84"/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</row>
    <row r="39" spans="1:26" ht="15">
      <c r="A39" s="83"/>
      <c r="B39" s="84"/>
      <c r="C39" s="84"/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</row>
    <row r="40" spans="1:26" ht="15">
      <c r="A40" s="83"/>
      <c r="B40" s="84"/>
      <c r="C40" s="84"/>
      <c r="D40" s="84"/>
      <c r="E40" s="84"/>
      <c r="F40" s="84"/>
      <c r="G40" s="84"/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</row>
    <row r="41" spans="1:26" ht="15">
      <c r="A41" s="83"/>
      <c r="B41" s="84"/>
      <c r="C41" s="84"/>
      <c r="D41" s="84"/>
      <c r="E41" s="84"/>
      <c r="F41" s="84"/>
      <c r="G41" s="84"/>
      <c r="H41" s="84"/>
      <c r="I41" s="84"/>
      <c r="J41" s="84"/>
      <c r="K41" s="84"/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</row>
    <row r="42" spans="1:26" ht="15">
      <c r="A42" s="83"/>
      <c r="B42" s="84"/>
      <c r="C42" s="84"/>
      <c r="D42" s="84"/>
      <c r="E42" s="84"/>
      <c r="F42" s="84"/>
      <c r="G42" s="84"/>
      <c r="H42" s="84"/>
      <c r="I42" s="84"/>
      <c r="J42" s="84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</row>
    <row r="43" spans="1:26" ht="15">
      <c r="A43" s="83"/>
      <c r="B43" s="84"/>
      <c r="C43" s="84"/>
      <c r="D43" s="84"/>
      <c r="E43" s="84"/>
      <c r="F43" s="84"/>
      <c r="G43" s="84"/>
      <c r="H43" s="84"/>
      <c r="I43" s="84"/>
      <c r="J43" s="84"/>
      <c r="K43" s="84"/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  <c r="Z43" s="84"/>
    </row>
    <row r="44" spans="1:26" ht="15">
      <c r="A44" s="83"/>
      <c r="B44" s="84"/>
      <c r="C44" s="84"/>
      <c r="D44" s="84"/>
      <c r="E44" s="84"/>
      <c r="F44" s="84"/>
      <c r="G44" s="84"/>
      <c r="H44" s="84"/>
      <c r="I44" s="84"/>
      <c r="J44" s="84"/>
      <c r="K44" s="84"/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</row>
    <row r="45" spans="1:26" ht="15">
      <c r="A45" s="83"/>
      <c r="B45" s="84"/>
      <c r="C45" s="84"/>
      <c r="D45" s="84"/>
      <c r="E45" s="84"/>
      <c r="F45" s="84"/>
      <c r="G45" s="84"/>
      <c r="H45" s="84"/>
      <c r="I45" s="84"/>
      <c r="J45" s="84"/>
      <c r="K45" s="84"/>
      <c r="L45" s="84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84"/>
      <c r="X45" s="84"/>
      <c r="Y45" s="84"/>
      <c r="Z45" s="84"/>
    </row>
    <row r="46" spans="1:26" ht="15">
      <c r="A46" s="83"/>
      <c r="B46" s="84"/>
      <c r="C46" s="84"/>
      <c r="D46" s="84"/>
      <c r="E46" s="84"/>
      <c r="F46" s="84"/>
      <c r="G46" s="84"/>
      <c r="H46" s="84"/>
      <c r="I46" s="84"/>
      <c r="J46" s="84"/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</row>
    <row r="47" spans="1:26" ht="15">
      <c r="A47" s="83"/>
      <c r="B47" s="84"/>
      <c r="C47" s="84"/>
      <c r="D47" s="84"/>
      <c r="E47" s="84"/>
      <c r="F47" s="84"/>
      <c r="G47" s="84"/>
      <c r="H47" s="84"/>
      <c r="I47" s="84"/>
      <c r="J47" s="84"/>
      <c r="K47" s="84"/>
      <c r="L47" s="84"/>
      <c r="M47" s="84"/>
      <c r="N47" s="84"/>
      <c r="O47" s="84"/>
      <c r="P47" s="84"/>
      <c r="Q47" s="84"/>
      <c r="R47" s="84"/>
      <c r="S47" s="84"/>
      <c r="T47" s="84"/>
      <c r="U47" s="84"/>
      <c r="V47" s="84"/>
      <c r="W47" s="84"/>
      <c r="X47" s="84"/>
      <c r="Y47" s="84"/>
      <c r="Z47" s="84"/>
    </row>
    <row r="48" spans="1:26" ht="15">
      <c r="A48" s="83"/>
      <c r="B48" s="84"/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</row>
    <row r="49" spans="1:26" ht="15">
      <c r="A49" s="83"/>
      <c r="B49" s="84"/>
      <c r="C49" s="84"/>
      <c r="D49" s="84"/>
      <c r="E49" s="84"/>
      <c r="F49" s="84"/>
      <c r="G49" s="84"/>
      <c r="H49" s="84"/>
      <c r="I49" s="84"/>
      <c r="J49" s="84"/>
      <c r="K49" s="84"/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</row>
    <row r="50" spans="1:26" ht="15">
      <c r="A50" s="83"/>
      <c r="B50" s="84"/>
      <c r="C50" s="84"/>
      <c r="D50" s="84"/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</row>
    <row r="51" spans="1:26" ht="15">
      <c r="A51" s="83"/>
      <c r="B51" s="84"/>
      <c r="C51" s="84"/>
      <c r="D51" s="84"/>
      <c r="E51" s="84"/>
      <c r="F51" s="84"/>
      <c r="G51" s="84"/>
      <c r="H51" s="84"/>
      <c r="I51" s="84"/>
      <c r="J51" s="84"/>
      <c r="K51" s="84"/>
      <c r="L51" s="84"/>
      <c r="M51" s="84"/>
      <c r="N51" s="84"/>
      <c r="O51" s="84"/>
      <c r="P51" s="84"/>
      <c r="Q51" s="84"/>
      <c r="R51" s="84"/>
      <c r="S51" s="84"/>
      <c r="T51" s="84"/>
      <c r="U51" s="84"/>
      <c r="V51" s="84"/>
      <c r="W51" s="84"/>
      <c r="X51" s="84"/>
      <c r="Y51" s="84"/>
      <c r="Z51" s="84"/>
    </row>
    <row r="52" spans="1:26" ht="15">
      <c r="A52" s="83"/>
      <c r="B52" s="84"/>
      <c r="C52" s="84"/>
      <c r="D52" s="84"/>
      <c r="E52" s="84"/>
      <c r="F52" s="84"/>
      <c r="G52" s="84"/>
      <c r="H52" s="84"/>
      <c r="I52" s="84"/>
      <c r="J52" s="84"/>
      <c r="K52" s="84"/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</row>
    <row r="53" spans="1:26" ht="15">
      <c r="A53" s="83"/>
      <c r="B53" s="84"/>
      <c r="C53" s="84"/>
      <c r="D53" s="84"/>
      <c r="E53" s="84"/>
      <c r="F53" s="84"/>
      <c r="G53" s="84"/>
      <c r="H53" s="84"/>
      <c r="I53" s="84"/>
      <c r="J53" s="84"/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</row>
    <row r="54" spans="1:26" ht="15">
      <c r="A54" s="83"/>
      <c r="B54" s="84"/>
      <c r="C54" s="84"/>
      <c r="D54" s="84"/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</row>
    <row r="55" spans="1:26" ht="15">
      <c r="A55" s="83"/>
      <c r="B55" s="84"/>
      <c r="C55" s="84"/>
      <c r="D55" s="84"/>
      <c r="E55" s="84"/>
      <c r="F55" s="84"/>
      <c r="G55" s="84"/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</row>
    <row r="56" spans="1:26" ht="15">
      <c r="A56" s="83"/>
      <c r="B56" s="84"/>
      <c r="C56" s="84"/>
      <c r="D56" s="84"/>
      <c r="E56" s="84"/>
      <c r="F56" s="84"/>
      <c r="G56" s="84"/>
      <c r="H56" s="84"/>
      <c r="I56" s="84"/>
      <c r="J56" s="84"/>
      <c r="K56" s="84"/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</row>
    <row r="57" spans="1:26" ht="15">
      <c r="A57" s="83"/>
      <c r="B57" s="84"/>
      <c r="C57" s="84"/>
      <c r="D57" s="84"/>
      <c r="E57" s="84"/>
      <c r="F57" s="84"/>
      <c r="G57" s="84"/>
      <c r="H57" s="84"/>
      <c r="I57" s="84"/>
      <c r="J57" s="84"/>
      <c r="K57" s="84"/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84"/>
    </row>
    <row r="58" spans="1:26" ht="15">
      <c r="A58" s="83"/>
      <c r="B58" s="84"/>
      <c r="C58" s="84"/>
      <c r="D58" s="84"/>
      <c r="E58" s="84"/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</row>
    <row r="59" spans="1:26" ht="15">
      <c r="A59" s="83"/>
      <c r="B59" s="84"/>
      <c r="C59" s="84"/>
      <c r="D59" s="84"/>
      <c r="E59" s="84"/>
      <c r="F59" s="84"/>
      <c r="G59" s="84"/>
      <c r="H59" s="84"/>
      <c r="I59" s="84"/>
      <c r="J59" s="84"/>
      <c r="K59" s="84"/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84"/>
      <c r="X59" s="84"/>
      <c r="Y59" s="84"/>
      <c r="Z59" s="84"/>
    </row>
    <row r="60" spans="1:26" ht="15">
      <c r="A60" s="83"/>
      <c r="B60" s="84"/>
      <c r="C60" s="84"/>
      <c r="D60" s="84"/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</row>
    <row r="61" spans="1:26" ht="15">
      <c r="A61" s="83"/>
      <c r="B61" s="84"/>
      <c r="C61" s="84"/>
      <c r="D61" s="84"/>
      <c r="E61" s="84"/>
      <c r="F61" s="84"/>
      <c r="G61" s="84"/>
      <c r="H61" s="84"/>
      <c r="I61" s="84"/>
      <c r="J61" s="84"/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</row>
    <row r="62" spans="1:26" ht="15">
      <c r="A62" s="83"/>
      <c r="B62" s="84"/>
      <c r="C62" s="84"/>
      <c r="D62" s="84"/>
      <c r="E62" s="84"/>
      <c r="F62" s="84"/>
      <c r="G62" s="84"/>
      <c r="H62" s="84"/>
      <c r="I62" s="84"/>
      <c r="J62" s="84"/>
      <c r="K62" s="84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</row>
    <row r="63" spans="1:26" ht="15">
      <c r="A63" s="83"/>
      <c r="B63" s="84"/>
      <c r="C63" s="84"/>
      <c r="D63" s="84"/>
      <c r="E63" s="84"/>
      <c r="F63" s="84"/>
      <c r="G63" s="84"/>
      <c r="H63" s="84"/>
      <c r="I63" s="84"/>
      <c r="J63" s="84"/>
      <c r="K63" s="84"/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</row>
    <row r="64" spans="1:26" ht="15">
      <c r="A64" s="83"/>
      <c r="B64" s="84"/>
      <c r="C64" s="84"/>
      <c r="D64" s="84"/>
      <c r="E64" s="84"/>
      <c r="F64" s="84"/>
      <c r="G64" s="84"/>
      <c r="H64" s="84"/>
      <c r="I64" s="84"/>
      <c r="J64" s="84"/>
      <c r="K64" s="84"/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4"/>
      <c r="Y64" s="84"/>
      <c r="Z64" s="84"/>
    </row>
    <row r="65" spans="1:26" ht="15">
      <c r="A65" s="83"/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4"/>
      <c r="Q65" s="84"/>
      <c r="R65" s="84"/>
      <c r="S65" s="84"/>
      <c r="T65" s="84"/>
      <c r="U65" s="84"/>
      <c r="V65" s="84"/>
      <c r="W65" s="84"/>
      <c r="X65" s="84"/>
      <c r="Y65" s="84"/>
      <c r="Z65" s="84"/>
    </row>
    <row r="66" spans="1:26" ht="15">
      <c r="A66" s="83"/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  <c r="Z66" s="84"/>
    </row>
    <row r="67" spans="1:26" ht="15">
      <c r="A67" s="83"/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84"/>
      <c r="X67" s="84"/>
      <c r="Y67" s="84"/>
      <c r="Z67" s="84"/>
    </row>
    <row r="68" spans="1:26" ht="15">
      <c r="A68" s="83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</row>
    <row r="69" spans="1:26" ht="15">
      <c r="A69" s="83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4"/>
    </row>
    <row r="70" spans="1:26" ht="15">
      <c r="A70" s="83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</row>
    <row r="71" spans="1:26" ht="15">
      <c r="A71" s="83"/>
      <c r="B71" s="84"/>
      <c r="C71" s="84"/>
      <c r="D71" s="84"/>
      <c r="E71" s="84"/>
      <c r="F71" s="84"/>
      <c r="G71" s="84"/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</row>
    <row r="72" spans="1:26" ht="15">
      <c r="A72" s="83"/>
      <c r="B72" s="84"/>
      <c r="C72" s="84"/>
      <c r="D72" s="84"/>
      <c r="E72" s="84"/>
      <c r="F72" s="84"/>
      <c r="G72" s="84"/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</row>
    <row r="73" spans="1:26" ht="15">
      <c r="A73" s="83"/>
      <c r="B73" s="84"/>
      <c r="C73" s="84"/>
      <c r="D73" s="84"/>
      <c r="E73" s="84"/>
      <c r="F73" s="84"/>
      <c r="G73" s="84"/>
      <c r="H73" s="84"/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</row>
    <row r="74" spans="1:26" ht="15">
      <c r="A74" s="83"/>
      <c r="B74" s="84"/>
      <c r="C74" s="84"/>
      <c r="D74" s="84"/>
      <c r="E74" s="84"/>
      <c r="F74" s="84"/>
      <c r="G74" s="84"/>
      <c r="H74" s="84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</row>
    <row r="75" spans="1:26" ht="15">
      <c r="A75" s="83"/>
      <c r="B75" s="84"/>
      <c r="C75" s="84"/>
      <c r="D75" s="84"/>
      <c r="E75" s="84"/>
      <c r="F75" s="84"/>
      <c r="G75" s="84"/>
      <c r="H75" s="84"/>
      <c r="I75" s="84"/>
      <c r="J75" s="84"/>
      <c r="K75" s="84"/>
      <c r="L75" s="84"/>
      <c r="M75" s="84"/>
      <c r="N75" s="84"/>
      <c r="O75" s="84"/>
      <c r="P75" s="84"/>
      <c r="Q75" s="84"/>
      <c r="R75" s="84"/>
      <c r="S75" s="84"/>
      <c r="T75" s="84"/>
      <c r="U75" s="84"/>
      <c r="V75" s="84"/>
      <c r="W75" s="84"/>
      <c r="X75" s="84"/>
      <c r="Y75" s="84"/>
      <c r="Z75" s="84"/>
    </row>
    <row r="76" spans="1:26" ht="15">
      <c r="A76" s="83"/>
      <c r="B76" s="84"/>
      <c r="C76" s="84"/>
      <c r="D76" s="84"/>
      <c r="E76" s="84"/>
      <c r="F76" s="84"/>
      <c r="G76" s="84"/>
      <c r="H76" s="84"/>
      <c r="I76" s="84"/>
      <c r="J76" s="84"/>
      <c r="K76" s="84"/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84"/>
      <c r="Y76" s="84"/>
      <c r="Z76" s="84"/>
    </row>
    <row r="77" spans="1:26" ht="15">
      <c r="A77" s="83"/>
      <c r="B77" s="84"/>
      <c r="C77" s="84"/>
      <c r="D77" s="84"/>
      <c r="E77" s="84"/>
      <c r="F77" s="84"/>
      <c r="G77" s="84"/>
      <c r="H77" s="84"/>
      <c r="I77" s="84"/>
      <c r="J77" s="84"/>
      <c r="K77" s="84"/>
      <c r="L77" s="84"/>
      <c r="M77" s="84"/>
      <c r="N77" s="84"/>
      <c r="O77" s="84"/>
      <c r="P77" s="84"/>
      <c r="Q77" s="84"/>
      <c r="R77" s="84"/>
      <c r="S77" s="84"/>
      <c r="T77" s="84"/>
      <c r="U77" s="84"/>
      <c r="V77" s="84"/>
      <c r="W77" s="84"/>
      <c r="X77" s="84"/>
      <c r="Y77" s="84"/>
      <c r="Z77" s="84"/>
    </row>
    <row r="78" spans="1:26" ht="15">
      <c r="A78" s="83"/>
      <c r="B78" s="84"/>
      <c r="C78" s="84"/>
      <c r="D78" s="84"/>
      <c r="E78" s="84"/>
      <c r="F78" s="84"/>
      <c r="G78" s="84"/>
      <c r="H78" s="84"/>
      <c r="I78" s="84"/>
      <c r="J78" s="84"/>
      <c r="K78" s="84"/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  <c r="Z78" s="84"/>
    </row>
    <row r="79" spans="1:26" ht="15">
      <c r="A79" s="83"/>
      <c r="B79" s="84"/>
      <c r="C79" s="84"/>
      <c r="D79" s="84"/>
      <c r="E79" s="84"/>
      <c r="F79" s="84"/>
      <c r="G79" s="84"/>
      <c r="H79" s="84"/>
      <c r="I79" s="84"/>
      <c r="J79" s="84"/>
      <c r="K79" s="84"/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</row>
    <row r="80" spans="1:26" ht="15">
      <c r="A80" s="83"/>
      <c r="B80" s="84"/>
      <c r="C80" s="84"/>
      <c r="D80" s="84"/>
      <c r="E80" s="84"/>
      <c r="F80" s="84"/>
      <c r="G80" s="84"/>
      <c r="H80" s="84"/>
      <c r="I80" s="84"/>
      <c r="J80" s="84"/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/>
      <c r="W80" s="84"/>
      <c r="X80" s="84"/>
      <c r="Y80" s="84"/>
      <c r="Z80" s="84"/>
    </row>
    <row r="81" spans="1:26" ht="15">
      <c r="A81" s="83"/>
      <c r="B81" s="84"/>
      <c r="C81" s="84"/>
      <c r="D81" s="84"/>
      <c r="E81" s="84"/>
      <c r="F81" s="84"/>
      <c r="G81" s="84"/>
      <c r="H81" s="84"/>
      <c r="I81" s="84"/>
      <c r="J81" s="84"/>
      <c r="K81" s="84"/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  <c r="Z81" s="84"/>
    </row>
    <row r="82" spans="1:26" ht="15">
      <c r="A82" s="83"/>
      <c r="B82" s="84"/>
      <c r="C82" s="84"/>
      <c r="D82" s="84"/>
      <c r="E82" s="84"/>
      <c r="F82" s="84"/>
      <c r="G82" s="84"/>
      <c r="H82" s="84"/>
      <c r="I82" s="84"/>
      <c r="J82" s="84"/>
      <c r="K82" s="84"/>
      <c r="L82" s="84"/>
      <c r="M82" s="84"/>
      <c r="N82" s="84"/>
      <c r="O82" s="84"/>
      <c r="P82" s="84"/>
      <c r="Q82" s="84"/>
      <c r="R82" s="84"/>
      <c r="S82" s="84"/>
      <c r="T82" s="84"/>
      <c r="U82" s="84"/>
      <c r="V82" s="84"/>
      <c r="W82" s="84"/>
      <c r="X82" s="84"/>
      <c r="Y82" s="84"/>
      <c r="Z82" s="84"/>
    </row>
    <row r="83" spans="1:26" ht="15">
      <c r="A83" s="83"/>
      <c r="B83" s="84"/>
      <c r="C83" s="84"/>
      <c r="D83" s="84"/>
      <c r="E83" s="84"/>
      <c r="F83" s="84"/>
      <c r="G83" s="84"/>
      <c r="H83" s="84"/>
      <c r="I83" s="84"/>
      <c r="J83" s="84"/>
      <c r="K83" s="84"/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84"/>
      <c r="W83" s="84"/>
      <c r="X83" s="84"/>
      <c r="Y83" s="84"/>
      <c r="Z83" s="84"/>
    </row>
    <row r="84" spans="1:26" ht="15">
      <c r="A84" s="83"/>
      <c r="B84" s="84"/>
      <c r="C84" s="84"/>
      <c r="D84" s="84"/>
      <c r="E84" s="84"/>
      <c r="F84" s="84"/>
      <c r="G84" s="84"/>
      <c r="H84" s="84"/>
      <c r="I84" s="84"/>
      <c r="J84" s="84"/>
      <c r="K84" s="84"/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84"/>
      <c r="W84" s="84"/>
      <c r="X84" s="84"/>
      <c r="Y84" s="84"/>
      <c r="Z84" s="84"/>
    </row>
    <row r="85" spans="1:26" ht="15">
      <c r="A85" s="83"/>
      <c r="B85" s="84"/>
      <c r="C85" s="84"/>
      <c r="D85" s="84"/>
      <c r="E85" s="84"/>
      <c r="F85" s="84"/>
      <c r="G85" s="84"/>
      <c r="H85" s="84"/>
      <c r="I85" s="84"/>
      <c r="J85" s="84"/>
      <c r="K85" s="84"/>
      <c r="L85" s="84"/>
      <c r="M85" s="84"/>
      <c r="N85" s="84"/>
      <c r="O85" s="84"/>
      <c r="P85" s="84"/>
      <c r="Q85" s="84"/>
      <c r="R85" s="84"/>
      <c r="S85" s="84"/>
      <c r="T85" s="84"/>
      <c r="U85" s="84"/>
      <c r="V85" s="84"/>
      <c r="W85" s="84"/>
      <c r="X85" s="84"/>
      <c r="Y85" s="84"/>
      <c r="Z85" s="84"/>
    </row>
    <row r="86" spans="1:26" ht="15">
      <c r="A86" s="83"/>
      <c r="B86" s="84"/>
      <c r="C86" s="84"/>
      <c r="D86" s="84"/>
      <c r="E86" s="84"/>
      <c r="F86" s="84"/>
      <c r="G86" s="84"/>
      <c r="H86" s="84"/>
      <c r="I86" s="84"/>
      <c r="J86" s="84"/>
      <c r="K86" s="84"/>
      <c r="L86" s="84"/>
      <c r="M86" s="84"/>
      <c r="N86" s="84"/>
      <c r="O86" s="84"/>
      <c r="P86" s="84"/>
      <c r="Q86" s="84"/>
      <c r="R86" s="84"/>
      <c r="S86" s="84"/>
      <c r="T86" s="84"/>
      <c r="U86" s="84"/>
      <c r="V86" s="84"/>
      <c r="W86" s="84"/>
      <c r="X86" s="84"/>
      <c r="Y86" s="84"/>
      <c r="Z86" s="84"/>
    </row>
    <row r="87" spans="1:26" ht="15">
      <c r="A87" s="83"/>
      <c r="B87" s="84"/>
      <c r="C87" s="84"/>
      <c r="D87" s="84"/>
      <c r="E87" s="84"/>
      <c r="F87" s="84"/>
      <c r="G87" s="84"/>
      <c r="H87" s="84"/>
      <c r="I87" s="84"/>
      <c r="J87" s="84"/>
      <c r="K87" s="84"/>
      <c r="L87" s="84"/>
      <c r="M87" s="84"/>
      <c r="N87" s="84"/>
      <c r="O87" s="84"/>
      <c r="P87" s="84"/>
      <c r="Q87" s="84"/>
      <c r="R87" s="84"/>
      <c r="S87" s="84"/>
      <c r="T87" s="84"/>
      <c r="U87" s="84"/>
      <c r="V87" s="84"/>
      <c r="W87" s="84"/>
      <c r="X87" s="84"/>
      <c r="Y87" s="84"/>
      <c r="Z87" s="84"/>
    </row>
    <row r="88" spans="1:26" ht="15">
      <c r="A88" s="83"/>
      <c r="B88" s="84"/>
      <c r="C88" s="84"/>
      <c r="D88" s="84"/>
      <c r="E88" s="84"/>
      <c r="F88" s="84"/>
      <c r="G88" s="84"/>
      <c r="H88" s="84"/>
      <c r="I88" s="84"/>
      <c r="J88" s="84"/>
      <c r="K88" s="84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  <c r="Y88" s="84"/>
      <c r="Z88" s="84"/>
    </row>
    <row r="89" spans="1:26" ht="15">
      <c r="A89" s="83"/>
      <c r="B89" s="84"/>
      <c r="C89" s="84"/>
      <c r="D89" s="84"/>
      <c r="E89" s="84"/>
      <c r="F89" s="84"/>
      <c r="G89" s="84"/>
      <c r="H89" s="84"/>
      <c r="I89" s="84"/>
      <c r="J89" s="84"/>
      <c r="K89" s="84"/>
      <c r="L89" s="84"/>
      <c r="M89" s="84"/>
      <c r="N89" s="84"/>
      <c r="O89" s="84"/>
      <c r="P89" s="84"/>
      <c r="Q89" s="84"/>
      <c r="R89" s="84"/>
      <c r="S89" s="84"/>
      <c r="T89" s="84"/>
      <c r="U89" s="84"/>
      <c r="V89" s="84"/>
      <c r="W89" s="84"/>
      <c r="X89" s="84"/>
      <c r="Y89" s="84"/>
      <c r="Z89" s="84"/>
    </row>
    <row r="90" spans="1:26" ht="15">
      <c r="A90" s="83"/>
      <c r="B90" s="84"/>
      <c r="C90" s="84"/>
      <c r="D90" s="84"/>
      <c r="E90" s="84"/>
      <c r="F90" s="84"/>
      <c r="G90" s="84"/>
      <c r="H90" s="84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</row>
    <row r="91" spans="1:26" ht="15">
      <c r="A91" s="83"/>
      <c r="B91" s="84"/>
      <c r="C91" s="84"/>
      <c r="D91" s="84"/>
      <c r="E91" s="84"/>
      <c r="F91" s="84"/>
      <c r="G91" s="84"/>
      <c r="H91" s="84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</row>
    <row r="92" spans="1:26" ht="15">
      <c r="A92" s="83"/>
      <c r="B92" s="84"/>
      <c r="C92" s="84"/>
      <c r="D92" s="84"/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</row>
    <row r="93" spans="1:26" ht="15">
      <c r="A93" s="83"/>
      <c r="B93" s="84"/>
      <c r="C93" s="84"/>
      <c r="D93" s="84"/>
      <c r="E93" s="84"/>
      <c r="F93" s="84"/>
      <c r="G93" s="84"/>
      <c r="H93" s="84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</row>
    <row r="94" spans="1:26" ht="15">
      <c r="A94" s="83"/>
      <c r="B94" s="84"/>
      <c r="C94" s="84"/>
      <c r="D94" s="84"/>
      <c r="E94" s="84"/>
      <c r="F94" s="84"/>
      <c r="G94" s="84"/>
      <c r="H94" s="84"/>
      <c r="I94" s="84"/>
      <c r="J94" s="84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</row>
    <row r="95" spans="1:26" ht="15">
      <c r="A95" s="83"/>
      <c r="B95" s="84"/>
      <c r="C95" s="84"/>
      <c r="D95" s="84"/>
      <c r="E95" s="84"/>
      <c r="F95" s="84"/>
      <c r="G95" s="84"/>
      <c r="H95" s="84"/>
      <c r="I95" s="84"/>
      <c r="J95" s="84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</row>
    <row r="96" spans="1:26" ht="15">
      <c r="A96" s="83"/>
      <c r="B96" s="84"/>
      <c r="C96" s="84"/>
      <c r="D96" s="84"/>
      <c r="E96" s="84"/>
      <c r="F96" s="84"/>
      <c r="G96" s="84"/>
      <c r="H96" s="84"/>
      <c r="I96" s="84"/>
      <c r="J96" s="84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</row>
    <row r="97" spans="1:26" ht="15">
      <c r="A97" s="83"/>
      <c r="B97" s="84"/>
      <c r="C97" s="84"/>
      <c r="D97" s="84"/>
      <c r="E97" s="84"/>
      <c r="F97" s="84"/>
      <c r="G97" s="84"/>
      <c r="H97" s="84"/>
      <c r="I97" s="84"/>
      <c r="J97" s="84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</row>
    <row r="98" spans="1:26" ht="15">
      <c r="A98" s="83"/>
      <c r="B98" s="84"/>
      <c r="C98" s="84"/>
      <c r="D98" s="84"/>
      <c r="E98" s="84"/>
      <c r="F98" s="84"/>
      <c r="G98" s="84"/>
      <c r="H98" s="84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</row>
    <row r="99" spans="1:26" ht="15">
      <c r="A99" s="83"/>
      <c r="B99" s="84"/>
      <c r="C99" s="84"/>
      <c r="D99" s="84"/>
      <c r="E99" s="84"/>
      <c r="F99" s="84"/>
      <c r="G99" s="84"/>
      <c r="H99" s="84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</row>
    <row r="100" spans="1:26" ht="15">
      <c r="A100" s="83"/>
      <c r="B100" s="84"/>
      <c r="C100" s="84"/>
      <c r="D100" s="84"/>
      <c r="E100" s="84"/>
      <c r="F100" s="84"/>
      <c r="G100" s="84"/>
      <c r="H100" s="84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</row>
    <row r="101" spans="1:26" ht="15">
      <c r="A101" s="83"/>
      <c r="B101" s="84"/>
      <c r="C101" s="84"/>
      <c r="D101" s="84"/>
      <c r="E101" s="84"/>
      <c r="F101" s="84"/>
      <c r="G101" s="84"/>
      <c r="H101" s="84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84"/>
    </row>
    <row r="102" spans="1:26" ht="15">
      <c r="A102" s="83"/>
      <c r="B102" s="84"/>
      <c r="C102" s="84"/>
      <c r="D102" s="84"/>
      <c r="E102" s="84"/>
      <c r="F102" s="84"/>
      <c r="G102" s="84"/>
      <c r="H102" s="84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</row>
    <row r="103" spans="1:26" ht="15">
      <c r="A103" s="83"/>
      <c r="B103" s="84"/>
      <c r="C103" s="84"/>
      <c r="D103" s="84"/>
      <c r="E103" s="84"/>
      <c r="F103" s="84"/>
      <c r="G103" s="84"/>
      <c r="H103" s="84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</row>
    <row r="104" spans="1:26" ht="15">
      <c r="A104" s="83"/>
      <c r="B104" s="84"/>
      <c r="C104" s="84"/>
      <c r="D104" s="84"/>
      <c r="E104" s="84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</row>
    <row r="105" spans="1:26" ht="15">
      <c r="A105" s="83"/>
      <c r="B105" s="84"/>
      <c r="C105" s="84"/>
      <c r="D105" s="84"/>
      <c r="E105" s="84"/>
      <c r="F105" s="84"/>
      <c r="G105" s="84"/>
      <c r="H105" s="84"/>
      <c r="I105" s="84"/>
      <c r="J105" s="84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</row>
    <row r="106" spans="1:26" ht="15">
      <c r="A106" s="83"/>
      <c r="B106" s="84"/>
      <c r="C106" s="84"/>
      <c r="D106" s="84"/>
      <c r="E106" s="84"/>
      <c r="F106" s="84"/>
      <c r="G106" s="84"/>
      <c r="H106" s="84"/>
      <c r="I106" s="84"/>
      <c r="J106" s="84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</row>
    <row r="107" spans="1:26" ht="15">
      <c r="A107" s="83"/>
      <c r="B107" s="84"/>
      <c r="C107" s="84"/>
      <c r="D107" s="84"/>
      <c r="E107" s="84"/>
      <c r="F107" s="84"/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</row>
    <row r="108" spans="1:26" ht="15">
      <c r="A108" s="83"/>
      <c r="B108" s="84"/>
      <c r="C108" s="84"/>
      <c r="D108" s="84"/>
      <c r="E108" s="84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</row>
    <row r="109" spans="1:26" ht="15">
      <c r="A109" s="83"/>
      <c r="B109" s="84"/>
      <c r="C109" s="84"/>
      <c r="D109" s="84"/>
      <c r="E109" s="84"/>
      <c r="F109" s="84"/>
      <c r="G109" s="84"/>
      <c r="H109" s="84"/>
      <c r="I109" s="84"/>
      <c r="J109" s="84"/>
      <c r="K109" s="84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</row>
    <row r="110" spans="1:26" ht="15">
      <c r="A110" s="83"/>
      <c r="B110" s="84"/>
      <c r="C110" s="84"/>
      <c r="D110" s="84"/>
      <c r="E110" s="84"/>
      <c r="F110" s="84"/>
      <c r="G110" s="84"/>
      <c r="H110" s="84"/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</row>
    <row r="111" spans="1:26" ht="15">
      <c r="A111" s="83"/>
      <c r="B111" s="84"/>
      <c r="C111" s="84"/>
      <c r="D111" s="84"/>
      <c r="E111" s="84"/>
      <c r="F111" s="84"/>
      <c r="G111" s="84"/>
      <c r="H111" s="84"/>
      <c r="I111" s="84"/>
      <c r="J111" s="84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</row>
    <row r="112" spans="1:26" ht="15">
      <c r="A112" s="83"/>
      <c r="B112" s="84"/>
      <c r="C112" s="84"/>
      <c r="D112" s="84"/>
      <c r="E112" s="84"/>
      <c r="F112" s="84"/>
      <c r="G112" s="84"/>
      <c r="H112" s="84"/>
      <c r="I112" s="84"/>
      <c r="J112" s="84"/>
      <c r="K112" s="84"/>
      <c r="L112" s="84"/>
      <c r="M112" s="84"/>
      <c r="N112" s="84"/>
      <c r="O112" s="84"/>
      <c r="P112" s="84"/>
      <c r="Q112" s="84"/>
      <c r="R112" s="84"/>
      <c r="S112" s="84"/>
      <c r="T112" s="84"/>
      <c r="U112" s="84"/>
      <c r="V112" s="84"/>
      <c r="W112" s="84"/>
      <c r="X112" s="84"/>
      <c r="Y112" s="84"/>
      <c r="Z112" s="84"/>
    </row>
    <row r="113" spans="1:26" ht="15">
      <c r="A113" s="83"/>
      <c r="B113" s="84"/>
      <c r="C113" s="84"/>
      <c r="D113" s="84"/>
      <c r="E113" s="84"/>
      <c r="F113" s="84"/>
      <c r="G113" s="84"/>
      <c r="H113" s="84"/>
      <c r="I113" s="84"/>
      <c r="J113" s="84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</row>
    <row r="114" spans="1:26" ht="15">
      <c r="A114" s="83"/>
      <c r="B114" s="84"/>
      <c r="C114" s="84"/>
      <c r="D114" s="84"/>
      <c r="E114" s="84"/>
      <c r="F114" s="84"/>
      <c r="G114" s="84"/>
      <c r="H114" s="84"/>
      <c r="I114" s="84"/>
      <c r="J114" s="84"/>
      <c r="K114" s="84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</row>
    <row r="115" spans="1:26" ht="15">
      <c r="A115" s="83"/>
      <c r="B115" s="84"/>
      <c r="C115" s="84"/>
      <c r="D115" s="84"/>
      <c r="E115" s="84"/>
      <c r="F115" s="84"/>
      <c r="G115" s="84"/>
      <c r="H115" s="84"/>
      <c r="I115" s="84"/>
      <c r="J115" s="84"/>
      <c r="K115" s="84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</row>
    <row r="116" spans="1:26" ht="15">
      <c r="A116" s="83"/>
      <c r="B116" s="84"/>
      <c r="C116" s="84"/>
      <c r="D116" s="84"/>
      <c r="E116" s="84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</row>
    <row r="117" spans="1:26" ht="15">
      <c r="A117" s="83"/>
      <c r="B117" s="84"/>
      <c r="C117" s="84"/>
      <c r="D117" s="84"/>
      <c r="E117" s="84"/>
      <c r="F117" s="84"/>
      <c r="G117" s="84"/>
      <c r="H117" s="84"/>
      <c r="I117" s="84"/>
      <c r="J117" s="84"/>
      <c r="K117" s="84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</row>
    <row r="118" spans="1:26" ht="15">
      <c r="A118" s="83"/>
      <c r="B118" s="84"/>
      <c r="C118" s="84"/>
      <c r="D118" s="84"/>
      <c r="E118" s="84"/>
      <c r="F118" s="84"/>
      <c r="G118" s="84"/>
      <c r="H118" s="84"/>
      <c r="I118" s="84"/>
      <c r="J118" s="84"/>
      <c r="K118" s="84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  <c r="Y118" s="84"/>
      <c r="Z118" s="84"/>
    </row>
    <row r="119" spans="1:26" ht="15">
      <c r="A119" s="83"/>
      <c r="B119" s="84"/>
      <c r="C119" s="84"/>
      <c r="D119" s="84"/>
      <c r="E119" s="84"/>
      <c r="F119" s="84"/>
      <c r="G119" s="84"/>
      <c r="H119" s="84"/>
      <c r="I119" s="84"/>
      <c r="J119" s="84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</row>
    <row r="120" spans="1:26" ht="15">
      <c r="A120" s="83"/>
      <c r="B120" s="84"/>
      <c r="C120" s="84"/>
      <c r="D120" s="84"/>
      <c r="E120" s="84"/>
      <c r="F120" s="84"/>
      <c r="G120" s="84"/>
      <c r="H120" s="84"/>
      <c r="I120" s="84"/>
      <c r="J120" s="84"/>
      <c r="K120" s="84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</row>
    <row r="121" spans="1:26" ht="15">
      <c r="A121" s="83"/>
      <c r="B121" s="84"/>
      <c r="C121" s="84"/>
      <c r="D121" s="84"/>
      <c r="E121" s="84"/>
      <c r="F121" s="84"/>
      <c r="G121" s="84"/>
      <c r="H121" s="84"/>
      <c r="I121" s="84"/>
      <c r="J121" s="84"/>
      <c r="K121" s="84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</row>
    <row r="122" spans="1:26" ht="15">
      <c r="A122" s="83"/>
      <c r="B122" s="84"/>
      <c r="C122" s="84"/>
      <c r="D122" s="84"/>
      <c r="E122" s="84"/>
      <c r="F122" s="84"/>
      <c r="G122" s="84"/>
      <c r="H122" s="84"/>
      <c r="I122" s="84"/>
      <c r="J122" s="84"/>
      <c r="K122" s="84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</row>
    <row r="123" spans="1:26" ht="15">
      <c r="A123" s="83"/>
      <c r="B123" s="84"/>
      <c r="C123" s="84"/>
      <c r="D123" s="84"/>
      <c r="E123" s="84"/>
      <c r="F123" s="84"/>
      <c r="G123" s="84"/>
      <c r="H123" s="84"/>
      <c r="I123" s="84"/>
      <c r="J123" s="84"/>
      <c r="K123" s="84"/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</row>
    <row r="124" spans="1:26" ht="15">
      <c r="A124" s="83"/>
      <c r="B124" s="84"/>
      <c r="C124" s="84"/>
      <c r="D124" s="84"/>
      <c r="E124" s="84"/>
      <c r="F124" s="84"/>
      <c r="G124" s="84"/>
      <c r="H124" s="84"/>
      <c r="I124" s="84"/>
      <c r="J124" s="84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</row>
    <row r="125" spans="1:26" ht="15">
      <c r="A125" s="83"/>
      <c r="B125" s="84"/>
      <c r="C125" s="84"/>
      <c r="D125" s="84"/>
      <c r="E125" s="84"/>
      <c r="F125" s="84"/>
      <c r="G125" s="84"/>
      <c r="H125" s="84"/>
      <c r="I125" s="84"/>
      <c r="J125" s="84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</row>
    <row r="126" spans="1:26" ht="15">
      <c r="A126" s="83"/>
      <c r="B126" s="84"/>
      <c r="C126" s="84"/>
      <c r="D126" s="84"/>
      <c r="E126" s="84"/>
      <c r="F126" s="84"/>
      <c r="G126" s="84"/>
      <c r="H126" s="84"/>
      <c r="I126" s="84"/>
      <c r="J126" s="84"/>
      <c r="K126" s="84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  <c r="Y126" s="84"/>
      <c r="Z126" s="84"/>
    </row>
    <row r="127" spans="1:26" ht="15">
      <c r="A127" s="83"/>
      <c r="B127" s="84"/>
      <c r="C127" s="84"/>
      <c r="D127" s="84"/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/>
    </row>
    <row r="128" spans="1:26" ht="15">
      <c r="A128" s="83"/>
      <c r="B128" s="84"/>
      <c r="C128" s="84"/>
      <c r="D128" s="84"/>
      <c r="E128" s="84"/>
      <c r="F128" s="84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</row>
    <row r="129" spans="1:26" ht="15">
      <c r="A129" s="83"/>
      <c r="B129" s="84"/>
      <c r="C129" s="84"/>
      <c r="D129" s="84"/>
      <c r="E129" s="84"/>
      <c r="F129" s="84"/>
      <c r="G129" s="84"/>
      <c r="H129" s="84"/>
      <c r="I129" s="84"/>
      <c r="J129" s="84"/>
      <c r="K129" s="84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</row>
    <row r="130" spans="1:26" ht="15">
      <c r="A130" s="83"/>
      <c r="B130" s="84"/>
      <c r="C130" s="84"/>
      <c r="D130" s="84"/>
      <c r="E130" s="84"/>
      <c r="F130" s="84"/>
      <c r="G130" s="84"/>
      <c r="H130" s="84"/>
      <c r="I130" s="84"/>
      <c r="J130" s="84"/>
      <c r="K130" s="84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</row>
    <row r="131" spans="1:26" ht="15">
      <c r="A131" s="83"/>
      <c r="B131" s="84"/>
      <c r="C131" s="84"/>
      <c r="D131" s="84"/>
      <c r="E131" s="84"/>
      <c r="F131" s="84"/>
      <c r="G131" s="84"/>
      <c r="H131" s="84"/>
      <c r="I131" s="84"/>
      <c r="J131" s="84"/>
      <c r="K131" s="84"/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  <c r="Z131" s="84"/>
    </row>
    <row r="132" spans="1:26" ht="15">
      <c r="A132" s="83"/>
      <c r="B132" s="84"/>
      <c r="C132" s="84"/>
      <c r="D132" s="84"/>
      <c r="E132" s="84"/>
      <c r="F132" s="84"/>
      <c r="G132" s="84"/>
      <c r="H132" s="84"/>
      <c r="I132" s="84"/>
      <c r="J132" s="84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</row>
    <row r="133" spans="1:26" ht="15">
      <c r="A133" s="83"/>
      <c r="B133" s="84"/>
      <c r="C133" s="84"/>
      <c r="D133" s="84"/>
      <c r="E133" s="84"/>
      <c r="F133" s="84"/>
      <c r="G133" s="84"/>
      <c r="H133" s="84"/>
      <c r="I133" s="84"/>
      <c r="J133" s="84"/>
      <c r="K133" s="84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</row>
    <row r="134" spans="1:26" ht="15">
      <c r="A134" s="83"/>
      <c r="B134" s="84"/>
      <c r="C134" s="84"/>
      <c r="D134" s="84"/>
      <c r="E134" s="84"/>
      <c r="F134" s="84"/>
      <c r="G134" s="84"/>
      <c r="H134" s="84"/>
      <c r="I134" s="84"/>
      <c r="J134" s="84"/>
      <c r="K134" s="84"/>
      <c r="L134" s="84"/>
      <c r="M134" s="84"/>
      <c r="N134" s="84"/>
      <c r="O134" s="84"/>
      <c r="P134" s="84"/>
      <c r="Q134" s="84"/>
      <c r="R134" s="84"/>
      <c r="S134" s="84"/>
      <c r="T134" s="84"/>
      <c r="U134" s="84"/>
      <c r="V134" s="84"/>
      <c r="W134" s="84"/>
      <c r="X134" s="84"/>
      <c r="Y134" s="84"/>
      <c r="Z134" s="84"/>
    </row>
    <row r="135" spans="1:26" ht="15">
      <c r="A135" s="83"/>
      <c r="B135" s="84"/>
      <c r="C135" s="84"/>
      <c r="D135" s="84"/>
      <c r="E135" s="84"/>
      <c r="F135" s="84"/>
      <c r="G135" s="84"/>
      <c r="H135" s="84"/>
      <c r="I135" s="84"/>
      <c r="J135" s="84"/>
      <c r="K135" s="84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</row>
    <row r="136" spans="1:26" ht="15">
      <c r="A136" s="83"/>
      <c r="B136" s="84"/>
      <c r="C136" s="84"/>
      <c r="D136" s="84"/>
      <c r="E136" s="84"/>
      <c r="F136" s="84"/>
      <c r="G136" s="84"/>
      <c r="H136" s="84"/>
      <c r="I136" s="84"/>
      <c r="J136" s="84"/>
      <c r="K136" s="84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</row>
    <row r="137" spans="1:26" ht="15">
      <c r="A137" s="83"/>
      <c r="B137" s="84"/>
      <c r="C137" s="84"/>
      <c r="D137" s="84"/>
      <c r="E137" s="84"/>
      <c r="F137" s="84"/>
      <c r="G137" s="84"/>
      <c r="H137" s="84"/>
      <c r="I137" s="84"/>
      <c r="J137" s="84"/>
      <c r="K137" s="84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</row>
    <row r="138" spans="1:26" ht="15">
      <c r="A138" s="83"/>
      <c r="B138" s="84"/>
      <c r="C138" s="84"/>
      <c r="D138" s="84"/>
      <c r="E138" s="84"/>
      <c r="F138" s="84"/>
      <c r="G138" s="84"/>
      <c r="H138" s="84"/>
      <c r="I138" s="84"/>
      <c r="J138" s="84"/>
      <c r="K138" s="84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</row>
    <row r="139" spans="1:26" ht="15">
      <c r="A139" s="83"/>
      <c r="B139" s="84"/>
      <c r="C139" s="84"/>
      <c r="D139" s="84"/>
      <c r="E139" s="84"/>
      <c r="F139" s="84"/>
      <c r="G139" s="84"/>
      <c r="H139" s="84"/>
      <c r="I139" s="84"/>
      <c r="J139" s="84"/>
      <c r="K139" s="84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</row>
    <row r="140" spans="1:26" ht="15">
      <c r="A140" s="83"/>
      <c r="B140" s="84"/>
      <c r="C140" s="84"/>
      <c r="D140" s="84"/>
      <c r="E140" s="84"/>
      <c r="F140" s="84"/>
      <c r="G140" s="84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</row>
    <row r="141" spans="1:26" ht="15">
      <c r="A141" s="83"/>
      <c r="B141" s="84"/>
      <c r="C141" s="84"/>
      <c r="D141" s="84"/>
      <c r="E141" s="84"/>
      <c r="F141" s="84"/>
      <c r="G141" s="84"/>
      <c r="H141" s="84"/>
      <c r="I141" s="84"/>
      <c r="J141" s="84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</row>
    <row r="142" spans="1:26" ht="15">
      <c r="A142" s="83"/>
      <c r="B142" s="84"/>
      <c r="C142" s="84"/>
      <c r="D142" s="84"/>
      <c r="E142" s="84"/>
      <c r="F142" s="84"/>
      <c r="G142" s="84"/>
      <c r="H142" s="84"/>
      <c r="I142" s="84"/>
      <c r="J142" s="84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</row>
    <row r="143" spans="1:26" ht="15">
      <c r="A143" s="83"/>
      <c r="B143" s="84"/>
      <c r="C143" s="84"/>
      <c r="D143" s="84"/>
      <c r="E143" s="84"/>
      <c r="F143" s="84"/>
      <c r="G143" s="84"/>
      <c r="H143" s="84"/>
      <c r="I143" s="84"/>
      <c r="J143" s="84"/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</row>
    <row r="144" spans="1:26" ht="15">
      <c r="A144" s="83"/>
      <c r="B144" s="84"/>
      <c r="C144" s="84"/>
      <c r="D144" s="84"/>
      <c r="E144" s="84"/>
      <c r="F144" s="84"/>
      <c r="G144" s="84"/>
      <c r="H144" s="84"/>
      <c r="I144" s="84"/>
      <c r="J144" s="84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</row>
    <row r="145" spans="1:26" ht="15">
      <c r="A145" s="83"/>
      <c r="B145" s="84"/>
      <c r="C145" s="84"/>
      <c r="D145" s="84"/>
      <c r="E145" s="84"/>
      <c r="F145" s="84"/>
      <c r="G145" s="84"/>
      <c r="H145" s="84"/>
      <c r="I145" s="84"/>
      <c r="J145" s="84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</row>
    <row r="146" spans="1:26" ht="15">
      <c r="A146" s="83"/>
      <c r="B146" s="84"/>
      <c r="C146" s="84"/>
      <c r="D146" s="84"/>
      <c r="E146" s="84"/>
      <c r="F146" s="84"/>
      <c r="G146" s="84"/>
      <c r="H146" s="84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/>
      <c r="Y146" s="84"/>
      <c r="Z146" s="84"/>
    </row>
    <row r="147" spans="1:26" ht="15">
      <c r="A147" s="83"/>
      <c r="B147" s="84"/>
      <c r="C147" s="84"/>
      <c r="D147" s="84"/>
      <c r="E147" s="84"/>
      <c r="F147" s="84"/>
      <c r="G147" s="84"/>
      <c r="H147" s="84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</row>
    <row r="148" spans="1:26" ht="15">
      <c r="A148" s="83"/>
      <c r="B148" s="84"/>
      <c r="C148" s="84"/>
      <c r="D148" s="84"/>
      <c r="E148" s="84"/>
      <c r="F148" s="84"/>
      <c r="G148" s="84"/>
      <c r="H148" s="84"/>
      <c r="I148" s="84"/>
      <c r="J148" s="84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</row>
    <row r="149" spans="1:26" ht="15">
      <c r="A149" s="83"/>
      <c r="B149" s="84"/>
      <c r="C149" s="84"/>
      <c r="D149" s="84"/>
      <c r="E149" s="84"/>
      <c r="F149" s="84"/>
      <c r="G149" s="84"/>
      <c r="H149" s="84"/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</row>
    <row r="150" spans="1:26" ht="15">
      <c r="A150" s="83"/>
      <c r="B150" s="84"/>
      <c r="C150" s="84"/>
      <c r="D150" s="84"/>
      <c r="E150" s="84"/>
      <c r="F150" s="84"/>
      <c r="G150" s="84"/>
      <c r="H150" s="84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</row>
    <row r="151" spans="1:26" ht="15">
      <c r="A151" s="83"/>
      <c r="B151" s="84"/>
      <c r="C151" s="84"/>
      <c r="D151" s="84"/>
      <c r="E151" s="84"/>
      <c r="F151" s="84"/>
      <c r="G151" s="84"/>
      <c r="H151" s="84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</row>
    <row r="152" spans="1:26" ht="15">
      <c r="A152" s="83"/>
      <c r="B152" s="84"/>
      <c r="C152" s="84"/>
      <c r="D152" s="84"/>
      <c r="E152" s="84"/>
      <c r="F152" s="84"/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</row>
    <row r="153" spans="1:26" ht="15">
      <c r="A153" s="83"/>
      <c r="B153" s="84"/>
      <c r="C153" s="84"/>
      <c r="D153" s="84"/>
      <c r="E153" s="84"/>
      <c r="F153" s="84"/>
      <c r="G153" s="84"/>
      <c r="H153" s="84"/>
      <c r="I153" s="84"/>
      <c r="J153" s="84"/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</row>
    <row r="154" spans="1:26" ht="15">
      <c r="A154" s="83"/>
      <c r="B154" s="84"/>
      <c r="C154" s="84"/>
      <c r="D154" s="84"/>
      <c r="E154" s="84"/>
      <c r="F154" s="84"/>
      <c r="G154" s="84"/>
      <c r="H154" s="84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</row>
    <row r="155" spans="1:26" ht="15">
      <c r="A155" s="83"/>
      <c r="B155" s="84"/>
      <c r="C155" s="84"/>
      <c r="D155" s="84"/>
      <c r="E155" s="84"/>
      <c r="F155" s="84"/>
      <c r="G155" s="84"/>
      <c r="H155" s="84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4"/>
    </row>
    <row r="156" spans="1:26" ht="15">
      <c r="A156" s="83"/>
      <c r="B156" s="84"/>
      <c r="C156" s="84"/>
      <c r="D156" s="84"/>
      <c r="E156" s="84"/>
      <c r="F156" s="84"/>
      <c r="G156" s="84"/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</row>
    <row r="157" spans="1:26" ht="15">
      <c r="A157" s="83"/>
      <c r="B157" s="84"/>
      <c r="C157" s="84"/>
      <c r="D157" s="84"/>
      <c r="E157" s="84"/>
      <c r="F157" s="84"/>
      <c r="G157" s="84"/>
      <c r="H157" s="84"/>
      <c r="I157" s="84"/>
      <c r="J157" s="84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</row>
    <row r="158" spans="1:26" ht="15">
      <c r="A158" s="83"/>
      <c r="B158" s="84"/>
      <c r="C158" s="84"/>
      <c r="D158" s="84"/>
      <c r="E158" s="84"/>
      <c r="F158" s="84"/>
      <c r="G158" s="84"/>
      <c r="H158" s="84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</row>
    <row r="159" spans="1:26" ht="15">
      <c r="A159" s="83"/>
      <c r="B159" s="84"/>
      <c r="C159" s="84"/>
      <c r="D159" s="84"/>
      <c r="E159" s="84"/>
      <c r="F159" s="84"/>
      <c r="G159" s="84"/>
      <c r="H159" s="84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</row>
    <row r="160" spans="1:26" ht="15">
      <c r="A160" s="83"/>
      <c r="B160" s="84"/>
      <c r="C160" s="84"/>
      <c r="D160" s="84"/>
      <c r="E160" s="84"/>
      <c r="F160" s="84"/>
      <c r="G160" s="84"/>
      <c r="H160" s="84"/>
      <c r="I160" s="84"/>
      <c r="J160" s="84"/>
      <c r="K160" s="84"/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84"/>
      <c r="W160" s="84"/>
      <c r="X160" s="84"/>
      <c r="Y160" s="84"/>
      <c r="Z160" s="84"/>
    </row>
    <row r="161" spans="1:26" ht="15">
      <c r="A161" s="83"/>
      <c r="B161" s="84"/>
      <c r="C161" s="84"/>
      <c r="D161" s="84"/>
      <c r="E161" s="84"/>
      <c r="F161" s="84"/>
      <c r="G161" s="84"/>
      <c r="H161" s="84"/>
      <c r="I161" s="84"/>
      <c r="J161" s="84"/>
      <c r="K161" s="84"/>
      <c r="L161" s="84"/>
      <c r="M161" s="84"/>
      <c r="N161" s="84"/>
      <c r="O161" s="84"/>
      <c r="P161" s="84"/>
      <c r="Q161" s="84"/>
      <c r="R161" s="84"/>
      <c r="S161" s="84"/>
      <c r="T161" s="84"/>
      <c r="U161" s="84"/>
      <c r="V161" s="84"/>
      <c r="W161" s="84"/>
      <c r="X161" s="84"/>
      <c r="Y161" s="84"/>
      <c r="Z161" s="84"/>
    </row>
    <row r="162" spans="1:26" ht="15">
      <c r="A162" s="83"/>
      <c r="B162" s="84"/>
      <c r="C162" s="84"/>
      <c r="D162" s="84"/>
      <c r="E162" s="84"/>
      <c r="F162" s="84"/>
      <c r="G162" s="84"/>
      <c r="H162" s="84"/>
      <c r="I162" s="84"/>
      <c r="J162" s="84"/>
      <c r="K162" s="84"/>
      <c r="L162" s="84"/>
      <c r="M162" s="84"/>
      <c r="N162" s="84"/>
      <c r="O162" s="84"/>
      <c r="P162" s="84"/>
      <c r="Q162" s="84"/>
      <c r="R162" s="84"/>
      <c r="S162" s="84"/>
      <c r="T162" s="84"/>
      <c r="U162" s="84"/>
      <c r="V162" s="84"/>
      <c r="W162" s="84"/>
      <c r="X162" s="84"/>
      <c r="Y162" s="84"/>
      <c r="Z162" s="84"/>
    </row>
    <row r="163" spans="1:26" ht="15">
      <c r="A163" s="83"/>
      <c r="B163" s="84"/>
      <c r="C163" s="84"/>
      <c r="D163" s="84"/>
      <c r="E163" s="84"/>
      <c r="F163" s="84"/>
      <c r="G163" s="84"/>
      <c r="H163" s="84"/>
      <c r="I163" s="84"/>
      <c r="J163" s="84"/>
      <c r="K163" s="84"/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84"/>
      <c r="W163" s="84"/>
      <c r="X163" s="84"/>
      <c r="Y163" s="84"/>
      <c r="Z163" s="84"/>
    </row>
    <row r="164" spans="1:26" ht="15">
      <c r="A164" s="83"/>
      <c r="B164" s="84"/>
      <c r="C164" s="84"/>
      <c r="D164" s="84"/>
      <c r="E164" s="84"/>
      <c r="F164" s="84"/>
      <c r="G164" s="84"/>
      <c r="H164" s="84"/>
      <c r="I164" s="84"/>
      <c r="J164" s="84"/>
      <c r="K164" s="84"/>
      <c r="L164" s="84"/>
      <c r="M164" s="84"/>
      <c r="N164" s="84"/>
      <c r="O164" s="84"/>
      <c r="P164" s="84"/>
      <c r="Q164" s="84"/>
      <c r="R164" s="84"/>
      <c r="S164" s="84"/>
      <c r="T164" s="84"/>
      <c r="U164" s="84"/>
      <c r="V164" s="84"/>
      <c r="W164" s="84"/>
      <c r="X164" s="84"/>
      <c r="Y164" s="84"/>
      <c r="Z164" s="84"/>
    </row>
    <row r="165" spans="1:26" ht="15">
      <c r="A165" s="83"/>
      <c r="B165" s="84"/>
      <c r="C165" s="84"/>
      <c r="D165" s="84"/>
      <c r="E165" s="84"/>
      <c r="F165" s="84"/>
      <c r="G165" s="84"/>
      <c r="H165" s="84"/>
      <c r="I165" s="84"/>
      <c r="J165" s="84"/>
      <c r="K165" s="84"/>
      <c r="L165" s="84"/>
      <c r="M165" s="84"/>
      <c r="N165" s="84"/>
      <c r="O165" s="84"/>
      <c r="P165" s="84"/>
      <c r="Q165" s="84"/>
      <c r="R165" s="84"/>
      <c r="S165" s="84"/>
      <c r="T165" s="84"/>
      <c r="U165" s="84"/>
      <c r="V165" s="84"/>
      <c r="W165" s="84"/>
      <c r="X165" s="84"/>
      <c r="Y165" s="84"/>
      <c r="Z165" s="84"/>
    </row>
    <row r="166" spans="1:26" ht="15">
      <c r="A166" s="83"/>
      <c r="B166" s="84"/>
      <c r="C166" s="84"/>
      <c r="D166" s="84"/>
      <c r="E166" s="84"/>
      <c r="F166" s="84"/>
      <c r="G166" s="84"/>
      <c r="H166" s="84"/>
      <c r="I166" s="84"/>
      <c r="J166" s="84"/>
      <c r="K166" s="84"/>
      <c r="L166" s="84"/>
      <c r="M166" s="84"/>
      <c r="N166" s="84"/>
      <c r="O166" s="84"/>
      <c r="P166" s="84"/>
      <c r="Q166" s="84"/>
      <c r="R166" s="84"/>
      <c r="S166" s="84"/>
      <c r="T166" s="84"/>
      <c r="U166" s="84"/>
      <c r="V166" s="84"/>
      <c r="W166" s="84"/>
      <c r="X166" s="84"/>
      <c r="Y166" s="84"/>
      <c r="Z166" s="84"/>
    </row>
    <row r="167" spans="1:26" ht="15">
      <c r="A167" s="83"/>
      <c r="B167" s="84"/>
      <c r="C167" s="84"/>
      <c r="D167" s="84"/>
      <c r="E167" s="84"/>
      <c r="F167" s="84"/>
      <c r="G167" s="84"/>
      <c r="H167" s="84"/>
      <c r="I167" s="84"/>
      <c r="J167" s="84"/>
      <c r="K167" s="84"/>
      <c r="L167" s="84"/>
      <c r="M167" s="84"/>
      <c r="N167" s="84"/>
      <c r="O167" s="84"/>
      <c r="P167" s="84"/>
      <c r="Q167" s="84"/>
      <c r="R167" s="84"/>
      <c r="S167" s="84"/>
      <c r="T167" s="84"/>
      <c r="U167" s="84"/>
      <c r="V167" s="84"/>
      <c r="W167" s="84"/>
      <c r="X167" s="84"/>
      <c r="Y167" s="84"/>
      <c r="Z167" s="84"/>
    </row>
    <row r="168" spans="1:26" ht="15">
      <c r="A168" s="83"/>
      <c r="B168" s="84"/>
      <c r="C168" s="84"/>
      <c r="D168" s="84"/>
      <c r="E168" s="84"/>
      <c r="F168" s="84"/>
      <c r="G168" s="84"/>
      <c r="H168" s="84"/>
      <c r="I168" s="84"/>
      <c r="J168" s="84"/>
      <c r="K168" s="84"/>
      <c r="L168" s="84"/>
      <c r="M168" s="84"/>
      <c r="N168" s="84"/>
      <c r="O168" s="84"/>
      <c r="P168" s="84"/>
      <c r="Q168" s="84"/>
      <c r="R168" s="84"/>
      <c r="S168" s="84"/>
      <c r="T168" s="84"/>
      <c r="U168" s="84"/>
      <c r="V168" s="84"/>
      <c r="W168" s="84"/>
      <c r="X168" s="84"/>
      <c r="Y168" s="84"/>
      <c r="Z168" s="84"/>
    </row>
    <row r="169" spans="1:26" ht="15">
      <c r="A169" s="83"/>
      <c r="B169" s="84"/>
      <c r="C169" s="84"/>
      <c r="D169" s="84"/>
      <c r="E169" s="84"/>
      <c r="F169" s="84"/>
      <c r="G169" s="84"/>
      <c r="H169" s="84"/>
      <c r="I169" s="84"/>
      <c r="J169" s="84"/>
      <c r="K169" s="84"/>
      <c r="L169" s="84"/>
      <c r="M169" s="84"/>
      <c r="N169" s="84"/>
      <c r="O169" s="84"/>
      <c r="P169" s="84"/>
      <c r="Q169" s="84"/>
      <c r="R169" s="84"/>
      <c r="S169" s="84"/>
      <c r="T169" s="84"/>
      <c r="U169" s="84"/>
      <c r="V169" s="84"/>
      <c r="W169" s="84"/>
      <c r="X169" s="84"/>
      <c r="Y169" s="84"/>
      <c r="Z169" s="84"/>
    </row>
    <row r="170" spans="1:26" ht="15">
      <c r="A170" s="83"/>
      <c r="B170" s="84"/>
      <c r="C170" s="84"/>
      <c r="D170" s="84"/>
      <c r="E170" s="84"/>
      <c r="F170" s="84"/>
      <c r="G170" s="84"/>
      <c r="H170" s="84"/>
      <c r="I170" s="84"/>
      <c r="J170" s="84"/>
      <c r="K170" s="84"/>
      <c r="L170" s="84"/>
      <c r="M170" s="84"/>
      <c r="N170" s="84"/>
      <c r="O170" s="84"/>
      <c r="P170" s="84"/>
      <c r="Q170" s="84"/>
      <c r="R170" s="84"/>
      <c r="S170" s="84"/>
      <c r="T170" s="84"/>
      <c r="U170" s="84"/>
      <c r="V170" s="84"/>
      <c r="W170" s="84"/>
      <c r="X170" s="84"/>
      <c r="Y170" s="84"/>
      <c r="Z170" s="84"/>
    </row>
    <row r="171" spans="1:26" ht="15">
      <c r="A171" s="83"/>
      <c r="B171" s="84"/>
      <c r="C171" s="84"/>
      <c r="D171" s="84"/>
      <c r="E171" s="84"/>
      <c r="F171" s="84"/>
      <c r="G171" s="84"/>
      <c r="H171" s="84"/>
      <c r="I171" s="84"/>
      <c r="J171" s="84"/>
      <c r="K171" s="84"/>
      <c r="L171" s="84"/>
      <c r="M171" s="84"/>
      <c r="N171" s="84"/>
      <c r="O171" s="84"/>
      <c r="P171" s="84"/>
      <c r="Q171" s="84"/>
      <c r="R171" s="84"/>
      <c r="S171" s="84"/>
      <c r="T171" s="84"/>
      <c r="U171" s="84"/>
      <c r="V171" s="84"/>
      <c r="W171" s="84"/>
      <c r="X171" s="84"/>
      <c r="Y171" s="84"/>
      <c r="Z171" s="84"/>
    </row>
    <row r="172" spans="1:26" ht="15">
      <c r="A172" s="83"/>
      <c r="B172" s="84"/>
      <c r="C172" s="84"/>
      <c r="D172" s="84"/>
      <c r="E172" s="84"/>
      <c r="F172" s="84"/>
      <c r="G172" s="84"/>
      <c r="H172" s="84"/>
      <c r="I172" s="84"/>
      <c r="J172" s="84"/>
      <c r="K172" s="84"/>
      <c r="L172" s="84"/>
      <c r="M172" s="84"/>
      <c r="N172" s="84"/>
      <c r="O172" s="84"/>
      <c r="P172" s="84"/>
      <c r="Q172" s="84"/>
      <c r="R172" s="84"/>
      <c r="S172" s="84"/>
      <c r="T172" s="84"/>
      <c r="U172" s="84"/>
      <c r="V172" s="84"/>
      <c r="W172" s="84"/>
      <c r="X172" s="84"/>
      <c r="Y172" s="84"/>
      <c r="Z172" s="84"/>
    </row>
    <row r="173" spans="1:26" ht="15">
      <c r="A173" s="83"/>
      <c r="B173" s="84"/>
      <c r="C173" s="84"/>
      <c r="D173" s="84"/>
      <c r="E173" s="84"/>
      <c r="F173" s="84"/>
      <c r="G173" s="84"/>
      <c r="H173" s="84"/>
      <c r="I173" s="84"/>
      <c r="J173" s="84"/>
      <c r="K173" s="84"/>
      <c r="L173" s="84"/>
      <c r="M173" s="84"/>
      <c r="N173" s="84"/>
      <c r="O173" s="84"/>
      <c r="P173" s="84"/>
      <c r="Q173" s="84"/>
      <c r="R173" s="84"/>
      <c r="S173" s="84"/>
      <c r="T173" s="84"/>
      <c r="U173" s="84"/>
      <c r="V173" s="84"/>
      <c r="W173" s="84"/>
      <c r="X173" s="84"/>
      <c r="Y173" s="84"/>
      <c r="Z173" s="84"/>
    </row>
    <row r="174" spans="1:26" ht="15">
      <c r="A174" s="83"/>
      <c r="B174" s="84"/>
      <c r="C174" s="84"/>
      <c r="D174" s="84"/>
      <c r="E174" s="84"/>
      <c r="F174" s="84"/>
      <c r="G174" s="84"/>
      <c r="H174" s="84"/>
      <c r="I174" s="84"/>
      <c r="J174" s="84"/>
      <c r="K174" s="84"/>
      <c r="L174" s="84"/>
      <c r="M174" s="84"/>
      <c r="N174" s="84"/>
      <c r="O174" s="84"/>
      <c r="P174" s="84"/>
      <c r="Q174" s="84"/>
      <c r="R174" s="84"/>
      <c r="S174" s="84"/>
      <c r="T174" s="84"/>
      <c r="U174" s="84"/>
      <c r="V174" s="84"/>
      <c r="W174" s="84"/>
      <c r="X174" s="84"/>
      <c r="Y174" s="84"/>
      <c r="Z174" s="84"/>
    </row>
    <row r="175" spans="1:26" ht="15">
      <c r="A175" s="83"/>
      <c r="B175" s="84"/>
      <c r="C175" s="84"/>
      <c r="D175" s="84"/>
      <c r="E175" s="84"/>
      <c r="F175" s="84"/>
      <c r="G175" s="84"/>
      <c r="H175" s="84"/>
      <c r="I175" s="84"/>
      <c r="J175" s="84"/>
      <c r="K175" s="84"/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84"/>
      <c r="W175" s="84"/>
      <c r="X175" s="84"/>
      <c r="Y175" s="84"/>
      <c r="Z175" s="84"/>
    </row>
    <row r="176" spans="1:26" ht="15">
      <c r="A176" s="83"/>
      <c r="B176" s="84"/>
      <c r="C176" s="84"/>
      <c r="D176" s="84"/>
      <c r="E176" s="84"/>
      <c r="F176" s="84"/>
      <c r="G176" s="84"/>
      <c r="H176" s="84"/>
      <c r="I176" s="84"/>
      <c r="J176" s="84"/>
      <c r="K176" s="84"/>
      <c r="L176" s="84"/>
      <c r="M176" s="84"/>
      <c r="N176" s="84"/>
      <c r="O176" s="84"/>
      <c r="P176" s="84"/>
      <c r="Q176" s="84"/>
      <c r="R176" s="84"/>
      <c r="S176" s="84"/>
      <c r="T176" s="84"/>
      <c r="U176" s="84"/>
      <c r="V176" s="84"/>
      <c r="W176" s="84"/>
      <c r="X176" s="84"/>
      <c r="Y176" s="84"/>
      <c r="Z176" s="84"/>
    </row>
    <row r="177" spans="1:26" ht="15">
      <c r="A177" s="83"/>
      <c r="B177" s="84"/>
      <c r="C177" s="84"/>
      <c r="D177" s="84"/>
      <c r="E177" s="84"/>
      <c r="F177" s="84"/>
      <c r="G177" s="84"/>
      <c r="H177" s="84"/>
      <c r="I177" s="84"/>
      <c r="J177" s="84"/>
      <c r="K177" s="84"/>
      <c r="L177" s="84"/>
      <c r="M177" s="84"/>
      <c r="N177" s="84"/>
      <c r="O177" s="84"/>
      <c r="P177" s="84"/>
      <c r="Q177" s="84"/>
      <c r="R177" s="84"/>
      <c r="S177" s="84"/>
      <c r="T177" s="84"/>
      <c r="U177" s="84"/>
      <c r="V177" s="84"/>
      <c r="W177" s="84"/>
      <c r="X177" s="84"/>
      <c r="Y177" s="84"/>
      <c r="Z177" s="84"/>
    </row>
    <row r="178" spans="1:26" ht="15">
      <c r="A178" s="83"/>
      <c r="B178" s="84"/>
      <c r="C178" s="84"/>
      <c r="D178" s="84"/>
      <c r="E178" s="84"/>
      <c r="F178" s="84"/>
      <c r="G178" s="84"/>
      <c r="H178" s="84"/>
      <c r="I178" s="84"/>
      <c r="J178" s="84"/>
      <c r="K178" s="84"/>
      <c r="L178" s="84"/>
      <c r="M178" s="84"/>
      <c r="N178" s="84"/>
      <c r="O178" s="84"/>
      <c r="P178" s="84"/>
      <c r="Q178" s="84"/>
      <c r="R178" s="84"/>
      <c r="S178" s="84"/>
      <c r="T178" s="84"/>
      <c r="U178" s="84"/>
      <c r="V178" s="84"/>
      <c r="W178" s="84"/>
      <c r="X178" s="84"/>
      <c r="Y178" s="84"/>
      <c r="Z178" s="84"/>
    </row>
    <row r="179" spans="1:26" ht="15">
      <c r="A179" s="83"/>
      <c r="B179" s="84"/>
      <c r="C179" s="84"/>
      <c r="D179" s="84"/>
      <c r="E179" s="84"/>
      <c r="F179" s="84"/>
      <c r="G179" s="84"/>
      <c r="H179" s="84"/>
      <c r="I179" s="84"/>
      <c r="J179" s="84"/>
      <c r="K179" s="84"/>
      <c r="L179" s="84"/>
      <c r="M179" s="84"/>
      <c r="N179" s="84"/>
      <c r="O179" s="84"/>
      <c r="P179" s="84"/>
      <c r="Q179" s="84"/>
      <c r="R179" s="84"/>
      <c r="S179" s="84"/>
      <c r="T179" s="84"/>
      <c r="U179" s="84"/>
      <c r="V179" s="84"/>
      <c r="W179" s="84"/>
      <c r="X179" s="84"/>
      <c r="Y179" s="84"/>
      <c r="Z179" s="84"/>
    </row>
    <row r="180" spans="1:26" ht="15">
      <c r="A180" s="83"/>
      <c r="B180" s="84"/>
      <c r="C180" s="84"/>
      <c r="D180" s="84"/>
      <c r="E180" s="84"/>
      <c r="F180" s="84"/>
      <c r="G180" s="84"/>
      <c r="H180" s="84"/>
      <c r="I180" s="84"/>
      <c r="J180" s="84"/>
      <c r="K180" s="84"/>
      <c r="L180" s="84"/>
      <c r="M180" s="84"/>
      <c r="N180" s="84"/>
      <c r="O180" s="84"/>
      <c r="P180" s="84"/>
      <c r="Q180" s="84"/>
      <c r="R180" s="84"/>
      <c r="S180" s="84"/>
      <c r="T180" s="84"/>
      <c r="U180" s="84"/>
      <c r="V180" s="84"/>
      <c r="W180" s="84"/>
      <c r="X180" s="84"/>
      <c r="Y180" s="84"/>
      <c r="Z180" s="84"/>
    </row>
    <row r="181" spans="1:26" ht="15">
      <c r="A181" s="83"/>
      <c r="B181" s="84"/>
      <c r="C181" s="84"/>
      <c r="D181" s="84"/>
      <c r="E181" s="84"/>
      <c r="F181" s="84"/>
      <c r="G181" s="84"/>
      <c r="H181" s="84"/>
      <c r="I181" s="84"/>
      <c r="J181" s="84"/>
      <c r="K181" s="84"/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84"/>
      <c r="W181" s="84"/>
      <c r="X181" s="84"/>
      <c r="Y181" s="84"/>
      <c r="Z181" s="84"/>
    </row>
    <row r="182" spans="1:26" ht="15">
      <c r="A182" s="83"/>
      <c r="B182" s="84"/>
      <c r="C182" s="84"/>
      <c r="D182" s="84"/>
      <c r="E182" s="84"/>
      <c r="F182" s="84"/>
      <c r="G182" s="84"/>
      <c r="H182" s="84"/>
      <c r="I182" s="84"/>
      <c r="J182" s="84"/>
      <c r="K182" s="84"/>
      <c r="L182" s="84"/>
      <c r="M182" s="84"/>
      <c r="N182" s="84"/>
      <c r="O182" s="84"/>
      <c r="P182" s="84"/>
      <c r="Q182" s="84"/>
      <c r="R182" s="84"/>
      <c r="S182" s="84"/>
      <c r="T182" s="84"/>
      <c r="U182" s="84"/>
      <c r="V182" s="84"/>
      <c r="W182" s="84"/>
      <c r="X182" s="84"/>
      <c r="Y182" s="84"/>
      <c r="Z182" s="84"/>
    </row>
    <row r="183" spans="1:26" ht="15">
      <c r="A183" s="83"/>
      <c r="B183" s="84"/>
      <c r="C183" s="84"/>
      <c r="D183" s="84"/>
      <c r="E183" s="84"/>
      <c r="F183" s="84"/>
      <c r="G183" s="84"/>
      <c r="H183" s="84"/>
      <c r="I183" s="84"/>
      <c r="J183" s="84"/>
      <c r="K183" s="84"/>
      <c r="L183" s="84"/>
      <c r="M183" s="84"/>
      <c r="N183" s="84"/>
      <c r="O183" s="84"/>
      <c r="P183" s="84"/>
      <c r="Q183" s="84"/>
      <c r="R183" s="84"/>
      <c r="S183" s="84"/>
      <c r="T183" s="84"/>
      <c r="U183" s="84"/>
      <c r="V183" s="84"/>
      <c r="W183" s="84"/>
      <c r="X183" s="84"/>
      <c r="Y183" s="84"/>
      <c r="Z183" s="84"/>
    </row>
    <row r="184" spans="1:26" ht="15">
      <c r="A184" s="83"/>
      <c r="B184" s="84"/>
      <c r="C184" s="84"/>
      <c r="D184" s="84"/>
      <c r="E184" s="84"/>
      <c r="F184" s="84"/>
      <c r="G184" s="84"/>
      <c r="H184" s="84"/>
      <c r="I184" s="84"/>
      <c r="J184" s="84"/>
      <c r="K184" s="84"/>
      <c r="L184" s="84"/>
      <c r="M184" s="84"/>
      <c r="N184" s="84"/>
      <c r="O184" s="84"/>
      <c r="P184" s="84"/>
      <c r="Q184" s="84"/>
      <c r="R184" s="84"/>
      <c r="S184" s="84"/>
      <c r="T184" s="84"/>
      <c r="U184" s="84"/>
      <c r="V184" s="84"/>
      <c r="W184" s="84"/>
      <c r="X184" s="84"/>
      <c r="Y184" s="84"/>
      <c r="Z184" s="84"/>
    </row>
    <row r="185" spans="1:26" ht="15">
      <c r="A185" s="83"/>
      <c r="B185" s="84"/>
      <c r="C185" s="84"/>
      <c r="D185" s="84"/>
      <c r="E185" s="84"/>
      <c r="F185" s="84"/>
      <c r="G185" s="84"/>
      <c r="H185" s="84"/>
      <c r="I185" s="84"/>
      <c r="J185" s="84"/>
      <c r="K185" s="84"/>
      <c r="L185" s="84"/>
      <c r="M185" s="84"/>
      <c r="N185" s="84"/>
      <c r="O185" s="84"/>
      <c r="P185" s="84"/>
      <c r="Q185" s="84"/>
      <c r="R185" s="84"/>
      <c r="S185" s="84"/>
      <c r="T185" s="84"/>
      <c r="U185" s="84"/>
      <c r="V185" s="84"/>
      <c r="W185" s="84"/>
      <c r="X185" s="84"/>
      <c r="Y185" s="84"/>
      <c r="Z185" s="84"/>
    </row>
    <row r="186" spans="1:26" ht="15">
      <c r="A186" s="83"/>
      <c r="B186" s="84"/>
      <c r="C186" s="84"/>
      <c r="D186" s="84"/>
      <c r="E186" s="84"/>
      <c r="F186" s="84"/>
      <c r="G186" s="84"/>
      <c r="H186" s="84"/>
      <c r="I186" s="84"/>
      <c r="J186" s="84"/>
      <c r="K186" s="84"/>
      <c r="L186" s="84"/>
      <c r="M186" s="84"/>
      <c r="N186" s="84"/>
      <c r="O186" s="84"/>
      <c r="P186" s="84"/>
      <c r="Q186" s="84"/>
      <c r="R186" s="84"/>
      <c r="S186" s="84"/>
      <c r="T186" s="84"/>
      <c r="U186" s="84"/>
      <c r="V186" s="84"/>
      <c r="W186" s="84"/>
      <c r="X186" s="84"/>
      <c r="Y186" s="84"/>
      <c r="Z186" s="84"/>
    </row>
    <row r="187" spans="1:26" ht="15">
      <c r="A187" s="83"/>
      <c r="B187" s="84"/>
      <c r="C187" s="84"/>
      <c r="D187" s="84"/>
      <c r="E187" s="84"/>
      <c r="F187" s="84"/>
      <c r="G187" s="84"/>
      <c r="H187" s="84"/>
      <c r="I187" s="84"/>
      <c r="J187" s="84"/>
      <c r="K187" s="84"/>
      <c r="L187" s="84"/>
      <c r="M187" s="84"/>
      <c r="N187" s="84"/>
      <c r="O187" s="84"/>
      <c r="P187" s="84"/>
      <c r="Q187" s="84"/>
      <c r="R187" s="84"/>
      <c r="S187" s="84"/>
      <c r="T187" s="84"/>
      <c r="U187" s="84"/>
      <c r="V187" s="84"/>
      <c r="W187" s="84"/>
      <c r="X187" s="84"/>
      <c r="Y187" s="84"/>
      <c r="Z187" s="84"/>
    </row>
    <row r="188" spans="1:26" ht="15">
      <c r="A188" s="83"/>
      <c r="B188" s="84"/>
      <c r="C188" s="84"/>
      <c r="D188" s="84"/>
      <c r="E188" s="84"/>
      <c r="F188" s="84"/>
      <c r="G188" s="84"/>
      <c r="H188" s="84"/>
      <c r="I188" s="84"/>
      <c r="J188" s="84"/>
      <c r="K188" s="84"/>
      <c r="L188" s="84"/>
      <c r="M188" s="84"/>
      <c r="N188" s="84"/>
      <c r="O188" s="84"/>
      <c r="P188" s="84"/>
      <c r="Q188" s="84"/>
      <c r="R188" s="84"/>
      <c r="S188" s="84"/>
      <c r="T188" s="84"/>
      <c r="U188" s="84"/>
      <c r="V188" s="84"/>
      <c r="W188" s="84"/>
      <c r="X188" s="84"/>
      <c r="Y188" s="84"/>
      <c r="Z188" s="84"/>
    </row>
    <row r="189" spans="1:26" ht="15">
      <c r="A189" s="83"/>
      <c r="B189" s="84"/>
      <c r="C189" s="84"/>
      <c r="D189" s="84"/>
      <c r="E189" s="84"/>
      <c r="F189" s="84"/>
      <c r="G189" s="84"/>
      <c r="H189" s="84"/>
      <c r="I189" s="84"/>
      <c r="J189" s="84"/>
      <c r="K189" s="84"/>
      <c r="L189" s="84"/>
      <c r="M189" s="84"/>
      <c r="N189" s="84"/>
      <c r="O189" s="84"/>
      <c r="P189" s="84"/>
      <c r="Q189" s="84"/>
      <c r="R189" s="84"/>
      <c r="S189" s="84"/>
      <c r="T189" s="84"/>
      <c r="U189" s="84"/>
      <c r="V189" s="84"/>
      <c r="W189" s="84"/>
      <c r="X189" s="84"/>
      <c r="Y189" s="84"/>
      <c r="Z189" s="84"/>
    </row>
    <row r="190" spans="1:26" ht="15">
      <c r="A190" s="83"/>
      <c r="B190" s="84"/>
      <c r="C190" s="84"/>
      <c r="D190" s="84"/>
      <c r="E190" s="84"/>
      <c r="F190" s="84"/>
      <c r="G190" s="84"/>
      <c r="H190" s="84"/>
      <c r="I190" s="84"/>
      <c r="J190" s="84"/>
      <c r="K190" s="84"/>
      <c r="L190" s="84"/>
      <c r="M190" s="84"/>
      <c r="N190" s="84"/>
      <c r="O190" s="84"/>
      <c r="P190" s="84"/>
      <c r="Q190" s="84"/>
      <c r="R190" s="84"/>
      <c r="S190" s="84"/>
      <c r="T190" s="84"/>
      <c r="U190" s="84"/>
      <c r="V190" s="84"/>
      <c r="W190" s="84"/>
      <c r="X190" s="84"/>
      <c r="Y190" s="84"/>
      <c r="Z190" s="84"/>
    </row>
    <row r="191" spans="1:26" ht="15">
      <c r="A191" s="83"/>
      <c r="B191" s="84"/>
      <c r="C191" s="84"/>
      <c r="D191" s="84"/>
      <c r="E191" s="84"/>
      <c r="F191" s="84"/>
      <c r="G191" s="84"/>
      <c r="H191" s="84"/>
      <c r="I191" s="84"/>
      <c r="J191" s="84"/>
      <c r="K191" s="84"/>
      <c r="L191" s="84"/>
      <c r="M191" s="84"/>
      <c r="N191" s="84"/>
      <c r="O191" s="84"/>
      <c r="P191" s="84"/>
      <c r="Q191" s="84"/>
      <c r="R191" s="84"/>
      <c r="S191" s="84"/>
      <c r="T191" s="84"/>
      <c r="U191" s="84"/>
      <c r="V191" s="84"/>
      <c r="W191" s="84"/>
      <c r="X191" s="84"/>
      <c r="Y191" s="84"/>
      <c r="Z191" s="84"/>
    </row>
    <row r="192" spans="1:26" ht="15">
      <c r="A192" s="83"/>
      <c r="B192" s="84"/>
      <c r="C192" s="84"/>
      <c r="D192" s="84"/>
      <c r="E192" s="84"/>
      <c r="F192" s="84"/>
      <c r="G192" s="84"/>
      <c r="H192" s="84"/>
      <c r="I192" s="84"/>
      <c r="J192" s="84"/>
      <c r="K192" s="84"/>
      <c r="L192" s="84"/>
      <c r="M192" s="84"/>
      <c r="N192" s="84"/>
      <c r="O192" s="84"/>
      <c r="P192" s="84"/>
      <c r="Q192" s="84"/>
      <c r="R192" s="84"/>
      <c r="S192" s="84"/>
      <c r="T192" s="84"/>
      <c r="U192" s="84"/>
      <c r="V192" s="84"/>
      <c r="W192" s="84"/>
      <c r="X192" s="84"/>
      <c r="Y192" s="84"/>
      <c r="Z192" s="84"/>
    </row>
    <row r="193" spans="1:26" ht="15">
      <c r="A193" s="83"/>
      <c r="B193" s="84"/>
      <c r="C193" s="84"/>
      <c r="D193" s="84"/>
      <c r="E193" s="84"/>
      <c r="F193" s="84"/>
      <c r="G193" s="84"/>
      <c r="H193" s="84"/>
      <c r="I193" s="84"/>
      <c r="J193" s="84"/>
      <c r="K193" s="84"/>
      <c r="L193" s="84"/>
      <c r="M193" s="84"/>
      <c r="N193" s="84"/>
      <c r="O193" s="84"/>
      <c r="P193" s="84"/>
      <c r="Q193" s="84"/>
      <c r="R193" s="84"/>
      <c r="S193" s="84"/>
      <c r="T193" s="84"/>
      <c r="U193" s="84"/>
      <c r="V193" s="84"/>
      <c r="W193" s="84"/>
      <c r="X193" s="84"/>
      <c r="Y193" s="84"/>
      <c r="Z193" s="84"/>
    </row>
    <row r="194" spans="1:26" ht="15">
      <c r="A194" s="83"/>
      <c r="B194" s="84"/>
      <c r="C194" s="84"/>
      <c r="D194" s="84"/>
      <c r="E194" s="84"/>
      <c r="F194" s="84"/>
      <c r="G194" s="84"/>
      <c r="H194" s="84"/>
      <c r="I194" s="84"/>
      <c r="J194" s="84"/>
      <c r="K194" s="84"/>
      <c r="L194" s="84"/>
      <c r="M194" s="84"/>
      <c r="N194" s="84"/>
      <c r="O194" s="84"/>
      <c r="P194" s="84"/>
      <c r="Q194" s="84"/>
      <c r="R194" s="84"/>
      <c r="S194" s="84"/>
      <c r="T194" s="84"/>
      <c r="U194" s="84"/>
      <c r="V194" s="84"/>
      <c r="W194" s="84"/>
      <c r="X194" s="84"/>
      <c r="Y194" s="84"/>
      <c r="Z194" s="84"/>
    </row>
    <row r="195" spans="1:26" ht="15">
      <c r="A195" s="83"/>
      <c r="B195" s="84"/>
      <c r="C195" s="84"/>
      <c r="D195" s="84"/>
      <c r="E195" s="84"/>
      <c r="F195" s="84"/>
      <c r="G195" s="84"/>
      <c r="H195" s="84"/>
      <c r="I195" s="84"/>
      <c r="J195" s="84"/>
      <c r="K195" s="84"/>
      <c r="L195" s="84"/>
      <c r="M195" s="84"/>
      <c r="N195" s="84"/>
      <c r="O195" s="84"/>
      <c r="P195" s="84"/>
      <c r="Q195" s="84"/>
      <c r="R195" s="84"/>
      <c r="S195" s="84"/>
      <c r="T195" s="84"/>
      <c r="U195" s="84"/>
      <c r="V195" s="84"/>
      <c r="W195" s="84"/>
      <c r="X195" s="84"/>
      <c r="Y195" s="84"/>
      <c r="Z195" s="84"/>
    </row>
    <row r="196" spans="1:26" ht="15">
      <c r="A196" s="83"/>
      <c r="B196" s="84"/>
      <c r="C196" s="84"/>
      <c r="D196" s="84"/>
      <c r="E196" s="84"/>
      <c r="F196" s="84"/>
      <c r="G196" s="84"/>
      <c r="H196" s="84"/>
      <c r="I196" s="84"/>
      <c r="J196" s="84"/>
      <c r="K196" s="84"/>
      <c r="L196" s="84"/>
      <c r="M196" s="84"/>
      <c r="N196" s="84"/>
      <c r="O196" s="84"/>
      <c r="P196" s="84"/>
      <c r="Q196" s="84"/>
      <c r="R196" s="84"/>
      <c r="S196" s="84"/>
      <c r="T196" s="84"/>
      <c r="U196" s="84"/>
      <c r="V196" s="84"/>
      <c r="W196" s="84"/>
      <c r="X196" s="84"/>
      <c r="Y196" s="84"/>
      <c r="Z196" s="84"/>
    </row>
    <row r="197" spans="1:26" ht="15">
      <c r="A197" s="83"/>
      <c r="B197" s="84"/>
      <c r="C197" s="84"/>
      <c r="D197" s="84"/>
      <c r="E197" s="84"/>
      <c r="F197" s="84"/>
      <c r="G197" s="84"/>
      <c r="H197" s="84"/>
      <c r="I197" s="84"/>
      <c r="J197" s="84"/>
      <c r="K197" s="84"/>
      <c r="L197" s="84"/>
      <c r="M197" s="84"/>
      <c r="N197" s="84"/>
      <c r="O197" s="84"/>
      <c r="P197" s="84"/>
      <c r="Q197" s="84"/>
      <c r="R197" s="84"/>
      <c r="S197" s="84"/>
      <c r="T197" s="84"/>
      <c r="U197" s="84"/>
      <c r="V197" s="84"/>
      <c r="W197" s="84"/>
      <c r="X197" s="84"/>
      <c r="Y197" s="84"/>
      <c r="Z197" s="84"/>
    </row>
    <row r="198" spans="1:26" ht="15">
      <c r="A198" s="83"/>
      <c r="B198" s="84"/>
      <c r="C198" s="84"/>
      <c r="D198" s="84"/>
      <c r="E198" s="84"/>
      <c r="F198" s="84"/>
      <c r="G198" s="84"/>
      <c r="H198" s="84"/>
      <c r="I198" s="84"/>
      <c r="J198" s="84"/>
      <c r="K198" s="84"/>
      <c r="L198" s="84"/>
      <c r="M198" s="84"/>
      <c r="N198" s="84"/>
      <c r="O198" s="84"/>
      <c r="P198" s="84"/>
      <c r="Q198" s="84"/>
      <c r="R198" s="84"/>
      <c r="S198" s="84"/>
      <c r="T198" s="84"/>
      <c r="U198" s="84"/>
      <c r="V198" s="84"/>
      <c r="W198" s="84"/>
      <c r="X198" s="84"/>
      <c r="Y198" s="84"/>
      <c r="Z198" s="84"/>
    </row>
    <row r="199" spans="1:26" ht="15">
      <c r="A199" s="83"/>
      <c r="B199" s="84"/>
      <c r="C199" s="84"/>
      <c r="D199" s="84"/>
      <c r="E199" s="84"/>
      <c r="F199" s="84"/>
      <c r="G199" s="84"/>
      <c r="H199" s="84"/>
      <c r="I199" s="84"/>
      <c r="J199" s="84"/>
      <c r="K199" s="84"/>
      <c r="L199" s="84"/>
      <c r="M199" s="84"/>
      <c r="N199" s="84"/>
      <c r="O199" s="84"/>
      <c r="P199" s="84"/>
      <c r="Q199" s="84"/>
      <c r="R199" s="84"/>
      <c r="S199" s="84"/>
      <c r="T199" s="84"/>
      <c r="U199" s="84"/>
      <c r="V199" s="84"/>
      <c r="W199" s="84"/>
      <c r="X199" s="84"/>
      <c r="Y199" s="84"/>
      <c r="Z199" s="84"/>
    </row>
    <row r="200" spans="1:26" ht="15">
      <c r="A200" s="83"/>
      <c r="B200" s="84"/>
      <c r="C200" s="84"/>
      <c r="D200" s="84"/>
      <c r="E200" s="84"/>
      <c r="F200" s="84"/>
      <c r="G200" s="84"/>
      <c r="H200" s="84"/>
      <c r="I200" s="84"/>
      <c r="J200" s="84"/>
      <c r="K200" s="84"/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  <c r="Y200" s="84"/>
      <c r="Z200" s="84"/>
    </row>
    <row r="201" spans="1:26" ht="15">
      <c r="A201" s="83"/>
      <c r="B201" s="84"/>
      <c r="C201" s="84"/>
      <c r="D201" s="84"/>
      <c r="E201" s="84"/>
      <c r="F201" s="84"/>
      <c r="G201" s="84"/>
      <c r="H201" s="84"/>
      <c r="I201" s="84"/>
      <c r="J201" s="84"/>
      <c r="K201" s="84"/>
      <c r="L201" s="84"/>
      <c r="M201" s="84"/>
      <c r="N201" s="84"/>
      <c r="O201" s="84"/>
      <c r="P201" s="84"/>
      <c r="Q201" s="84"/>
      <c r="R201" s="84"/>
      <c r="S201" s="84"/>
      <c r="T201" s="84"/>
      <c r="U201" s="84"/>
      <c r="V201" s="84"/>
      <c r="W201" s="84"/>
      <c r="X201" s="84"/>
      <c r="Y201" s="84"/>
      <c r="Z201" s="84"/>
    </row>
    <row r="202" spans="1:26" ht="15">
      <c r="A202" s="83"/>
      <c r="B202" s="84"/>
      <c r="C202" s="84"/>
      <c r="D202" s="84"/>
      <c r="E202" s="84"/>
      <c r="F202" s="84"/>
      <c r="G202" s="84"/>
      <c r="H202" s="84"/>
      <c r="I202" s="84"/>
      <c r="J202" s="84"/>
      <c r="K202" s="84"/>
      <c r="L202" s="84"/>
      <c r="M202" s="84"/>
      <c r="N202" s="84"/>
      <c r="O202" s="84"/>
      <c r="P202" s="84"/>
      <c r="Q202" s="84"/>
      <c r="R202" s="84"/>
      <c r="S202" s="84"/>
      <c r="T202" s="84"/>
      <c r="U202" s="84"/>
      <c r="V202" s="84"/>
      <c r="W202" s="84"/>
      <c r="X202" s="84"/>
      <c r="Y202" s="84"/>
      <c r="Z202" s="84"/>
    </row>
    <row r="203" spans="1:26" ht="15">
      <c r="A203" s="83"/>
      <c r="B203" s="84"/>
      <c r="C203" s="84"/>
      <c r="D203" s="84"/>
      <c r="E203" s="84"/>
      <c r="F203" s="84"/>
      <c r="G203" s="84"/>
      <c r="H203" s="84"/>
      <c r="I203" s="84"/>
      <c r="J203" s="84"/>
      <c r="K203" s="84"/>
      <c r="L203" s="84"/>
      <c r="M203" s="84"/>
      <c r="N203" s="84"/>
      <c r="O203" s="84"/>
      <c r="P203" s="84"/>
      <c r="Q203" s="84"/>
      <c r="R203" s="84"/>
      <c r="S203" s="84"/>
      <c r="T203" s="84"/>
      <c r="U203" s="84"/>
      <c r="V203" s="84"/>
      <c r="W203" s="84"/>
      <c r="X203" s="84"/>
      <c r="Y203" s="84"/>
      <c r="Z203" s="84"/>
    </row>
    <row r="204" spans="1:26" ht="15">
      <c r="A204" s="83"/>
      <c r="B204" s="84"/>
      <c r="C204" s="84"/>
      <c r="D204" s="84"/>
      <c r="E204" s="84"/>
      <c r="F204" s="84"/>
      <c r="G204" s="84"/>
      <c r="H204" s="84"/>
      <c r="I204" s="84"/>
      <c r="J204" s="84"/>
      <c r="K204" s="84"/>
      <c r="L204" s="84"/>
      <c r="M204" s="84"/>
      <c r="N204" s="84"/>
      <c r="O204" s="84"/>
      <c r="P204" s="84"/>
      <c r="Q204" s="84"/>
      <c r="R204" s="84"/>
      <c r="S204" s="84"/>
      <c r="T204" s="84"/>
      <c r="U204" s="84"/>
      <c r="V204" s="84"/>
      <c r="W204" s="84"/>
      <c r="X204" s="84"/>
      <c r="Y204" s="84"/>
      <c r="Z204" s="84"/>
    </row>
    <row r="205" spans="1:26" ht="15">
      <c r="A205" s="83"/>
      <c r="B205" s="84"/>
      <c r="C205" s="84"/>
      <c r="D205" s="84"/>
      <c r="E205" s="84"/>
      <c r="F205" s="84"/>
      <c r="G205" s="84"/>
      <c r="H205" s="84"/>
      <c r="I205" s="84"/>
      <c r="J205" s="84"/>
      <c r="K205" s="84"/>
      <c r="L205" s="84"/>
      <c r="M205" s="84"/>
      <c r="N205" s="84"/>
      <c r="O205" s="84"/>
      <c r="P205" s="84"/>
      <c r="Q205" s="84"/>
      <c r="R205" s="84"/>
      <c r="S205" s="84"/>
      <c r="T205" s="84"/>
      <c r="U205" s="84"/>
      <c r="V205" s="84"/>
      <c r="W205" s="84"/>
      <c r="X205" s="84"/>
      <c r="Y205" s="84"/>
      <c r="Z205" s="84"/>
    </row>
    <row r="206" spans="1:26" ht="15">
      <c r="A206" s="83"/>
      <c r="B206" s="84"/>
      <c r="C206" s="84"/>
      <c r="D206" s="84"/>
      <c r="E206" s="84"/>
      <c r="F206" s="84"/>
      <c r="G206" s="84"/>
      <c r="H206" s="84"/>
      <c r="I206" s="84"/>
      <c r="J206" s="84"/>
      <c r="K206" s="84"/>
      <c r="L206" s="84"/>
      <c r="M206" s="84"/>
      <c r="N206" s="84"/>
      <c r="O206" s="84"/>
      <c r="P206" s="84"/>
      <c r="Q206" s="84"/>
      <c r="R206" s="84"/>
      <c r="S206" s="84"/>
      <c r="T206" s="84"/>
      <c r="U206" s="84"/>
      <c r="V206" s="84"/>
      <c r="W206" s="84"/>
      <c r="X206" s="84"/>
      <c r="Y206" s="84"/>
      <c r="Z206" s="84"/>
    </row>
    <row r="207" spans="1:26" ht="15">
      <c r="A207" s="83"/>
      <c r="B207" s="84"/>
      <c r="C207" s="84"/>
      <c r="D207" s="84"/>
      <c r="E207" s="84"/>
      <c r="F207" s="84"/>
      <c r="G207" s="84"/>
      <c r="H207" s="84"/>
      <c r="I207" s="84"/>
      <c r="J207" s="84"/>
      <c r="K207" s="84"/>
      <c r="L207" s="84"/>
      <c r="M207" s="84"/>
      <c r="N207" s="84"/>
      <c r="O207" s="84"/>
      <c r="P207" s="84"/>
      <c r="Q207" s="84"/>
      <c r="R207" s="84"/>
      <c r="S207" s="84"/>
      <c r="T207" s="84"/>
      <c r="U207" s="84"/>
      <c r="V207" s="84"/>
      <c r="W207" s="84"/>
      <c r="X207" s="84"/>
      <c r="Y207" s="84"/>
      <c r="Z207" s="84"/>
    </row>
    <row r="208" spans="1:26" ht="15">
      <c r="A208" s="83"/>
      <c r="B208" s="84"/>
      <c r="C208" s="84"/>
      <c r="D208" s="84"/>
      <c r="E208" s="84"/>
      <c r="F208" s="84"/>
      <c r="G208" s="84"/>
      <c r="H208" s="84"/>
      <c r="I208" s="84"/>
      <c r="J208" s="84"/>
      <c r="K208" s="84"/>
      <c r="L208" s="84"/>
      <c r="M208" s="84"/>
      <c r="N208" s="84"/>
      <c r="O208" s="84"/>
      <c r="P208" s="84"/>
      <c r="Q208" s="84"/>
      <c r="R208" s="84"/>
      <c r="S208" s="84"/>
      <c r="T208" s="84"/>
      <c r="U208" s="84"/>
      <c r="V208" s="84"/>
      <c r="W208" s="84"/>
      <c r="X208" s="84"/>
      <c r="Y208" s="84"/>
      <c r="Z208" s="84"/>
    </row>
    <row r="209" spans="1:26" ht="15">
      <c r="A209" s="83"/>
      <c r="B209" s="84"/>
      <c r="C209" s="84"/>
      <c r="D209" s="84"/>
      <c r="E209" s="84"/>
      <c r="F209" s="84"/>
      <c r="G209" s="84"/>
      <c r="H209" s="84"/>
      <c r="I209" s="84"/>
      <c r="J209" s="84"/>
      <c r="K209" s="84"/>
      <c r="L209" s="84"/>
      <c r="M209" s="84"/>
      <c r="N209" s="84"/>
      <c r="O209" s="84"/>
      <c r="P209" s="84"/>
      <c r="Q209" s="84"/>
      <c r="R209" s="84"/>
      <c r="S209" s="84"/>
      <c r="T209" s="84"/>
      <c r="U209" s="84"/>
      <c r="V209" s="84"/>
      <c r="W209" s="84"/>
      <c r="X209" s="84"/>
      <c r="Y209" s="84"/>
      <c r="Z209" s="84"/>
    </row>
    <row r="210" spans="1:26" ht="15">
      <c r="A210" s="83"/>
      <c r="B210" s="84"/>
      <c r="C210" s="84"/>
      <c r="D210" s="84"/>
      <c r="E210" s="84"/>
      <c r="F210" s="84"/>
      <c r="G210" s="84"/>
      <c r="H210" s="84"/>
      <c r="I210" s="84"/>
      <c r="J210" s="84"/>
      <c r="K210" s="84"/>
      <c r="L210" s="84"/>
      <c r="M210" s="84"/>
      <c r="N210" s="84"/>
      <c r="O210" s="84"/>
      <c r="P210" s="84"/>
      <c r="Q210" s="84"/>
      <c r="R210" s="84"/>
      <c r="S210" s="84"/>
      <c r="T210" s="84"/>
      <c r="U210" s="84"/>
      <c r="V210" s="84"/>
      <c r="W210" s="84"/>
      <c r="X210" s="84"/>
      <c r="Y210" s="84"/>
      <c r="Z210" s="84"/>
    </row>
    <row r="211" spans="1:26" ht="15">
      <c r="A211" s="83"/>
      <c r="B211" s="84"/>
      <c r="C211" s="84"/>
      <c r="D211" s="84"/>
      <c r="E211" s="84"/>
      <c r="F211" s="84"/>
      <c r="G211" s="84"/>
      <c r="H211" s="84"/>
      <c r="I211" s="84"/>
      <c r="J211" s="84"/>
      <c r="K211" s="84"/>
      <c r="L211" s="84"/>
      <c r="M211" s="84"/>
      <c r="N211" s="84"/>
      <c r="O211" s="84"/>
      <c r="P211" s="84"/>
      <c r="Q211" s="84"/>
      <c r="R211" s="84"/>
      <c r="S211" s="84"/>
      <c r="T211" s="84"/>
      <c r="U211" s="84"/>
      <c r="V211" s="84"/>
      <c r="W211" s="84"/>
      <c r="X211" s="84"/>
      <c r="Y211" s="84"/>
      <c r="Z211" s="84"/>
    </row>
    <row r="212" spans="1:26" ht="15">
      <c r="A212" s="83"/>
      <c r="B212" s="84"/>
      <c r="C212" s="84"/>
      <c r="D212" s="84"/>
      <c r="E212" s="84"/>
      <c r="F212" s="84"/>
      <c r="G212" s="84"/>
      <c r="H212" s="84"/>
      <c r="I212" s="84"/>
      <c r="J212" s="84"/>
      <c r="K212" s="84"/>
      <c r="L212" s="84"/>
      <c r="M212" s="84"/>
      <c r="N212" s="84"/>
      <c r="O212" s="84"/>
      <c r="P212" s="84"/>
      <c r="Q212" s="84"/>
      <c r="R212" s="84"/>
      <c r="S212" s="84"/>
      <c r="T212" s="84"/>
      <c r="U212" s="84"/>
      <c r="V212" s="84"/>
      <c r="W212" s="84"/>
      <c r="X212" s="84"/>
      <c r="Y212" s="84"/>
      <c r="Z212" s="84"/>
    </row>
    <row r="213" spans="1:26" ht="15">
      <c r="A213" s="83"/>
      <c r="B213" s="84"/>
      <c r="C213" s="84"/>
      <c r="D213" s="84"/>
      <c r="E213" s="84"/>
      <c r="F213" s="84"/>
      <c r="G213" s="84"/>
      <c r="H213" s="84"/>
      <c r="I213" s="84"/>
      <c r="J213" s="84"/>
      <c r="K213" s="84"/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4"/>
      <c r="X213" s="84"/>
      <c r="Y213" s="84"/>
      <c r="Z213" s="84"/>
    </row>
    <row r="214" spans="1:26" ht="15">
      <c r="A214" s="83"/>
      <c r="B214" s="84"/>
      <c r="C214" s="84"/>
      <c r="D214" s="84"/>
      <c r="E214" s="84"/>
      <c r="F214" s="84"/>
      <c r="G214" s="84"/>
      <c r="H214" s="84"/>
      <c r="I214" s="84"/>
      <c r="J214" s="84"/>
      <c r="K214" s="84"/>
      <c r="L214" s="84"/>
      <c r="M214" s="84"/>
      <c r="N214" s="84"/>
      <c r="O214" s="84"/>
      <c r="P214" s="84"/>
      <c r="Q214" s="84"/>
      <c r="R214" s="84"/>
      <c r="S214" s="84"/>
      <c r="T214" s="84"/>
      <c r="U214" s="84"/>
      <c r="V214" s="84"/>
      <c r="W214" s="84"/>
      <c r="X214" s="84"/>
      <c r="Y214" s="84"/>
      <c r="Z214" s="84"/>
    </row>
    <row r="215" spans="1:26" ht="15">
      <c r="A215" s="83"/>
      <c r="B215" s="84"/>
      <c r="C215" s="84"/>
      <c r="D215" s="84"/>
      <c r="E215" s="84"/>
      <c r="F215" s="84"/>
      <c r="G215" s="84"/>
      <c r="H215" s="84"/>
      <c r="I215" s="84"/>
      <c r="J215" s="84"/>
      <c r="K215" s="84"/>
      <c r="L215" s="84"/>
      <c r="M215" s="84"/>
      <c r="N215" s="84"/>
      <c r="O215" s="84"/>
      <c r="P215" s="84"/>
      <c r="Q215" s="84"/>
      <c r="R215" s="84"/>
      <c r="S215" s="84"/>
      <c r="T215" s="84"/>
      <c r="U215" s="84"/>
      <c r="V215" s="84"/>
      <c r="W215" s="84"/>
      <c r="X215" s="84"/>
      <c r="Y215" s="84"/>
      <c r="Z215" s="84"/>
    </row>
    <row r="216" spans="1:26" ht="15">
      <c r="A216" s="83"/>
      <c r="B216" s="84"/>
      <c r="C216" s="84"/>
      <c r="D216" s="84"/>
      <c r="E216" s="84"/>
      <c r="F216" s="84"/>
      <c r="G216" s="84"/>
      <c r="H216" s="84"/>
      <c r="I216" s="84"/>
      <c r="J216" s="84"/>
      <c r="K216" s="84"/>
      <c r="L216" s="84"/>
      <c r="M216" s="84"/>
      <c r="N216" s="84"/>
      <c r="O216" s="84"/>
      <c r="P216" s="84"/>
      <c r="Q216" s="84"/>
      <c r="R216" s="84"/>
      <c r="S216" s="84"/>
      <c r="T216" s="84"/>
      <c r="U216" s="84"/>
      <c r="V216" s="84"/>
      <c r="W216" s="84"/>
      <c r="X216" s="84"/>
      <c r="Y216" s="84"/>
      <c r="Z216" s="84"/>
    </row>
    <row r="217" spans="1:26" ht="15">
      <c r="A217" s="83"/>
      <c r="B217" s="84"/>
      <c r="C217" s="84"/>
      <c r="D217" s="84"/>
      <c r="E217" s="84"/>
      <c r="F217" s="84"/>
      <c r="G217" s="84"/>
      <c r="H217" s="84"/>
      <c r="I217" s="84"/>
      <c r="J217" s="84"/>
      <c r="K217" s="84"/>
      <c r="L217" s="84"/>
      <c r="M217" s="84"/>
      <c r="N217" s="84"/>
      <c r="O217" s="84"/>
      <c r="P217" s="84"/>
      <c r="Q217" s="84"/>
      <c r="R217" s="84"/>
      <c r="S217" s="84"/>
      <c r="T217" s="84"/>
      <c r="U217" s="84"/>
      <c r="V217" s="84"/>
      <c r="W217" s="84"/>
      <c r="X217" s="84"/>
      <c r="Y217" s="84"/>
      <c r="Z217" s="84"/>
    </row>
    <row r="218" spans="1:26" ht="15">
      <c r="A218" s="83"/>
      <c r="B218" s="84"/>
      <c r="C218" s="84"/>
      <c r="D218" s="84"/>
      <c r="E218" s="84"/>
      <c r="F218" s="84"/>
      <c r="G218" s="84"/>
      <c r="H218" s="84"/>
      <c r="I218" s="84"/>
      <c r="J218" s="84"/>
      <c r="K218" s="84"/>
      <c r="L218" s="84"/>
      <c r="M218" s="84"/>
      <c r="N218" s="84"/>
      <c r="O218" s="84"/>
      <c r="P218" s="84"/>
      <c r="Q218" s="84"/>
      <c r="R218" s="84"/>
      <c r="S218" s="84"/>
      <c r="T218" s="84"/>
      <c r="U218" s="84"/>
      <c r="V218" s="84"/>
      <c r="W218" s="84"/>
      <c r="X218" s="84"/>
      <c r="Y218" s="84"/>
      <c r="Z218" s="84"/>
    </row>
    <row r="219" spans="1:26" ht="15">
      <c r="A219" s="83"/>
      <c r="B219" s="84"/>
      <c r="C219" s="84"/>
      <c r="D219" s="84"/>
      <c r="E219" s="84"/>
      <c r="F219" s="84"/>
      <c r="G219" s="84"/>
      <c r="H219" s="84"/>
      <c r="I219" s="84"/>
      <c r="J219" s="84"/>
      <c r="K219" s="84"/>
      <c r="L219" s="84"/>
      <c r="M219" s="84"/>
      <c r="N219" s="84"/>
      <c r="O219" s="84"/>
      <c r="P219" s="84"/>
      <c r="Q219" s="84"/>
      <c r="R219" s="84"/>
      <c r="S219" s="84"/>
      <c r="T219" s="84"/>
      <c r="U219" s="84"/>
      <c r="V219" s="84"/>
      <c r="W219" s="84"/>
      <c r="X219" s="84"/>
      <c r="Y219" s="84"/>
      <c r="Z219" s="84"/>
    </row>
    <row r="220" spans="1:26" ht="15">
      <c r="A220" s="83"/>
      <c r="B220" s="84"/>
      <c r="C220" s="84"/>
      <c r="D220" s="84"/>
      <c r="E220" s="84"/>
      <c r="F220" s="84"/>
      <c r="G220" s="84"/>
      <c r="H220" s="84"/>
      <c r="I220" s="84"/>
      <c r="J220" s="84"/>
      <c r="K220" s="84"/>
      <c r="L220" s="84"/>
      <c r="M220" s="84"/>
      <c r="N220" s="84"/>
      <c r="O220" s="84"/>
      <c r="P220" s="84"/>
      <c r="Q220" s="84"/>
      <c r="R220" s="84"/>
      <c r="S220" s="84"/>
      <c r="T220" s="84"/>
      <c r="U220" s="84"/>
      <c r="V220" s="84"/>
      <c r="W220" s="84"/>
      <c r="X220" s="84"/>
      <c r="Y220" s="84"/>
      <c r="Z220" s="84"/>
    </row>
    <row r="221" spans="1:26" ht="15">
      <c r="A221" s="83"/>
      <c r="B221" s="84"/>
      <c r="C221" s="84"/>
      <c r="D221" s="84"/>
      <c r="E221" s="84"/>
      <c r="F221" s="84"/>
      <c r="G221" s="84"/>
      <c r="H221" s="84"/>
      <c r="I221" s="84"/>
      <c r="J221" s="84"/>
      <c r="K221" s="84"/>
      <c r="L221" s="84"/>
      <c r="M221" s="84"/>
      <c r="N221" s="84"/>
      <c r="O221" s="84"/>
      <c r="P221" s="84"/>
      <c r="Q221" s="84"/>
      <c r="R221" s="84"/>
      <c r="S221" s="84"/>
      <c r="T221" s="84"/>
      <c r="U221" s="84"/>
      <c r="V221" s="84"/>
      <c r="W221" s="84"/>
      <c r="X221" s="84"/>
      <c r="Y221" s="84"/>
      <c r="Z221" s="84"/>
    </row>
    <row r="222" spans="1:26" ht="15">
      <c r="A222" s="83"/>
      <c r="B222" s="84"/>
      <c r="C222" s="84"/>
      <c r="D222" s="84"/>
      <c r="E222" s="84"/>
      <c r="F222" s="84"/>
      <c r="G222" s="84"/>
      <c r="H222" s="84"/>
      <c r="I222" s="84"/>
      <c r="J222" s="84"/>
      <c r="K222" s="84"/>
      <c r="L222" s="84"/>
      <c r="M222" s="84"/>
      <c r="N222" s="84"/>
      <c r="O222" s="84"/>
      <c r="P222" s="84"/>
      <c r="Q222" s="84"/>
      <c r="R222" s="84"/>
      <c r="S222" s="84"/>
      <c r="T222" s="84"/>
      <c r="U222" s="84"/>
      <c r="V222" s="84"/>
      <c r="W222" s="84"/>
      <c r="X222" s="84"/>
      <c r="Y222" s="84"/>
      <c r="Z222" s="84"/>
    </row>
    <row r="223" spans="1:26" ht="15">
      <c r="A223" s="83"/>
      <c r="B223" s="84"/>
      <c r="C223" s="84"/>
      <c r="D223" s="84"/>
      <c r="E223" s="84"/>
      <c r="F223" s="84"/>
      <c r="G223" s="84"/>
      <c r="H223" s="84"/>
      <c r="I223" s="84"/>
      <c r="J223" s="84"/>
      <c r="K223" s="84"/>
      <c r="L223" s="84"/>
      <c r="M223" s="84"/>
      <c r="N223" s="84"/>
      <c r="O223" s="84"/>
      <c r="P223" s="84"/>
      <c r="Q223" s="84"/>
      <c r="R223" s="84"/>
      <c r="S223" s="84"/>
      <c r="T223" s="84"/>
      <c r="U223" s="84"/>
      <c r="V223" s="84"/>
      <c r="W223" s="84"/>
      <c r="X223" s="84"/>
      <c r="Y223" s="84"/>
      <c r="Z223" s="84"/>
    </row>
    <row r="224" spans="1:26" ht="15">
      <c r="A224" s="83"/>
      <c r="B224" s="84"/>
      <c r="C224" s="84"/>
      <c r="D224" s="84"/>
      <c r="E224" s="84"/>
      <c r="F224" s="84"/>
      <c r="G224" s="84"/>
      <c r="H224" s="84"/>
      <c r="I224" s="84"/>
      <c r="J224" s="84"/>
      <c r="K224" s="84"/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4"/>
      <c r="X224" s="84"/>
      <c r="Y224" s="84"/>
      <c r="Z224" s="84"/>
    </row>
    <row r="225" spans="1:26" ht="15">
      <c r="A225" s="83"/>
      <c r="B225" s="84"/>
      <c r="C225" s="84"/>
      <c r="D225" s="84"/>
      <c r="E225" s="84"/>
      <c r="F225" s="84"/>
      <c r="G225" s="84"/>
      <c r="H225" s="84"/>
      <c r="I225" s="84"/>
      <c r="J225" s="84"/>
      <c r="K225" s="84"/>
      <c r="L225" s="84"/>
      <c r="M225" s="84"/>
      <c r="N225" s="84"/>
      <c r="O225" s="84"/>
      <c r="P225" s="84"/>
      <c r="Q225" s="84"/>
      <c r="R225" s="84"/>
      <c r="S225" s="84"/>
      <c r="T225" s="84"/>
      <c r="U225" s="84"/>
      <c r="V225" s="84"/>
      <c r="W225" s="84"/>
      <c r="X225" s="84"/>
      <c r="Y225" s="84"/>
      <c r="Z225" s="84"/>
    </row>
    <row r="226" spans="1:26" ht="15">
      <c r="A226" s="83"/>
      <c r="B226" s="84"/>
      <c r="C226" s="84"/>
      <c r="D226" s="84"/>
      <c r="E226" s="84"/>
      <c r="F226" s="84"/>
      <c r="G226" s="84"/>
      <c r="H226" s="84"/>
      <c r="I226" s="84"/>
      <c r="J226" s="84"/>
      <c r="K226" s="84"/>
      <c r="L226" s="84"/>
      <c r="M226" s="84"/>
      <c r="N226" s="84"/>
      <c r="O226" s="84"/>
      <c r="P226" s="84"/>
      <c r="Q226" s="84"/>
      <c r="R226" s="84"/>
      <c r="S226" s="84"/>
      <c r="T226" s="84"/>
      <c r="U226" s="84"/>
      <c r="V226" s="84"/>
      <c r="W226" s="84"/>
      <c r="X226" s="84"/>
      <c r="Y226" s="84"/>
      <c r="Z226" s="84"/>
    </row>
    <row r="227" spans="1:26" ht="15">
      <c r="A227" s="83"/>
      <c r="B227" s="84"/>
      <c r="C227" s="84"/>
      <c r="D227" s="84"/>
      <c r="E227" s="84"/>
      <c r="F227" s="84"/>
      <c r="G227" s="84"/>
      <c r="H227" s="84"/>
      <c r="I227" s="84"/>
      <c r="J227" s="84"/>
      <c r="K227" s="84"/>
      <c r="L227" s="84"/>
      <c r="M227" s="84"/>
      <c r="N227" s="84"/>
      <c r="O227" s="84"/>
      <c r="P227" s="84"/>
      <c r="Q227" s="84"/>
      <c r="R227" s="84"/>
      <c r="S227" s="84"/>
      <c r="T227" s="84"/>
      <c r="U227" s="84"/>
      <c r="V227" s="84"/>
      <c r="W227" s="84"/>
      <c r="X227" s="84"/>
      <c r="Y227" s="84"/>
      <c r="Z227" s="84"/>
    </row>
    <row r="228" spans="1:26" ht="15">
      <c r="A228" s="83"/>
      <c r="B228" s="84"/>
      <c r="C228" s="84"/>
      <c r="D228" s="84"/>
      <c r="E228" s="84"/>
      <c r="F228" s="84"/>
      <c r="G228" s="84"/>
      <c r="H228" s="84"/>
      <c r="I228" s="84"/>
      <c r="J228" s="84"/>
      <c r="K228" s="84"/>
      <c r="L228" s="84"/>
      <c r="M228" s="84"/>
      <c r="N228" s="84"/>
      <c r="O228" s="84"/>
      <c r="P228" s="84"/>
      <c r="Q228" s="84"/>
      <c r="R228" s="84"/>
      <c r="S228" s="84"/>
      <c r="T228" s="84"/>
      <c r="U228" s="84"/>
      <c r="V228" s="84"/>
      <c r="W228" s="84"/>
      <c r="X228" s="84"/>
      <c r="Y228" s="84"/>
      <c r="Z228" s="84"/>
    </row>
    <row r="229" spans="1:26" ht="15">
      <c r="A229" s="83"/>
      <c r="B229" s="84"/>
      <c r="C229" s="84"/>
      <c r="D229" s="84"/>
      <c r="E229" s="84"/>
      <c r="F229" s="84"/>
      <c r="G229" s="84"/>
      <c r="H229" s="84"/>
      <c r="I229" s="84"/>
      <c r="J229" s="84"/>
      <c r="K229" s="84"/>
      <c r="L229" s="84"/>
      <c r="M229" s="84"/>
      <c r="N229" s="84"/>
      <c r="O229" s="84"/>
      <c r="P229" s="84"/>
      <c r="Q229" s="84"/>
      <c r="R229" s="84"/>
      <c r="S229" s="84"/>
      <c r="T229" s="84"/>
      <c r="U229" s="84"/>
      <c r="V229" s="84"/>
      <c r="W229" s="84"/>
      <c r="X229" s="84"/>
      <c r="Y229" s="84"/>
      <c r="Z229" s="84"/>
    </row>
    <row r="230" spans="1:26" ht="15">
      <c r="A230" s="83"/>
      <c r="B230" s="84"/>
      <c r="C230" s="84"/>
      <c r="D230" s="84"/>
      <c r="E230" s="84"/>
      <c r="F230" s="84"/>
      <c r="G230" s="84"/>
      <c r="H230" s="84"/>
      <c r="I230" s="84"/>
      <c r="J230" s="84"/>
      <c r="K230" s="84"/>
      <c r="L230" s="84"/>
      <c r="M230" s="84"/>
      <c r="N230" s="84"/>
      <c r="O230" s="84"/>
      <c r="P230" s="84"/>
      <c r="Q230" s="84"/>
      <c r="R230" s="84"/>
      <c r="S230" s="84"/>
      <c r="T230" s="84"/>
      <c r="U230" s="84"/>
      <c r="V230" s="84"/>
      <c r="W230" s="84"/>
      <c r="X230" s="84"/>
      <c r="Y230" s="84"/>
      <c r="Z230" s="84"/>
    </row>
    <row r="231" spans="1:26" ht="15">
      <c r="A231" s="83"/>
      <c r="B231" s="84"/>
      <c r="C231" s="84"/>
      <c r="D231" s="84"/>
      <c r="E231" s="84"/>
      <c r="F231" s="84"/>
      <c r="G231" s="84"/>
      <c r="H231" s="84"/>
      <c r="I231" s="84"/>
      <c r="J231" s="84"/>
      <c r="K231" s="84"/>
      <c r="L231" s="84"/>
      <c r="M231" s="84"/>
      <c r="N231" s="84"/>
      <c r="O231" s="84"/>
      <c r="P231" s="84"/>
      <c r="Q231" s="84"/>
      <c r="R231" s="84"/>
      <c r="S231" s="84"/>
      <c r="T231" s="84"/>
      <c r="U231" s="84"/>
      <c r="V231" s="84"/>
      <c r="W231" s="84"/>
      <c r="X231" s="84"/>
      <c r="Y231" s="84"/>
      <c r="Z231" s="84"/>
    </row>
    <row r="232" spans="1:26" ht="15">
      <c r="A232" s="83"/>
      <c r="B232" s="84"/>
      <c r="C232" s="84"/>
      <c r="D232" s="84"/>
      <c r="E232" s="84"/>
      <c r="F232" s="84"/>
      <c r="G232" s="84"/>
      <c r="H232" s="84"/>
      <c r="I232" s="84"/>
      <c r="J232" s="84"/>
      <c r="K232" s="84"/>
      <c r="L232" s="84"/>
      <c r="M232" s="84"/>
      <c r="N232" s="84"/>
      <c r="O232" s="84"/>
      <c r="P232" s="84"/>
      <c r="Q232" s="84"/>
      <c r="R232" s="84"/>
      <c r="S232" s="84"/>
      <c r="T232" s="84"/>
      <c r="U232" s="84"/>
      <c r="V232" s="84"/>
      <c r="W232" s="84"/>
      <c r="X232" s="84"/>
      <c r="Y232" s="84"/>
      <c r="Z232" s="84"/>
    </row>
    <row r="233" spans="1:26" ht="15">
      <c r="A233" s="83"/>
      <c r="B233" s="84"/>
      <c r="C233" s="84"/>
      <c r="D233" s="84"/>
      <c r="E233" s="84"/>
      <c r="F233" s="84"/>
      <c r="G233" s="84"/>
      <c r="H233" s="84"/>
      <c r="I233" s="84"/>
      <c r="J233" s="84"/>
      <c r="K233" s="84"/>
      <c r="L233" s="84"/>
      <c r="M233" s="84"/>
      <c r="N233" s="84"/>
      <c r="O233" s="84"/>
      <c r="P233" s="84"/>
      <c r="Q233" s="84"/>
      <c r="R233" s="84"/>
      <c r="S233" s="84"/>
      <c r="T233" s="84"/>
      <c r="U233" s="84"/>
      <c r="V233" s="84"/>
      <c r="W233" s="84"/>
      <c r="X233" s="84"/>
      <c r="Y233" s="84"/>
      <c r="Z233" s="84"/>
    </row>
    <row r="234" spans="1:26" ht="15">
      <c r="A234" s="83"/>
      <c r="B234" s="84"/>
      <c r="C234" s="84"/>
      <c r="D234" s="84"/>
      <c r="E234" s="84"/>
      <c r="F234" s="84"/>
      <c r="G234" s="84"/>
      <c r="H234" s="84"/>
      <c r="I234" s="84"/>
      <c r="J234" s="84"/>
      <c r="K234" s="84"/>
      <c r="L234" s="84"/>
      <c r="M234" s="84"/>
      <c r="N234" s="84"/>
      <c r="O234" s="84"/>
      <c r="P234" s="84"/>
      <c r="Q234" s="84"/>
      <c r="R234" s="84"/>
      <c r="S234" s="84"/>
      <c r="T234" s="84"/>
      <c r="U234" s="84"/>
      <c r="V234" s="84"/>
      <c r="W234" s="84"/>
      <c r="X234" s="84"/>
      <c r="Y234" s="84"/>
      <c r="Z234" s="84"/>
    </row>
    <row r="235" spans="1:26" ht="15">
      <c r="A235" s="83"/>
      <c r="B235" s="84"/>
      <c r="C235" s="84"/>
      <c r="D235" s="84"/>
      <c r="E235" s="84"/>
      <c r="F235" s="84"/>
      <c r="G235" s="84"/>
      <c r="H235" s="84"/>
      <c r="I235" s="84"/>
      <c r="J235" s="84"/>
      <c r="K235" s="84"/>
      <c r="L235" s="84"/>
      <c r="M235" s="84"/>
      <c r="N235" s="84"/>
      <c r="O235" s="84"/>
      <c r="P235" s="84"/>
      <c r="Q235" s="84"/>
      <c r="R235" s="84"/>
      <c r="S235" s="84"/>
      <c r="T235" s="84"/>
      <c r="U235" s="84"/>
      <c r="V235" s="84"/>
      <c r="W235" s="84"/>
      <c r="X235" s="84"/>
      <c r="Y235" s="84"/>
      <c r="Z235" s="84"/>
    </row>
    <row r="236" spans="1:26" ht="15">
      <c r="A236" s="83"/>
      <c r="B236" s="84"/>
      <c r="C236" s="84"/>
      <c r="D236" s="84"/>
      <c r="E236" s="84"/>
      <c r="F236" s="84"/>
      <c r="G236" s="84"/>
      <c r="H236" s="84"/>
      <c r="I236" s="84"/>
      <c r="J236" s="84"/>
      <c r="K236" s="84"/>
      <c r="L236" s="84"/>
      <c r="M236" s="84"/>
      <c r="N236" s="84"/>
      <c r="O236" s="84"/>
      <c r="P236" s="84"/>
      <c r="Q236" s="84"/>
      <c r="R236" s="84"/>
      <c r="S236" s="84"/>
      <c r="T236" s="84"/>
      <c r="U236" s="84"/>
      <c r="V236" s="84"/>
      <c r="W236" s="84"/>
      <c r="X236" s="84"/>
      <c r="Y236" s="84"/>
      <c r="Z236" s="84"/>
    </row>
    <row r="237" spans="1:26" ht="15">
      <c r="A237" s="83"/>
      <c r="B237" s="84"/>
      <c r="C237" s="84"/>
      <c r="D237" s="84"/>
      <c r="E237" s="84"/>
      <c r="F237" s="84"/>
      <c r="G237" s="84"/>
      <c r="H237" s="84"/>
      <c r="I237" s="84"/>
      <c r="J237" s="84"/>
      <c r="K237" s="84"/>
      <c r="L237" s="84"/>
      <c r="M237" s="84"/>
      <c r="N237" s="84"/>
      <c r="O237" s="84"/>
      <c r="P237" s="84"/>
      <c r="Q237" s="84"/>
      <c r="R237" s="84"/>
      <c r="S237" s="84"/>
      <c r="T237" s="84"/>
      <c r="U237" s="84"/>
      <c r="V237" s="84"/>
      <c r="W237" s="84"/>
      <c r="X237" s="84"/>
      <c r="Y237" s="84"/>
      <c r="Z237" s="84"/>
    </row>
    <row r="238" spans="1:26" ht="15">
      <c r="A238" s="83"/>
      <c r="B238" s="84"/>
      <c r="C238" s="84"/>
      <c r="D238" s="84"/>
      <c r="E238" s="84"/>
      <c r="F238" s="84"/>
      <c r="G238" s="84"/>
      <c r="H238" s="84"/>
      <c r="I238" s="84"/>
      <c r="J238" s="84"/>
      <c r="K238" s="84"/>
      <c r="L238" s="84"/>
      <c r="M238" s="84"/>
      <c r="N238" s="84"/>
      <c r="O238" s="84"/>
      <c r="P238" s="84"/>
      <c r="Q238" s="84"/>
      <c r="R238" s="84"/>
      <c r="S238" s="84"/>
      <c r="T238" s="84"/>
      <c r="U238" s="84"/>
      <c r="V238" s="84"/>
      <c r="W238" s="84"/>
      <c r="X238" s="84"/>
      <c r="Y238" s="84"/>
      <c r="Z238" s="84"/>
    </row>
    <row r="239" spans="1:26" ht="15">
      <c r="A239" s="83"/>
      <c r="B239" s="84"/>
      <c r="C239" s="84"/>
      <c r="D239" s="84"/>
      <c r="E239" s="84"/>
      <c r="F239" s="84"/>
      <c r="G239" s="84"/>
      <c r="H239" s="84"/>
      <c r="I239" s="84"/>
      <c r="J239" s="84"/>
      <c r="K239" s="84"/>
      <c r="L239" s="84"/>
      <c r="M239" s="84"/>
      <c r="N239" s="84"/>
      <c r="O239" s="84"/>
      <c r="P239" s="84"/>
      <c r="Q239" s="84"/>
      <c r="R239" s="84"/>
      <c r="S239" s="84"/>
      <c r="T239" s="84"/>
      <c r="U239" s="84"/>
      <c r="V239" s="84"/>
      <c r="W239" s="84"/>
      <c r="X239" s="84"/>
      <c r="Y239" s="84"/>
      <c r="Z239" s="84"/>
    </row>
    <row r="240" spans="1:26" ht="15">
      <c r="A240" s="83"/>
      <c r="B240" s="84"/>
      <c r="C240" s="84"/>
      <c r="D240" s="84"/>
      <c r="E240" s="84"/>
      <c r="F240" s="84"/>
      <c r="G240" s="84"/>
      <c r="H240" s="84"/>
      <c r="I240" s="84"/>
      <c r="J240" s="84"/>
      <c r="K240" s="84"/>
      <c r="L240" s="84"/>
      <c r="M240" s="84"/>
      <c r="N240" s="84"/>
      <c r="O240" s="84"/>
      <c r="P240" s="84"/>
      <c r="Q240" s="84"/>
      <c r="R240" s="84"/>
      <c r="S240" s="84"/>
      <c r="T240" s="84"/>
      <c r="U240" s="84"/>
      <c r="V240" s="84"/>
      <c r="W240" s="84"/>
      <c r="X240" s="84"/>
      <c r="Y240" s="84"/>
      <c r="Z240" s="84"/>
    </row>
    <row r="241" spans="1:26" ht="15">
      <c r="A241" s="83"/>
      <c r="B241" s="84"/>
      <c r="C241" s="84"/>
      <c r="D241" s="84"/>
      <c r="E241" s="84"/>
      <c r="F241" s="84"/>
      <c r="G241" s="84"/>
      <c r="H241" s="84"/>
      <c r="I241" s="84"/>
      <c r="J241" s="84"/>
      <c r="K241" s="84"/>
      <c r="L241" s="84"/>
      <c r="M241" s="84"/>
      <c r="N241" s="84"/>
      <c r="O241" s="84"/>
      <c r="P241" s="84"/>
      <c r="Q241" s="84"/>
      <c r="R241" s="84"/>
      <c r="S241" s="84"/>
      <c r="T241" s="84"/>
      <c r="U241" s="84"/>
      <c r="V241" s="84"/>
      <c r="W241" s="84"/>
      <c r="X241" s="84"/>
      <c r="Y241" s="84"/>
      <c r="Z241" s="84"/>
    </row>
    <row r="242" spans="1:26" ht="15">
      <c r="A242" s="83"/>
      <c r="B242" s="84"/>
      <c r="C242" s="84"/>
      <c r="D242" s="84"/>
      <c r="E242" s="84"/>
      <c r="F242" s="84"/>
      <c r="G242" s="84"/>
      <c r="H242" s="84"/>
      <c r="I242" s="84"/>
      <c r="J242" s="84"/>
      <c r="K242" s="84"/>
      <c r="L242" s="84"/>
      <c r="M242" s="84"/>
      <c r="N242" s="84"/>
      <c r="O242" s="84"/>
      <c r="P242" s="84"/>
      <c r="Q242" s="84"/>
      <c r="R242" s="84"/>
      <c r="S242" s="84"/>
      <c r="T242" s="84"/>
      <c r="U242" s="84"/>
      <c r="V242" s="84"/>
      <c r="W242" s="84"/>
      <c r="X242" s="84"/>
      <c r="Y242" s="84"/>
      <c r="Z242" s="84"/>
    </row>
    <row r="243" spans="1:26" ht="15">
      <c r="A243" s="83"/>
      <c r="B243" s="84"/>
      <c r="C243" s="84"/>
      <c r="D243" s="84"/>
      <c r="E243" s="84"/>
      <c r="F243" s="84"/>
      <c r="G243" s="84"/>
      <c r="H243" s="84"/>
      <c r="I243" s="84"/>
      <c r="J243" s="84"/>
      <c r="K243" s="84"/>
      <c r="L243" s="84"/>
      <c r="M243" s="84"/>
      <c r="N243" s="84"/>
      <c r="O243" s="84"/>
      <c r="P243" s="84"/>
      <c r="Q243" s="84"/>
      <c r="R243" s="84"/>
      <c r="S243" s="84"/>
      <c r="T243" s="84"/>
      <c r="U243" s="84"/>
      <c r="V243" s="84"/>
      <c r="W243" s="84"/>
      <c r="X243" s="84"/>
      <c r="Y243" s="84"/>
      <c r="Z243" s="84"/>
    </row>
    <row r="244" spans="1:26" ht="15">
      <c r="A244" s="83"/>
      <c r="B244" s="84"/>
      <c r="C244" s="84"/>
      <c r="D244" s="84"/>
      <c r="E244" s="84"/>
      <c r="F244" s="84"/>
      <c r="G244" s="84"/>
      <c r="H244" s="84"/>
      <c r="I244" s="84"/>
      <c r="J244" s="84"/>
      <c r="K244" s="84"/>
      <c r="L244" s="84"/>
      <c r="M244" s="84"/>
      <c r="N244" s="84"/>
      <c r="O244" s="84"/>
      <c r="P244" s="84"/>
      <c r="Q244" s="84"/>
      <c r="R244" s="84"/>
      <c r="S244" s="84"/>
      <c r="T244" s="84"/>
      <c r="U244" s="84"/>
      <c r="V244" s="84"/>
      <c r="W244" s="84"/>
      <c r="X244" s="84"/>
      <c r="Y244" s="84"/>
      <c r="Z244" s="84"/>
    </row>
    <row r="245" spans="1:26" ht="15">
      <c r="A245" s="83"/>
      <c r="B245" s="84"/>
      <c r="C245" s="84"/>
      <c r="D245" s="84"/>
      <c r="E245" s="84"/>
      <c r="F245" s="84"/>
      <c r="G245" s="84"/>
      <c r="H245" s="84"/>
      <c r="I245" s="84"/>
      <c r="J245" s="84"/>
      <c r="K245" s="84"/>
      <c r="L245" s="84"/>
      <c r="M245" s="84"/>
      <c r="N245" s="84"/>
      <c r="O245" s="84"/>
      <c r="P245" s="84"/>
      <c r="Q245" s="84"/>
      <c r="R245" s="84"/>
      <c r="S245" s="84"/>
      <c r="T245" s="84"/>
      <c r="U245" s="84"/>
      <c r="V245" s="84"/>
      <c r="W245" s="84"/>
      <c r="X245" s="84"/>
      <c r="Y245" s="84"/>
      <c r="Z245" s="84"/>
    </row>
    <row r="246" spans="1:26" ht="15">
      <c r="A246" s="83"/>
      <c r="B246" s="84"/>
      <c r="C246" s="84"/>
      <c r="D246" s="84"/>
      <c r="E246" s="84"/>
      <c r="F246" s="84"/>
      <c r="G246" s="84"/>
      <c r="H246" s="84"/>
      <c r="I246" s="84"/>
      <c r="J246" s="84"/>
      <c r="K246" s="84"/>
      <c r="L246" s="84"/>
      <c r="M246" s="84"/>
      <c r="N246" s="84"/>
      <c r="O246" s="84"/>
      <c r="P246" s="84"/>
      <c r="Q246" s="84"/>
      <c r="R246" s="84"/>
      <c r="S246" s="84"/>
      <c r="T246" s="84"/>
      <c r="U246" s="84"/>
      <c r="V246" s="84"/>
      <c r="W246" s="84"/>
      <c r="X246" s="84"/>
      <c r="Y246" s="84"/>
      <c r="Z246" s="84"/>
    </row>
    <row r="247" spans="1:26" ht="15">
      <c r="A247" s="83"/>
      <c r="B247" s="84"/>
      <c r="C247" s="84"/>
      <c r="D247" s="84"/>
      <c r="E247" s="84"/>
      <c r="F247" s="84"/>
      <c r="G247" s="84"/>
      <c r="H247" s="84"/>
      <c r="I247" s="84"/>
      <c r="J247" s="84"/>
      <c r="K247" s="84"/>
      <c r="L247" s="84"/>
      <c r="M247" s="84"/>
      <c r="N247" s="84"/>
      <c r="O247" s="84"/>
      <c r="P247" s="84"/>
      <c r="Q247" s="84"/>
      <c r="R247" s="84"/>
      <c r="S247" s="84"/>
      <c r="T247" s="84"/>
      <c r="U247" s="84"/>
      <c r="V247" s="84"/>
      <c r="W247" s="84"/>
      <c r="X247" s="84"/>
      <c r="Y247" s="84"/>
      <c r="Z247" s="84"/>
    </row>
    <row r="248" spans="1:26" ht="15">
      <c r="A248" s="83"/>
      <c r="B248" s="84"/>
      <c r="C248" s="84"/>
      <c r="D248" s="84"/>
      <c r="E248" s="84"/>
      <c r="F248" s="84"/>
      <c r="G248" s="84"/>
      <c r="H248" s="84"/>
      <c r="I248" s="84"/>
      <c r="J248" s="84"/>
      <c r="K248" s="84"/>
      <c r="L248" s="84"/>
      <c r="M248" s="84"/>
      <c r="N248" s="84"/>
      <c r="O248" s="84"/>
      <c r="P248" s="84"/>
      <c r="Q248" s="84"/>
      <c r="R248" s="84"/>
      <c r="S248" s="84"/>
      <c r="T248" s="84"/>
      <c r="U248" s="84"/>
      <c r="V248" s="84"/>
      <c r="W248" s="84"/>
      <c r="X248" s="84"/>
      <c r="Y248" s="84"/>
      <c r="Z248" s="84"/>
    </row>
    <row r="249" spans="1:26" ht="15">
      <c r="A249" s="83"/>
      <c r="B249" s="84"/>
      <c r="C249" s="84"/>
      <c r="D249" s="84"/>
      <c r="E249" s="84"/>
      <c r="F249" s="84"/>
      <c r="G249" s="84"/>
      <c r="H249" s="84"/>
      <c r="I249" s="84"/>
      <c r="J249" s="84"/>
      <c r="K249" s="84"/>
      <c r="L249" s="84"/>
      <c r="M249" s="84"/>
      <c r="N249" s="84"/>
      <c r="O249" s="84"/>
      <c r="P249" s="84"/>
      <c r="Q249" s="84"/>
      <c r="R249" s="84"/>
      <c r="S249" s="84"/>
      <c r="T249" s="84"/>
      <c r="U249" s="84"/>
      <c r="V249" s="84"/>
      <c r="W249" s="84"/>
      <c r="X249" s="84"/>
      <c r="Y249" s="84"/>
      <c r="Z249" s="84"/>
    </row>
    <row r="250" spans="1:26" ht="15">
      <c r="A250" s="83"/>
      <c r="B250" s="84"/>
      <c r="C250" s="84"/>
      <c r="D250" s="84"/>
      <c r="E250" s="84"/>
      <c r="F250" s="84"/>
      <c r="G250" s="84"/>
      <c r="H250" s="84"/>
      <c r="I250" s="84"/>
      <c r="J250" s="84"/>
      <c r="K250" s="84"/>
      <c r="L250" s="84"/>
      <c r="M250" s="84"/>
      <c r="N250" s="84"/>
      <c r="O250" s="84"/>
      <c r="P250" s="84"/>
      <c r="Q250" s="84"/>
      <c r="R250" s="84"/>
      <c r="S250" s="84"/>
      <c r="T250" s="84"/>
      <c r="U250" s="84"/>
      <c r="V250" s="84"/>
      <c r="W250" s="84"/>
      <c r="X250" s="84"/>
      <c r="Y250" s="84"/>
      <c r="Z250" s="84"/>
    </row>
    <row r="251" spans="1:26" ht="15">
      <c r="A251" s="83"/>
      <c r="B251" s="84"/>
      <c r="C251" s="84"/>
      <c r="D251" s="84"/>
      <c r="E251" s="84"/>
      <c r="F251" s="84"/>
      <c r="G251" s="84"/>
      <c r="H251" s="84"/>
      <c r="I251" s="84"/>
      <c r="J251" s="84"/>
      <c r="K251" s="84"/>
      <c r="L251" s="84"/>
      <c r="M251" s="84"/>
      <c r="N251" s="84"/>
      <c r="O251" s="84"/>
      <c r="P251" s="84"/>
      <c r="Q251" s="84"/>
      <c r="R251" s="84"/>
      <c r="S251" s="84"/>
      <c r="T251" s="84"/>
      <c r="U251" s="84"/>
      <c r="V251" s="84"/>
      <c r="W251" s="84"/>
      <c r="X251" s="84"/>
      <c r="Y251" s="84"/>
      <c r="Z251" s="84"/>
    </row>
    <row r="252" spans="1:26" ht="15">
      <c r="A252" s="83"/>
      <c r="B252" s="84"/>
      <c r="C252" s="84"/>
      <c r="D252" s="84"/>
      <c r="E252" s="84"/>
      <c r="F252" s="84"/>
      <c r="G252" s="84"/>
      <c r="H252" s="84"/>
      <c r="I252" s="84"/>
      <c r="J252" s="84"/>
      <c r="K252" s="84"/>
      <c r="L252" s="84"/>
      <c r="M252" s="84"/>
      <c r="N252" s="84"/>
      <c r="O252" s="84"/>
      <c r="P252" s="84"/>
      <c r="Q252" s="84"/>
      <c r="R252" s="84"/>
      <c r="S252" s="84"/>
      <c r="T252" s="84"/>
      <c r="U252" s="84"/>
      <c r="V252" s="84"/>
      <c r="W252" s="84"/>
      <c r="X252" s="84"/>
      <c r="Y252" s="84"/>
      <c r="Z252" s="84"/>
    </row>
    <row r="253" spans="1:26" ht="15">
      <c r="A253" s="83"/>
      <c r="B253" s="84"/>
      <c r="C253" s="84"/>
      <c r="D253" s="84"/>
      <c r="E253" s="84"/>
      <c r="F253" s="84"/>
      <c r="G253" s="84"/>
      <c r="H253" s="84"/>
      <c r="I253" s="84"/>
      <c r="J253" s="84"/>
      <c r="K253" s="84"/>
      <c r="L253" s="84"/>
      <c r="M253" s="84"/>
      <c r="N253" s="84"/>
      <c r="O253" s="84"/>
      <c r="P253" s="84"/>
      <c r="Q253" s="84"/>
      <c r="R253" s="84"/>
      <c r="S253" s="84"/>
      <c r="T253" s="84"/>
      <c r="U253" s="84"/>
      <c r="V253" s="84"/>
      <c r="W253" s="84"/>
      <c r="X253" s="84"/>
      <c r="Y253" s="84"/>
      <c r="Z253" s="84"/>
    </row>
    <row r="254" spans="1:26" ht="15">
      <c r="A254" s="83"/>
      <c r="B254" s="84"/>
      <c r="C254" s="84"/>
      <c r="D254" s="84"/>
      <c r="E254" s="84"/>
      <c r="F254" s="84"/>
      <c r="G254" s="84"/>
      <c r="H254" s="84"/>
      <c r="I254" s="84"/>
      <c r="J254" s="84"/>
      <c r="K254" s="84"/>
      <c r="L254" s="84"/>
      <c r="M254" s="84"/>
      <c r="N254" s="84"/>
      <c r="O254" s="84"/>
      <c r="P254" s="84"/>
      <c r="Q254" s="84"/>
      <c r="R254" s="84"/>
      <c r="S254" s="84"/>
      <c r="T254" s="84"/>
      <c r="U254" s="84"/>
      <c r="V254" s="84"/>
      <c r="W254" s="84"/>
      <c r="X254" s="84"/>
      <c r="Y254" s="84"/>
      <c r="Z254" s="84"/>
    </row>
    <row r="255" spans="1:26" ht="15">
      <c r="A255" s="83"/>
      <c r="B255" s="84"/>
      <c r="C255" s="84"/>
      <c r="D255" s="84"/>
      <c r="E255" s="84"/>
      <c r="F255" s="84"/>
      <c r="G255" s="84"/>
      <c r="H255" s="84"/>
      <c r="I255" s="84"/>
      <c r="J255" s="84"/>
      <c r="K255" s="84"/>
      <c r="L255" s="84"/>
      <c r="M255" s="84"/>
      <c r="N255" s="84"/>
      <c r="O255" s="84"/>
      <c r="P255" s="84"/>
      <c r="Q255" s="84"/>
      <c r="R255" s="84"/>
      <c r="S255" s="84"/>
      <c r="T255" s="84"/>
      <c r="U255" s="84"/>
      <c r="V255" s="84"/>
      <c r="W255" s="84"/>
      <c r="X255" s="84"/>
      <c r="Y255" s="84"/>
      <c r="Z255" s="84"/>
    </row>
    <row r="256" spans="1:26" ht="15">
      <c r="A256" s="83"/>
      <c r="B256" s="84"/>
      <c r="C256" s="84"/>
      <c r="D256" s="84"/>
      <c r="E256" s="84"/>
      <c r="F256" s="84"/>
      <c r="G256" s="84"/>
      <c r="H256" s="84"/>
      <c r="I256" s="84"/>
      <c r="J256" s="84"/>
      <c r="K256" s="84"/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84"/>
      <c r="W256" s="84"/>
      <c r="X256" s="84"/>
      <c r="Y256" s="84"/>
      <c r="Z256" s="84"/>
    </row>
    <row r="257" spans="1:26" ht="15">
      <c r="A257" s="83"/>
      <c r="B257" s="84"/>
      <c r="C257" s="84"/>
      <c r="D257" s="84"/>
      <c r="E257" s="84"/>
      <c r="F257" s="84"/>
      <c r="G257" s="84"/>
      <c r="H257" s="84"/>
      <c r="I257" s="84"/>
      <c r="J257" s="84"/>
      <c r="K257" s="84"/>
      <c r="L257" s="84"/>
      <c r="M257" s="84"/>
      <c r="N257" s="84"/>
      <c r="O257" s="84"/>
      <c r="P257" s="84"/>
      <c r="Q257" s="84"/>
      <c r="R257" s="84"/>
      <c r="S257" s="84"/>
      <c r="T257" s="84"/>
      <c r="U257" s="84"/>
      <c r="V257" s="84"/>
      <c r="W257" s="84"/>
      <c r="X257" s="84"/>
      <c r="Y257" s="84"/>
      <c r="Z257" s="84"/>
    </row>
    <row r="258" spans="1:26" ht="15">
      <c r="A258" s="83"/>
      <c r="B258" s="84"/>
      <c r="C258" s="84"/>
      <c r="D258" s="84"/>
      <c r="E258" s="84"/>
      <c r="F258" s="84"/>
      <c r="G258" s="84"/>
      <c r="H258" s="84"/>
      <c r="I258" s="84"/>
      <c r="J258" s="84"/>
      <c r="K258" s="84"/>
      <c r="L258" s="84"/>
      <c r="M258" s="84"/>
      <c r="N258" s="84"/>
      <c r="O258" s="84"/>
      <c r="P258" s="84"/>
      <c r="Q258" s="84"/>
      <c r="R258" s="84"/>
      <c r="S258" s="84"/>
      <c r="T258" s="84"/>
      <c r="U258" s="84"/>
      <c r="V258" s="84"/>
      <c r="W258" s="84"/>
      <c r="X258" s="84"/>
      <c r="Y258" s="84"/>
      <c r="Z258" s="84"/>
    </row>
    <row r="259" spans="1:26" ht="15">
      <c r="A259" s="83"/>
      <c r="B259" s="84"/>
      <c r="C259" s="84"/>
      <c r="D259" s="84"/>
      <c r="E259" s="84"/>
      <c r="F259" s="84"/>
      <c r="G259" s="84"/>
      <c r="H259" s="84"/>
      <c r="I259" s="84"/>
      <c r="J259" s="84"/>
      <c r="K259" s="84"/>
      <c r="L259" s="84"/>
      <c r="M259" s="84"/>
      <c r="N259" s="84"/>
      <c r="O259" s="84"/>
      <c r="P259" s="84"/>
      <c r="Q259" s="84"/>
      <c r="R259" s="84"/>
      <c r="S259" s="84"/>
      <c r="T259" s="84"/>
      <c r="U259" s="84"/>
      <c r="V259" s="84"/>
      <c r="W259" s="84"/>
      <c r="X259" s="84"/>
      <c r="Y259" s="84"/>
      <c r="Z259" s="84"/>
    </row>
    <row r="260" spans="1:26" ht="15">
      <c r="A260" s="83"/>
      <c r="B260" s="84"/>
      <c r="C260" s="84"/>
      <c r="D260" s="84"/>
      <c r="E260" s="84"/>
      <c r="F260" s="84"/>
      <c r="G260" s="84"/>
      <c r="H260" s="84"/>
      <c r="I260" s="84"/>
      <c r="J260" s="84"/>
      <c r="K260" s="84"/>
      <c r="L260" s="84"/>
      <c r="M260" s="84"/>
      <c r="N260" s="84"/>
      <c r="O260" s="84"/>
      <c r="P260" s="84"/>
      <c r="Q260" s="84"/>
      <c r="R260" s="84"/>
      <c r="S260" s="84"/>
      <c r="T260" s="84"/>
      <c r="U260" s="84"/>
      <c r="V260" s="84"/>
      <c r="W260" s="84"/>
      <c r="X260" s="84"/>
      <c r="Y260" s="84"/>
      <c r="Z260" s="84"/>
    </row>
    <row r="261" spans="1:26" ht="15">
      <c r="A261" s="83"/>
      <c r="B261" s="84"/>
      <c r="C261" s="84"/>
      <c r="D261" s="84"/>
      <c r="E261" s="84"/>
      <c r="F261" s="84"/>
      <c r="G261" s="84"/>
      <c r="H261" s="84"/>
      <c r="I261" s="84"/>
      <c r="J261" s="84"/>
      <c r="K261" s="84"/>
      <c r="L261" s="84"/>
      <c r="M261" s="84"/>
      <c r="N261" s="84"/>
      <c r="O261" s="84"/>
      <c r="P261" s="84"/>
      <c r="Q261" s="84"/>
      <c r="R261" s="84"/>
      <c r="S261" s="84"/>
      <c r="T261" s="84"/>
      <c r="U261" s="84"/>
      <c r="V261" s="84"/>
      <c r="W261" s="84"/>
      <c r="X261" s="84"/>
      <c r="Y261" s="84"/>
      <c r="Z261" s="84"/>
    </row>
    <row r="262" spans="1:26" ht="15">
      <c r="A262" s="83"/>
      <c r="B262" s="84"/>
      <c r="C262" s="84"/>
      <c r="D262" s="84"/>
      <c r="E262" s="84"/>
      <c r="F262" s="84"/>
      <c r="G262" s="84"/>
      <c r="H262" s="84"/>
      <c r="I262" s="84"/>
      <c r="J262" s="84"/>
      <c r="K262" s="84"/>
      <c r="L262" s="84"/>
      <c r="M262" s="84"/>
      <c r="N262" s="84"/>
      <c r="O262" s="84"/>
      <c r="P262" s="84"/>
      <c r="Q262" s="84"/>
      <c r="R262" s="84"/>
      <c r="S262" s="84"/>
      <c r="T262" s="84"/>
      <c r="U262" s="84"/>
      <c r="V262" s="84"/>
      <c r="W262" s="84"/>
      <c r="X262" s="84"/>
      <c r="Y262" s="84"/>
      <c r="Z262" s="84"/>
    </row>
    <row r="263" spans="1:26" ht="15">
      <c r="A263" s="83"/>
      <c r="B263" s="84"/>
      <c r="C263" s="84"/>
      <c r="D263" s="84"/>
      <c r="E263" s="84"/>
      <c r="F263" s="84"/>
      <c r="G263" s="84"/>
      <c r="H263" s="84"/>
      <c r="I263" s="84"/>
      <c r="J263" s="84"/>
      <c r="K263" s="84"/>
      <c r="L263" s="84"/>
      <c r="M263" s="84"/>
      <c r="N263" s="84"/>
      <c r="O263" s="84"/>
      <c r="P263" s="84"/>
      <c r="Q263" s="84"/>
      <c r="R263" s="84"/>
      <c r="S263" s="84"/>
      <c r="T263" s="84"/>
      <c r="U263" s="84"/>
      <c r="V263" s="84"/>
      <c r="W263" s="84"/>
      <c r="X263" s="84"/>
      <c r="Y263" s="84"/>
      <c r="Z263" s="84"/>
    </row>
    <row r="264" spans="1:26" ht="15">
      <c r="A264" s="83"/>
      <c r="B264" s="84"/>
      <c r="C264" s="84"/>
      <c r="D264" s="84"/>
      <c r="E264" s="84"/>
      <c r="F264" s="84"/>
      <c r="G264" s="84"/>
      <c r="H264" s="84"/>
      <c r="I264" s="84"/>
      <c r="J264" s="84"/>
      <c r="K264" s="84"/>
      <c r="L264" s="84"/>
      <c r="M264" s="84"/>
      <c r="N264" s="84"/>
      <c r="O264" s="84"/>
      <c r="P264" s="84"/>
      <c r="Q264" s="84"/>
      <c r="R264" s="84"/>
      <c r="S264" s="84"/>
      <c r="T264" s="84"/>
      <c r="U264" s="84"/>
      <c r="V264" s="84"/>
      <c r="W264" s="84"/>
      <c r="X264" s="84"/>
      <c r="Y264" s="84"/>
      <c r="Z264" s="84"/>
    </row>
    <row r="265" spans="1:26" ht="15">
      <c r="A265" s="83"/>
      <c r="B265" s="84"/>
      <c r="C265" s="84"/>
      <c r="D265" s="84"/>
      <c r="E265" s="84"/>
      <c r="F265" s="84"/>
      <c r="G265" s="84"/>
      <c r="H265" s="84"/>
      <c r="I265" s="84"/>
      <c r="J265" s="84"/>
      <c r="K265" s="84"/>
      <c r="L265" s="84"/>
      <c r="M265" s="84"/>
      <c r="N265" s="84"/>
      <c r="O265" s="84"/>
      <c r="P265" s="84"/>
      <c r="Q265" s="84"/>
      <c r="R265" s="84"/>
      <c r="S265" s="84"/>
      <c r="T265" s="84"/>
      <c r="U265" s="84"/>
      <c r="V265" s="84"/>
      <c r="W265" s="84"/>
      <c r="X265" s="84"/>
      <c r="Y265" s="84"/>
      <c r="Z265" s="84"/>
    </row>
    <row r="266" spans="1:26" ht="15">
      <c r="A266" s="83"/>
      <c r="B266" s="84"/>
      <c r="C266" s="84"/>
      <c r="D266" s="84"/>
      <c r="E266" s="84"/>
      <c r="F266" s="84"/>
      <c r="G266" s="84"/>
      <c r="H266" s="84"/>
      <c r="I266" s="84"/>
      <c r="J266" s="84"/>
      <c r="K266" s="84"/>
      <c r="L266" s="84"/>
      <c r="M266" s="84"/>
      <c r="N266" s="84"/>
      <c r="O266" s="84"/>
      <c r="P266" s="84"/>
      <c r="Q266" s="84"/>
      <c r="R266" s="84"/>
      <c r="S266" s="84"/>
      <c r="T266" s="84"/>
      <c r="U266" s="84"/>
      <c r="V266" s="84"/>
      <c r="W266" s="84"/>
      <c r="X266" s="84"/>
      <c r="Y266" s="84"/>
      <c r="Z266" s="84"/>
    </row>
    <row r="267" spans="1:26" ht="15">
      <c r="A267" s="83"/>
      <c r="B267" s="84"/>
      <c r="C267" s="84"/>
      <c r="D267" s="84"/>
      <c r="E267" s="84"/>
      <c r="F267" s="84"/>
      <c r="G267" s="84"/>
      <c r="H267" s="84"/>
      <c r="I267" s="84"/>
      <c r="J267" s="84"/>
      <c r="K267" s="84"/>
      <c r="L267" s="84"/>
      <c r="M267" s="84"/>
      <c r="N267" s="84"/>
      <c r="O267" s="84"/>
      <c r="P267" s="84"/>
      <c r="Q267" s="84"/>
      <c r="R267" s="84"/>
      <c r="S267" s="84"/>
      <c r="T267" s="84"/>
      <c r="U267" s="84"/>
      <c r="V267" s="84"/>
      <c r="W267" s="84"/>
      <c r="X267" s="84"/>
      <c r="Y267" s="84"/>
      <c r="Z267" s="84"/>
    </row>
    <row r="268" spans="1:26" ht="15">
      <c r="A268" s="83"/>
      <c r="B268" s="84"/>
      <c r="C268" s="84"/>
      <c r="D268" s="84"/>
      <c r="E268" s="84"/>
      <c r="F268" s="84"/>
      <c r="G268" s="84"/>
      <c r="H268" s="84"/>
      <c r="I268" s="84"/>
      <c r="J268" s="84"/>
      <c r="K268" s="84"/>
      <c r="L268" s="84"/>
      <c r="M268" s="84"/>
      <c r="N268" s="84"/>
      <c r="O268" s="84"/>
      <c r="P268" s="84"/>
      <c r="Q268" s="84"/>
      <c r="R268" s="84"/>
      <c r="S268" s="84"/>
      <c r="T268" s="84"/>
      <c r="U268" s="84"/>
      <c r="V268" s="84"/>
      <c r="W268" s="84"/>
      <c r="X268" s="84"/>
      <c r="Y268" s="84"/>
      <c r="Z268" s="84"/>
    </row>
    <row r="269" spans="1:26" ht="15">
      <c r="A269" s="83"/>
      <c r="B269" s="84"/>
      <c r="C269" s="84"/>
      <c r="D269" s="84"/>
      <c r="E269" s="84"/>
      <c r="F269" s="84"/>
      <c r="G269" s="84"/>
      <c r="H269" s="84"/>
      <c r="I269" s="84"/>
      <c r="J269" s="84"/>
      <c r="K269" s="84"/>
      <c r="L269" s="84"/>
      <c r="M269" s="84"/>
      <c r="N269" s="84"/>
      <c r="O269" s="84"/>
      <c r="P269" s="84"/>
      <c r="Q269" s="84"/>
      <c r="R269" s="84"/>
      <c r="S269" s="84"/>
      <c r="T269" s="84"/>
      <c r="U269" s="84"/>
      <c r="V269" s="84"/>
      <c r="W269" s="84"/>
      <c r="X269" s="84"/>
      <c r="Y269" s="84"/>
      <c r="Z269" s="84"/>
    </row>
    <row r="270" spans="1:26" ht="15">
      <c r="A270" s="83"/>
      <c r="B270" s="84"/>
      <c r="C270" s="84"/>
      <c r="D270" s="84"/>
      <c r="E270" s="84"/>
      <c r="F270" s="84"/>
      <c r="G270" s="84"/>
      <c r="H270" s="84"/>
      <c r="I270" s="84"/>
      <c r="J270" s="84"/>
      <c r="K270" s="84"/>
      <c r="L270" s="84"/>
      <c r="M270" s="84"/>
      <c r="N270" s="84"/>
      <c r="O270" s="84"/>
      <c r="P270" s="84"/>
      <c r="Q270" s="84"/>
      <c r="R270" s="84"/>
      <c r="S270" s="84"/>
      <c r="T270" s="84"/>
      <c r="U270" s="84"/>
      <c r="V270" s="84"/>
      <c r="W270" s="84"/>
      <c r="X270" s="84"/>
      <c r="Y270" s="84"/>
      <c r="Z270" s="84"/>
    </row>
    <row r="271" spans="1:26" ht="15">
      <c r="A271" s="83"/>
      <c r="B271" s="84"/>
      <c r="C271" s="84"/>
      <c r="D271" s="84"/>
      <c r="E271" s="84"/>
      <c r="F271" s="84"/>
      <c r="G271" s="84"/>
      <c r="H271" s="84"/>
      <c r="I271" s="84"/>
      <c r="J271" s="84"/>
      <c r="K271" s="84"/>
      <c r="L271" s="84"/>
      <c r="M271" s="84"/>
      <c r="N271" s="84"/>
      <c r="O271" s="84"/>
      <c r="P271" s="84"/>
      <c r="Q271" s="84"/>
      <c r="R271" s="84"/>
      <c r="S271" s="84"/>
      <c r="T271" s="84"/>
      <c r="U271" s="84"/>
      <c r="V271" s="84"/>
      <c r="W271" s="84"/>
      <c r="X271" s="84"/>
      <c r="Y271" s="84"/>
      <c r="Z271" s="84"/>
    </row>
    <row r="272" spans="1:26" ht="15">
      <c r="A272" s="83"/>
      <c r="B272" s="84"/>
      <c r="C272" s="84"/>
      <c r="D272" s="84"/>
      <c r="E272" s="84"/>
      <c r="F272" s="84"/>
      <c r="G272" s="84"/>
      <c r="H272" s="84"/>
      <c r="I272" s="84"/>
      <c r="J272" s="84"/>
      <c r="K272" s="84"/>
      <c r="L272" s="84"/>
      <c r="M272" s="84"/>
      <c r="N272" s="84"/>
      <c r="O272" s="84"/>
      <c r="P272" s="84"/>
      <c r="Q272" s="84"/>
      <c r="R272" s="84"/>
      <c r="S272" s="84"/>
      <c r="T272" s="84"/>
      <c r="U272" s="84"/>
      <c r="V272" s="84"/>
      <c r="W272" s="84"/>
      <c r="X272" s="84"/>
      <c r="Y272" s="84"/>
      <c r="Z272" s="84"/>
    </row>
    <row r="273" spans="1:26" ht="15">
      <c r="A273" s="83"/>
      <c r="B273" s="84"/>
      <c r="C273" s="84"/>
      <c r="D273" s="84"/>
      <c r="E273" s="84"/>
      <c r="F273" s="84"/>
      <c r="G273" s="84"/>
      <c r="H273" s="84"/>
      <c r="I273" s="84"/>
      <c r="J273" s="84"/>
      <c r="K273" s="84"/>
      <c r="L273" s="84"/>
      <c r="M273" s="84"/>
      <c r="N273" s="84"/>
      <c r="O273" s="84"/>
      <c r="P273" s="84"/>
      <c r="Q273" s="84"/>
      <c r="R273" s="84"/>
      <c r="S273" s="84"/>
      <c r="T273" s="84"/>
      <c r="U273" s="84"/>
      <c r="V273" s="84"/>
      <c r="W273" s="84"/>
      <c r="X273" s="84"/>
      <c r="Y273" s="84"/>
      <c r="Z273" s="84"/>
    </row>
    <row r="274" spans="1:26" ht="15">
      <c r="A274" s="83"/>
      <c r="B274" s="84"/>
      <c r="C274" s="84"/>
      <c r="D274" s="84"/>
      <c r="E274" s="84"/>
      <c r="F274" s="84"/>
      <c r="G274" s="84"/>
      <c r="H274" s="84"/>
      <c r="I274" s="84"/>
      <c r="J274" s="84"/>
      <c r="K274" s="84"/>
      <c r="L274" s="84"/>
      <c r="M274" s="84"/>
      <c r="N274" s="84"/>
      <c r="O274" s="84"/>
      <c r="P274" s="84"/>
      <c r="Q274" s="84"/>
      <c r="R274" s="84"/>
      <c r="S274" s="84"/>
      <c r="T274" s="84"/>
      <c r="U274" s="84"/>
      <c r="V274" s="84"/>
      <c r="W274" s="84"/>
      <c r="X274" s="84"/>
      <c r="Y274" s="84"/>
      <c r="Z274" s="84"/>
    </row>
    <row r="275" spans="1:26" ht="15">
      <c r="A275" s="83"/>
      <c r="B275" s="84"/>
      <c r="C275" s="84"/>
      <c r="D275" s="84"/>
      <c r="E275" s="84"/>
      <c r="F275" s="84"/>
      <c r="G275" s="84"/>
      <c r="H275" s="84"/>
      <c r="I275" s="84"/>
      <c r="J275" s="84"/>
      <c r="K275" s="84"/>
      <c r="L275" s="84"/>
      <c r="M275" s="84"/>
      <c r="N275" s="84"/>
      <c r="O275" s="84"/>
      <c r="P275" s="84"/>
      <c r="Q275" s="84"/>
      <c r="R275" s="84"/>
      <c r="S275" s="84"/>
      <c r="T275" s="84"/>
      <c r="U275" s="84"/>
      <c r="V275" s="84"/>
      <c r="W275" s="84"/>
      <c r="X275" s="84"/>
      <c r="Y275" s="84"/>
      <c r="Z275" s="84"/>
    </row>
    <row r="276" spans="1:26" ht="15">
      <c r="A276" s="83"/>
      <c r="B276" s="84"/>
      <c r="C276" s="84"/>
      <c r="D276" s="84"/>
      <c r="E276" s="84"/>
      <c r="F276" s="84"/>
      <c r="G276" s="84"/>
      <c r="H276" s="84"/>
      <c r="I276" s="84"/>
      <c r="J276" s="84"/>
      <c r="K276" s="84"/>
      <c r="L276" s="84"/>
      <c r="M276" s="84"/>
      <c r="N276" s="84"/>
      <c r="O276" s="84"/>
      <c r="P276" s="84"/>
      <c r="Q276" s="84"/>
      <c r="R276" s="84"/>
      <c r="S276" s="84"/>
      <c r="T276" s="84"/>
      <c r="U276" s="84"/>
      <c r="V276" s="84"/>
      <c r="W276" s="84"/>
      <c r="X276" s="84"/>
      <c r="Y276" s="84"/>
      <c r="Z276" s="84"/>
    </row>
    <row r="277" spans="1:26" ht="15">
      <c r="A277" s="83"/>
      <c r="B277" s="84"/>
      <c r="C277" s="84"/>
      <c r="D277" s="84"/>
      <c r="E277" s="84"/>
      <c r="F277" s="84"/>
      <c r="G277" s="84"/>
      <c r="H277" s="84"/>
      <c r="I277" s="84"/>
      <c r="J277" s="84"/>
      <c r="K277" s="84"/>
      <c r="L277" s="84"/>
      <c r="M277" s="84"/>
      <c r="N277" s="84"/>
      <c r="O277" s="84"/>
      <c r="P277" s="84"/>
      <c r="Q277" s="84"/>
      <c r="R277" s="84"/>
      <c r="S277" s="84"/>
      <c r="T277" s="84"/>
      <c r="U277" s="84"/>
      <c r="V277" s="84"/>
      <c r="W277" s="84"/>
      <c r="X277" s="84"/>
      <c r="Y277" s="84"/>
      <c r="Z277" s="84"/>
    </row>
    <row r="278" spans="1:26" ht="15">
      <c r="A278" s="83"/>
      <c r="B278" s="84"/>
      <c r="C278" s="84"/>
      <c r="D278" s="84"/>
      <c r="E278" s="84"/>
      <c r="F278" s="84"/>
      <c r="G278" s="84"/>
      <c r="H278" s="84"/>
      <c r="I278" s="84"/>
      <c r="J278" s="84"/>
      <c r="K278" s="84"/>
      <c r="L278" s="84"/>
      <c r="M278" s="84"/>
      <c r="N278" s="84"/>
      <c r="O278" s="84"/>
      <c r="P278" s="84"/>
      <c r="Q278" s="84"/>
      <c r="R278" s="84"/>
      <c r="S278" s="84"/>
      <c r="T278" s="84"/>
      <c r="U278" s="84"/>
      <c r="V278" s="84"/>
      <c r="W278" s="84"/>
      <c r="X278" s="84"/>
      <c r="Y278" s="84"/>
      <c r="Z278" s="84"/>
    </row>
    <row r="279" spans="1:26" ht="15">
      <c r="A279" s="83"/>
      <c r="B279" s="84"/>
      <c r="C279" s="84"/>
      <c r="D279" s="84"/>
      <c r="E279" s="84"/>
      <c r="F279" s="84"/>
      <c r="G279" s="84"/>
      <c r="H279" s="84"/>
      <c r="I279" s="84"/>
      <c r="J279" s="84"/>
      <c r="K279" s="84"/>
      <c r="L279" s="84"/>
      <c r="M279" s="84"/>
      <c r="N279" s="84"/>
      <c r="O279" s="84"/>
      <c r="P279" s="84"/>
      <c r="Q279" s="84"/>
      <c r="R279" s="84"/>
      <c r="S279" s="84"/>
      <c r="T279" s="84"/>
      <c r="U279" s="84"/>
      <c r="V279" s="84"/>
      <c r="W279" s="84"/>
      <c r="X279" s="84"/>
      <c r="Y279" s="84"/>
      <c r="Z279" s="84"/>
    </row>
    <row r="280" spans="1:26" ht="15">
      <c r="A280" s="83"/>
      <c r="B280" s="84"/>
      <c r="C280" s="84"/>
      <c r="D280" s="84"/>
      <c r="E280" s="84"/>
      <c r="F280" s="84"/>
      <c r="G280" s="84"/>
      <c r="H280" s="84"/>
      <c r="I280" s="84"/>
      <c r="J280" s="84"/>
      <c r="K280" s="84"/>
      <c r="L280" s="84"/>
      <c r="M280" s="84"/>
      <c r="N280" s="84"/>
      <c r="O280" s="84"/>
      <c r="P280" s="84"/>
      <c r="Q280" s="84"/>
      <c r="R280" s="84"/>
      <c r="S280" s="84"/>
      <c r="T280" s="84"/>
      <c r="U280" s="84"/>
      <c r="V280" s="84"/>
      <c r="W280" s="84"/>
      <c r="X280" s="84"/>
      <c r="Y280" s="84"/>
      <c r="Z280" s="84"/>
    </row>
    <row r="281" spans="1:26" ht="15">
      <c r="A281" s="83"/>
      <c r="B281" s="84"/>
      <c r="C281" s="84"/>
      <c r="D281" s="84"/>
      <c r="E281" s="84"/>
      <c r="F281" s="84"/>
      <c r="G281" s="84"/>
      <c r="H281" s="84"/>
      <c r="I281" s="84"/>
      <c r="J281" s="84"/>
      <c r="K281" s="84"/>
      <c r="L281" s="84"/>
      <c r="M281" s="84"/>
      <c r="N281" s="84"/>
      <c r="O281" s="84"/>
      <c r="P281" s="84"/>
      <c r="Q281" s="84"/>
      <c r="R281" s="84"/>
      <c r="S281" s="84"/>
      <c r="T281" s="84"/>
      <c r="U281" s="84"/>
      <c r="V281" s="84"/>
      <c r="W281" s="84"/>
      <c r="X281" s="84"/>
      <c r="Y281" s="84"/>
      <c r="Z281" s="84"/>
    </row>
    <row r="282" spans="1:26" ht="15">
      <c r="A282" s="83"/>
      <c r="B282" s="84"/>
      <c r="C282" s="84"/>
      <c r="D282" s="84"/>
      <c r="E282" s="84"/>
      <c r="F282" s="84"/>
      <c r="G282" s="84"/>
      <c r="H282" s="84"/>
      <c r="I282" s="84"/>
      <c r="J282" s="84"/>
      <c r="K282" s="84"/>
      <c r="L282" s="84"/>
      <c r="M282" s="84"/>
      <c r="N282" s="84"/>
      <c r="O282" s="84"/>
      <c r="P282" s="84"/>
      <c r="Q282" s="84"/>
      <c r="R282" s="84"/>
      <c r="S282" s="84"/>
      <c r="T282" s="84"/>
      <c r="U282" s="84"/>
      <c r="V282" s="84"/>
      <c r="W282" s="84"/>
      <c r="X282" s="84"/>
      <c r="Y282" s="84"/>
      <c r="Z282" s="84"/>
    </row>
    <row r="283" spans="1:26" ht="15">
      <c r="A283" s="83"/>
      <c r="B283" s="84"/>
      <c r="C283" s="84"/>
      <c r="D283" s="84"/>
      <c r="E283" s="84"/>
      <c r="F283" s="84"/>
      <c r="G283" s="84"/>
      <c r="H283" s="84"/>
      <c r="I283" s="84"/>
      <c r="J283" s="84"/>
      <c r="K283" s="84"/>
      <c r="L283" s="84"/>
      <c r="M283" s="84"/>
      <c r="N283" s="84"/>
      <c r="O283" s="84"/>
      <c r="P283" s="84"/>
      <c r="Q283" s="84"/>
      <c r="R283" s="84"/>
      <c r="S283" s="84"/>
      <c r="T283" s="84"/>
      <c r="U283" s="84"/>
      <c r="V283" s="84"/>
      <c r="W283" s="84"/>
      <c r="X283" s="84"/>
      <c r="Y283" s="84"/>
      <c r="Z283" s="84"/>
    </row>
    <row r="284" spans="1:26" ht="15">
      <c r="A284" s="83"/>
      <c r="B284" s="84"/>
      <c r="C284" s="84"/>
      <c r="D284" s="84"/>
      <c r="E284" s="84"/>
      <c r="F284" s="84"/>
      <c r="G284" s="84"/>
      <c r="H284" s="84"/>
      <c r="I284" s="84"/>
      <c r="J284" s="84"/>
      <c r="K284" s="84"/>
      <c r="L284" s="84"/>
      <c r="M284" s="84"/>
      <c r="N284" s="84"/>
      <c r="O284" s="84"/>
      <c r="P284" s="84"/>
      <c r="Q284" s="84"/>
      <c r="R284" s="84"/>
      <c r="S284" s="84"/>
      <c r="T284" s="84"/>
      <c r="U284" s="84"/>
      <c r="V284" s="84"/>
      <c r="W284" s="84"/>
      <c r="X284" s="84"/>
      <c r="Y284" s="84"/>
      <c r="Z284" s="84"/>
    </row>
    <row r="285" spans="1:26" ht="15">
      <c r="A285" s="83"/>
      <c r="B285" s="84"/>
      <c r="C285" s="84"/>
      <c r="D285" s="84"/>
      <c r="E285" s="84"/>
      <c r="F285" s="84"/>
      <c r="G285" s="84"/>
      <c r="H285" s="84"/>
      <c r="I285" s="84"/>
      <c r="J285" s="84"/>
      <c r="K285" s="84"/>
      <c r="L285" s="84"/>
      <c r="M285" s="84"/>
      <c r="N285" s="84"/>
      <c r="O285" s="84"/>
      <c r="P285" s="84"/>
      <c r="Q285" s="84"/>
      <c r="R285" s="84"/>
      <c r="S285" s="84"/>
      <c r="T285" s="84"/>
      <c r="U285" s="84"/>
      <c r="V285" s="84"/>
      <c r="W285" s="84"/>
      <c r="X285" s="84"/>
      <c r="Y285" s="84"/>
      <c r="Z285" s="84"/>
    </row>
    <row r="286" spans="1:26" ht="15">
      <c r="A286" s="83"/>
      <c r="B286" s="84"/>
      <c r="C286" s="84"/>
      <c r="D286" s="84"/>
      <c r="E286" s="84"/>
      <c r="F286" s="84"/>
      <c r="G286" s="84"/>
      <c r="H286" s="84"/>
      <c r="I286" s="84"/>
      <c r="J286" s="84"/>
      <c r="K286" s="84"/>
      <c r="L286" s="84"/>
      <c r="M286" s="84"/>
      <c r="N286" s="84"/>
      <c r="O286" s="84"/>
      <c r="P286" s="84"/>
      <c r="Q286" s="84"/>
      <c r="R286" s="84"/>
      <c r="S286" s="84"/>
      <c r="T286" s="84"/>
      <c r="U286" s="84"/>
      <c r="V286" s="84"/>
      <c r="W286" s="84"/>
      <c r="X286" s="84"/>
      <c r="Y286" s="84"/>
      <c r="Z286" s="84"/>
    </row>
    <row r="287" spans="1:26" ht="15">
      <c r="A287" s="83"/>
      <c r="B287" s="84"/>
      <c r="C287" s="84"/>
      <c r="D287" s="84"/>
      <c r="E287" s="84"/>
      <c r="F287" s="84"/>
      <c r="G287" s="84"/>
      <c r="H287" s="84"/>
      <c r="I287" s="84"/>
      <c r="J287" s="84"/>
      <c r="K287" s="84"/>
      <c r="L287" s="84"/>
      <c r="M287" s="84"/>
      <c r="N287" s="84"/>
      <c r="O287" s="84"/>
      <c r="P287" s="84"/>
      <c r="Q287" s="84"/>
      <c r="R287" s="84"/>
      <c r="S287" s="84"/>
      <c r="T287" s="84"/>
      <c r="U287" s="84"/>
      <c r="V287" s="84"/>
      <c r="W287" s="84"/>
      <c r="X287" s="84"/>
      <c r="Y287" s="84"/>
      <c r="Z287" s="84"/>
    </row>
    <row r="288" spans="1:26" ht="15">
      <c r="A288" s="83"/>
      <c r="B288" s="84"/>
      <c r="C288" s="84"/>
      <c r="D288" s="84"/>
      <c r="E288" s="84"/>
      <c r="F288" s="84"/>
      <c r="G288" s="84"/>
      <c r="H288" s="84"/>
      <c r="I288" s="84"/>
      <c r="J288" s="84"/>
      <c r="K288" s="84"/>
      <c r="L288" s="84"/>
      <c r="M288" s="84"/>
      <c r="N288" s="84"/>
      <c r="O288" s="84"/>
      <c r="P288" s="84"/>
      <c r="Q288" s="84"/>
      <c r="R288" s="84"/>
      <c r="S288" s="84"/>
      <c r="T288" s="84"/>
      <c r="U288" s="84"/>
      <c r="V288" s="84"/>
      <c r="W288" s="84"/>
      <c r="X288" s="84"/>
      <c r="Y288" s="84"/>
      <c r="Z288" s="84"/>
    </row>
    <row r="289" spans="1:26" ht="15">
      <c r="A289" s="83"/>
      <c r="B289" s="84"/>
      <c r="C289" s="84"/>
      <c r="D289" s="84"/>
      <c r="E289" s="84"/>
      <c r="F289" s="84"/>
      <c r="G289" s="84"/>
      <c r="H289" s="84"/>
      <c r="I289" s="84"/>
      <c r="J289" s="84"/>
      <c r="K289" s="84"/>
      <c r="L289" s="84"/>
      <c r="M289" s="84"/>
      <c r="N289" s="84"/>
      <c r="O289" s="84"/>
      <c r="P289" s="84"/>
      <c r="Q289" s="84"/>
      <c r="R289" s="84"/>
      <c r="S289" s="84"/>
      <c r="T289" s="84"/>
      <c r="U289" s="84"/>
      <c r="V289" s="84"/>
      <c r="W289" s="84"/>
      <c r="X289" s="84"/>
      <c r="Y289" s="84"/>
      <c r="Z289" s="84"/>
    </row>
    <row r="290" spans="1:26" ht="15">
      <c r="A290" s="83"/>
      <c r="B290" s="84"/>
      <c r="C290" s="84"/>
      <c r="D290" s="84"/>
      <c r="E290" s="84"/>
      <c r="F290" s="84"/>
      <c r="G290" s="84"/>
      <c r="H290" s="84"/>
      <c r="I290" s="84"/>
      <c r="J290" s="84"/>
      <c r="K290" s="84"/>
      <c r="L290" s="84"/>
      <c r="M290" s="84"/>
      <c r="N290" s="84"/>
      <c r="O290" s="84"/>
      <c r="P290" s="84"/>
      <c r="Q290" s="84"/>
      <c r="R290" s="84"/>
      <c r="S290" s="84"/>
      <c r="T290" s="84"/>
      <c r="U290" s="84"/>
      <c r="V290" s="84"/>
      <c r="W290" s="84"/>
      <c r="X290" s="84"/>
      <c r="Y290" s="84"/>
      <c r="Z290" s="84"/>
    </row>
    <row r="291" spans="1:26" ht="15">
      <c r="A291" s="83"/>
      <c r="B291" s="84"/>
      <c r="C291" s="84"/>
      <c r="D291" s="84"/>
      <c r="E291" s="84"/>
      <c r="F291" s="84"/>
      <c r="G291" s="84"/>
      <c r="H291" s="84"/>
      <c r="I291" s="84"/>
      <c r="J291" s="84"/>
      <c r="K291" s="84"/>
      <c r="L291" s="84"/>
      <c r="M291" s="84"/>
      <c r="N291" s="84"/>
      <c r="O291" s="84"/>
      <c r="P291" s="84"/>
      <c r="Q291" s="84"/>
      <c r="R291" s="84"/>
      <c r="S291" s="84"/>
      <c r="T291" s="84"/>
      <c r="U291" s="84"/>
      <c r="V291" s="84"/>
      <c r="W291" s="84"/>
      <c r="X291" s="84"/>
      <c r="Y291" s="84"/>
      <c r="Z291" s="84"/>
    </row>
    <row r="292" spans="1:26" ht="15">
      <c r="A292" s="83"/>
      <c r="B292" s="84"/>
      <c r="C292" s="84"/>
      <c r="D292" s="84"/>
      <c r="E292" s="84"/>
      <c r="F292" s="84"/>
      <c r="G292" s="84"/>
      <c r="H292" s="84"/>
      <c r="I292" s="84"/>
      <c r="J292" s="84"/>
      <c r="K292" s="84"/>
      <c r="L292" s="84"/>
      <c r="M292" s="84"/>
      <c r="N292" s="84"/>
      <c r="O292" s="84"/>
      <c r="P292" s="84"/>
      <c r="Q292" s="84"/>
      <c r="R292" s="84"/>
      <c r="S292" s="84"/>
      <c r="T292" s="84"/>
      <c r="U292" s="84"/>
      <c r="V292" s="84"/>
      <c r="W292" s="84"/>
      <c r="X292" s="84"/>
      <c r="Y292" s="84"/>
      <c r="Z292" s="84"/>
    </row>
    <row r="293" spans="1:26" ht="15">
      <c r="A293" s="83"/>
      <c r="B293" s="84"/>
      <c r="C293" s="84"/>
      <c r="D293" s="84"/>
      <c r="E293" s="84"/>
      <c r="F293" s="84"/>
      <c r="G293" s="84"/>
      <c r="H293" s="84"/>
      <c r="I293" s="84"/>
      <c r="J293" s="84"/>
      <c r="K293" s="84"/>
      <c r="L293" s="84"/>
      <c r="M293" s="84"/>
      <c r="N293" s="84"/>
      <c r="O293" s="84"/>
      <c r="P293" s="84"/>
      <c r="Q293" s="84"/>
      <c r="R293" s="84"/>
      <c r="S293" s="84"/>
      <c r="T293" s="84"/>
      <c r="U293" s="84"/>
      <c r="V293" s="84"/>
      <c r="W293" s="84"/>
      <c r="X293" s="84"/>
      <c r="Y293" s="84"/>
      <c r="Z293" s="84"/>
    </row>
    <row r="294" spans="1:26" ht="15">
      <c r="A294" s="83"/>
      <c r="B294" s="84"/>
      <c r="C294" s="84"/>
      <c r="D294" s="84"/>
      <c r="E294" s="84"/>
      <c r="F294" s="84"/>
      <c r="G294" s="84"/>
      <c r="H294" s="84"/>
      <c r="I294" s="84"/>
      <c r="J294" s="84"/>
      <c r="K294" s="84"/>
      <c r="L294" s="84"/>
      <c r="M294" s="84"/>
      <c r="N294" s="84"/>
      <c r="O294" s="84"/>
      <c r="P294" s="84"/>
      <c r="Q294" s="84"/>
      <c r="R294" s="84"/>
      <c r="S294" s="84"/>
      <c r="T294" s="84"/>
      <c r="U294" s="84"/>
      <c r="V294" s="84"/>
      <c r="W294" s="84"/>
      <c r="X294" s="84"/>
      <c r="Y294" s="84"/>
      <c r="Z294" s="84"/>
    </row>
    <row r="295" spans="1:26" ht="15">
      <c r="A295" s="83"/>
      <c r="B295" s="84"/>
      <c r="C295" s="84"/>
      <c r="D295" s="84"/>
      <c r="E295" s="84"/>
      <c r="F295" s="84"/>
      <c r="G295" s="84"/>
      <c r="H295" s="84"/>
      <c r="I295" s="84"/>
      <c r="J295" s="84"/>
      <c r="K295" s="84"/>
      <c r="L295" s="84"/>
      <c r="M295" s="84"/>
      <c r="N295" s="84"/>
      <c r="O295" s="84"/>
      <c r="P295" s="84"/>
      <c r="Q295" s="84"/>
      <c r="R295" s="84"/>
      <c r="S295" s="84"/>
      <c r="T295" s="84"/>
      <c r="U295" s="84"/>
      <c r="V295" s="84"/>
      <c r="W295" s="84"/>
      <c r="X295" s="84"/>
      <c r="Y295" s="84"/>
      <c r="Z295" s="84"/>
    </row>
    <row r="296" spans="1:26" ht="15">
      <c r="A296" s="83"/>
      <c r="B296" s="84"/>
      <c r="C296" s="84"/>
      <c r="D296" s="84"/>
      <c r="E296" s="84"/>
      <c r="F296" s="84"/>
      <c r="G296" s="84"/>
      <c r="H296" s="84"/>
      <c r="I296" s="84"/>
      <c r="J296" s="84"/>
      <c r="K296" s="84"/>
      <c r="L296" s="84"/>
      <c r="M296" s="84"/>
      <c r="N296" s="84"/>
      <c r="O296" s="84"/>
      <c r="P296" s="84"/>
      <c r="Q296" s="84"/>
      <c r="R296" s="84"/>
      <c r="S296" s="84"/>
      <c r="T296" s="84"/>
      <c r="U296" s="84"/>
      <c r="V296" s="84"/>
      <c r="W296" s="84"/>
      <c r="X296" s="84"/>
      <c r="Y296" s="84"/>
      <c r="Z296" s="84"/>
    </row>
    <row r="297" spans="1:26" ht="15">
      <c r="A297" s="83"/>
      <c r="B297" s="84"/>
      <c r="C297" s="84"/>
      <c r="D297" s="84"/>
      <c r="E297" s="84"/>
      <c r="F297" s="84"/>
      <c r="G297" s="84"/>
      <c r="H297" s="84"/>
      <c r="I297" s="84"/>
      <c r="J297" s="84"/>
      <c r="K297" s="84"/>
      <c r="L297" s="84"/>
      <c r="M297" s="84"/>
      <c r="N297" s="84"/>
      <c r="O297" s="84"/>
      <c r="P297" s="84"/>
      <c r="Q297" s="84"/>
      <c r="R297" s="84"/>
      <c r="S297" s="84"/>
      <c r="T297" s="84"/>
      <c r="U297" s="84"/>
      <c r="V297" s="84"/>
      <c r="W297" s="84"/>
      <c r="X297" s="84"/>
      <c r="Y297" s="84"/>
      <c r="Z297" s="84"/>
    </row>
    <row r="298" spans="1:26" ht="15">
      <c r="A298" s="83"/>
      <c r="B298" s="84"/>
      <c r="C298" s="84"/>
      <c r="D298" s="84"/>
      <c r="E298" s="84"/>
      <c r="F298" s="84"/>
      <c r="G298" s="84"/>
      <c r="H298" s="84"/>
      <c r="I298" s="84"/>
      <c r="J298" s="84"/>
      <c r="K298" s="84"/>
      <c r="L298" s="84"/>
      <c r="M298" s="84"/>
      <c r="N298" s="84"/>
      <c r="O298" s="84"/>
      <c r="P298" s="84"/>
      <c r="Q298" s="84"/>
      <c r="R298" s="84"/>
      <c r="S298" s="84"/>
      <c r="T298" s="84"/>
      <c r="U298" s="84"/>
      <c r="V298" s="84"/>
      <c r="W298" s="84"/>
      <c r="X298" s="84"/>
      <c r="Y298" s="84"/>
      <c r="Z298" s="84"/>
    </row>
    <row r="299" spans="1:26" ht="15">
      <c r="A299" s="83"/>
      <c r="B299" s="84"/>
      <c r="C299" s="84"/>
      <c r="D299" s="84"/>
      <c r="E299" s="84"/>
      <c r="F299" s="84"/>
      <c r="G299" s="84"/>
      <c r="H299" s="84"/>
      <c r="I299" s="84"/>
      <c r="J299" s="84"/>
      <c r="K299" s="84"/>
      <c r="L299" s="84"/>
      <c r="M299" s="84"/>
      <c r="N299" s="84"/>
      <c r="O299" s="84"/>
      <c r="P299" s="84"/>
      <c r="Q299" s="84"/>
      <c r="R299" s="84"/>
      <c r="S299" s="84"/>
      <c r="T299" s="84"/>
      <c r="U299" s="84"/>
      <c r="V299" s="84"/>
      <c r="W299" s="84"/>
      <c r="X299" s="84"/>
      <c r="Y299" s="84"/>
      <c r="Z299" s="84"/>
    </row>
    <row r="300" spans="1:26" ht="15">
      <c r="A300" s="83"/>
      <c r="B300" s="84"/>
      <c r="C300" s="84"/>
      <c r="D300" s="84"/>
      <c r="E300" s="84"/>
      <c r="F300" s="84"/>
      <c r="G300" s="84"/>
      <c r="H300" s="84"/>
      <c r="I300" s="84"/>
      <c r="J300" s="84"/>
      <c r="K300" s="84"/>
      <c r="L300" s="84"/>
      <c r="M300" s="84"/>
      <c r="N300" s="84"/>
      <c r="O300" s="84"/>
      <c r="P300" s="84"/>
      <c r="Q300" s="84"/>
      <c r="R300" s="84"/>
      <c r="S300" s="84"/>
      <c r="T300" s="84"/>
      <c r="U300" s="84"/>
      <c r="V300" s="84"/>
      <c r="W300" s="84"/>
      <c r="X300" s="84"/>
      <c r="Y300" s="84"/>
      <c r="Z300" s="84"/>
    </row>
    <row r="301" spans="1:26" ht="15">
      <c r="A301" s="83"/>
      <c r="B301" s="84"/>
      <c r="C301" s="84"/>
      <c r="D301" s="84"/>
      <c r="E301" s="84"/>
      <c r="F301" s="84"/>
      <c r="G301" s="84"/>
      <c r="H301" s="84"/>
      <c r="I301" s="84"/>
      <c r="J301" s="84"/>
      <c r="K301" s="84"/>
      <c r="L301" s="84"/>
      <c r="M301" s="84"/>
      <c r="N301" s="84"/>
      <c r="O301" s="84"/>
      <c r="P301" s="84"/>
      <c r="Q301" s="84"/>
      <c r="R301" s="84"/>
      <c r="S301" s="84"/>
      <c r="T301" s="84"/>
      <c r="U301" s="84"/>
      <c r="V301" s="84"/>
      <c r="W301" s="84"/>
      <c r="X301" s="84"/>
      <c r="Y301" s="84"/>
      <c r="Z301" s="84"/>
    </row>
    <row r="302" spans="1:26" ht="15">
      <c r="A302" s="83"/>
      <c r="B302" s="84"/>
      <c r="C302" s="84"/>
      <c r="D302" s="84"/>
      <c r="E302" s="84"/>
      <c r="F302" s="84"/>
      <c r="G302" s="84"/>
      <c r="H302" s="84"/>
      <c r="I302" s="84"/>
      <c r="J302" s="84"/>
      <c r="K302" s="84"/>
      <c r="L302" s="84"/>
      <c r="M302" s="84"/>
      <c r="N302" s="84"/>
      <c r="O302" s="84"/>
      <c r="P302" s="84"/>
      <c r="Q302" s="84"/>
      <c r="R302" s="84"/>
      <c r="S302" s="84"/>
      <c r="T302" s="84"/>
      <c r="U302" s="84"/>
      <c r="V302" s="84"/>
      <c r="W302" s="84"/>
      <c r="X302" s="84"/>
      <c r="Y302" s="84"/>
      <c r="Z302" s="84"/>
    </row>
    <row r="303" spans="1:26" ht="15">
      <c r="A303" s="83"/>
      <c r="B303" s="84"/>
      <c r="C303" s="84"/>
      <c r="D303" s="84"/>
      <c r="E303" s="84"/>
      <c r="F303" s="84"/>
      <c r="G303" s="84"/>
      <c r="H303" s="84"/>
      <c r="I303" s="84"/>
      <c r="J303" s="84"/>
      <c r="K303" s="84"/>
      <c r="L303" s="84"/>
      <c r="M303" s="84"/>
      <c r="N303" s="84"/>
      <c r="O303" s="84"/>
      <c r="P303" s="84"/>
      <c r="Q303" s="84"/>
      <c r="R303" s="84"/>
      <c r="S303" s="84"/>
      <c r="T303" s="84"/>
      <c r="U303" s="84"/>
      <c r="V303" s="84"/>
      <c r="W303" s="84"/>
      <c r="X303" s="84"/>
      <c r="Y303" s="84"/>
      <c r="Z303" s="84"/>
    </row>
    <row r="304" spans="1:26" ht="15">
      <c r="A304" s="83"/>
      <c r="B304" s="84"/>
      <c r="C304" s="84"/>
      <c r="D304" s="84"/>
      <c r="E304" s="84"/>
      <c r="F304" s="84"/>
      <c r="G304" s="84"/>
      <c r="H304" s="84"/>
      <c r="I304" s="84"/>
      <c r="J304" s="84"/>
      <c r="K304" s="84"/>
      <c r="L304" s="84"/>
      <c r="M304" s="84"/>
      <c r="N304" s="84"/>
      <c r="O304" s="84"/>
      <c r="P304" s="84"/>
      <c r="Q304" s="84"/>
      <c r="R304" s="84"/>
      <c r="S304" s="84"/>
      <c r="T304" s="84"/>
      <c r="U304" s="84"/>
      <c r="V304" s="84"/>
      <c r="W304" s="84"/>
      <c r="X304" s="84"/>
      <c r="Y304" s="84"/>
      <c r="Z304" s="84"/>
    </row>
    <row r="305" spans="1:26" ht="15">
      <c r="A305" s="83"/>
      <c r="B305" s="84"/>
      <c r="C305" s="84"/>
      <c r="D305" s="84"/>
      <c r="E305" s="84"/>
      <c r="F305" s="84"/>
      <c r="G305" s="84"/>
      <c r="H305" s="84"/>
      <c r="I305" s="84"/>
      <c r="J305" s="84"/>
      <c r="K305" s="84"/>
      <c r="L305" s="84"/>
      <c r="M305" s="84"/>
      <c r="N305" s="84"/>
      <c r="O305" s="84"/>
      <c r="P305" s="84"/>
      <c r="Q305" s="84"/>
      <c r="R305" s="84"/>
      <c r="S305" s="84"/>
      <c r="T305" s="84"/>
      <c r="U305" s="84"/>
      <c r="V305" s="84"/>
      <c r="W305" s="84"/>
      <c r="X305" s="84"/>
      <c r="Y305" s="84"/>
      <c r="Z305" s="84"/>
    </row>
    <row r="306" spans="1:26" ht="15">
      <c r="A306" s="83"/>
      <c r="B306" s="84"/>
      <c r="C306" s="84"/>
      <c r="D306" s="84"/>
      <c r="E306" s="84"/>
      <c r="F306" s="84"/>
      <c r="G306" s="84"/>
      <c r="H306" s="84"/>
      <c r="I306" s="84"/>
      <c r="J306" s="84"/>
      <c r="K306" s="84"/>
      <c r="L306" s="84"/>
      <c r="M306" s="84"/>
      <c r="N306" s="84"/>
      <c r="O306" s="84"/>
      <c r="P306" s="84"/>
      <c r="Q306" s="84"/>
      <c r="R306" s="84"/>
      <c r="S306" s="84"/>
      <c r="T306" s="84"/>
      <c r="U306" s="84"/>
      <c r="V306" s="84"/>
      <c r="W306" s="84"/>
      <c r="X306" s="84"/>
      <c r="Y306" s="84"/>
      <c r="Z306" s="84"/>
    </row>
    <row r="307" spans="1:26" ht="15">
      <c r="A307" s="83"/>
      <c r="B307" s="84"/>
      <c r="C307" s="84"/>
      <c r="D307" s="84"/>
      <c r="E307" s="84"/>
      <c r="F307" s="84"/>
      <c r="G307" s="84"/>
      <c r="H307" s="84"/>
      <c r="I307" s="84"/>
      <c r="J307" s="84"/>
      <c r="K307" s="84"/>
      <c r="L307" s="84"/>
      <c r="M307" s="84"/>
      <c r="N307" s="84"/>
      <c r="O307" s="84"/>
      <c r="P307" s="84"/>
      <c r="Q307" s="84"/>
      <c r="R307" s="84"/>
      <c r="S307" s="84"/>
      <c r="T307" s="84"/>
      <c r="U307" s="84"/>
      <c r="V307" s="84"/>
      <c r="W307" s="84"/>
      <c r="X307" s="84"/>
      <c r="Y307" s="84"/>
      <c r="Z307" s="84"/>
    </row>
    <row r="308" spans="1:26" ht="15">
      <c r="A308" s="83"/>
      <c r="B308" s="84"/>
      <c r="C308" s="84"/>
      <c r="D308" s="84"/>
      <c r="E308" s="84"/>
      <c r="F308" s="84"/>
      <c r="G308" s="84"/>
      <c r="H308" s="84"/>
      <c r="I308" s="84"/>
      <c r="J308" s="84"/>
      <c r="K308" s="84"/>
      <c r="L308" s="84"/>
      <c r="M308" s="84"/>
      <c r="N308" s="84"/>
      <c r="O308" s="84"/>
      <c r="P308" s="84"/>
      <c r="Q308" s="84"/>
      <c r="R308" s="84"/>
      <c r="S308" s="84"/>
      <c r="T308" s="84"/>
      <c r="U308" s="84"/>
      <c r="V308" s="84"/>
      <c r="W308" s="84"/>
      <c r="X308" s="84"/>
      <c r="Y308" s="84"/>
      <c r="Z308" s="84"/>
    </row>
    <row r="309" spans="1:26" ht="15">
      <c r="A309" s="83"/>
      <c r="B309" s="84"/>
      <c r="C309" s="84"/>
      <c r="D309" s="84"/>
      <c r="E309" s="84"/>
      <c r="F309" s="84"/>
      <c r="G309" s="84"/>
      <c r="H309" s="84"/>
      <c r="I309" s="84"/>
      <c r="J309" s="84"/>
      <c r="K309" s="84"/>
      <c r="L309" s="84"/>
      <c r="M309" s="84"/>
      <c r="N309" s="84"/>
      <c r="O309" s="84"/>
      <c r="P309" s="84"/>
      <c r="Q309" s="84"/>
      <c r="R309" s="84"/>
      <c r="S309" s="84"/>
      <c r="T309" s="84"/>
      <c r="U309" s="84"/>
      <c r="V309" s="84"/>
      <c r="W309" s="84"/>
      <c r="X309" s="84"/>
      <c r="Y309" s="84"/>
      <c r="Z309" s="84"/>
    </row>
    <row r="310" spans="1:26" ht="15">
      <c r="A310" s="83"/>
      <c r="B310" s="84"/>
      <c r="C310" s="84"/>
      <c r="D310" s="84"/>
      <c r="E310" s="84"/>
      <c r="F310" s="84"/>
      <c r="G310" s="84"/>
      <c r="H310" s="84"/>
      <c r="I310" s="84"/>
      <c r="J310" s="84"/>
      <c r="K310" s="84"/>
      <c r="L310" s="84"/>
      <c r="M310" s="84"/>
      <c r="N310" s="84"/>
      <c r="O310" s="84"/>
      <c r="P310" s="84"/>
      <c r="Q310" s="84"/>
      <c r="R310" s="84"/>
      <c r="S310" s="84"/>
      <c r="T310" s="84"/>
      <c r="U310" s="84"/>
      <c r="V310" s="84"/>
      <c r="W310" s="84"/>
      <c r="X310" s="84"/>
      <c r="Y310" s="84"/>
      <c r="Z310" s="84"/>
    </row>
    <row r="311" spans="1:26" ht="15">
      <c r="A311" s="83"/>
      <c r="B311" s="84"/>
      <c r="C311" s="84"/>
      <c r="D311" s="84"/>
      <c r="E311" s="84"/>
      <c r="F311" s="84"/>
      <c r="G311" s="84"/>
      <c r="H311" s="84"/>
      <c r="I311" s="84"/>
      <c r="J311" s="84"/>
      <c r="K311" s="84"/>
      <c r="L311" s="84"/>
      <c r="M311" s="84"/>
      <c r="N311" s="84"/>
      <c r="O311" s="84"/>
      <c r="P311" s="84"/>
      <c r="Q311" s="84"/>
      <c r="R311" s="84"/>
      <c r="S311" s="84"/>
      <c r="T311" s="84"/>
      <c r="U311" s="84"/>
      <c r="V311" s="84"/>
      <c r="W311" s="84"/>
      <c r="X311" s="84"/>
      <c r="Y311" s="84"/>
      <c r="Z311" s="84"/>
    </row>
    <row r="312" spans="1:26" ht="15">
      <c r="A312" s="83"/>
      <c r="B312" s="84"/>
      <c r="C312" s="84"/>
      <c r="D312" s="84"/>
      <c r="E312" s="84"/>
      <c r="F312" s="84"/>
      <c r="G312" s="84"/>
      <c r="H312" s="84"/>
      <c r="I312" s="84"/>
      <c r="J312" s="84"/>
      <c r="K312" s="84"/>
      <c r="L312" s="84"/>
      <c r="M312" s="84"/>
      <c r="N312" s="84"/>
      <c r="O312" s="84"/>
      <c r="P312" s="84"/>
      <c r="Q312" s="84"/>
      <c r="R312" s="84"/>
      <c r="S312" s="84"/>
      <c r="T312" s="84"/>
      <c r="U312" s="84"/>
      <c r="V312" s="84"/>
      <c r="W312" s="84"/>
      <c r="X312" s="84"/>
      <c r="Y312" s="84"/>
      <c r="Z312" s="84"/>
    </row>
    <row r="313" spans="1:26" ht="15">
      <c r="A313" s="83"/>
      <c r="B313" s="84"/>
      <c r="C313" s="84"/>
      <c r="D313" s="84"/>
      <c r="E313" s="84"/>
      <c r="F313" s="84"/>
      <c r="G313" s="84"/>
      <c r="H313" s="84"/>
      <c r="I313" s="84"/>
      <c r="J313" s="84"/>
      <c r="K313" s="84"/>
      <c r="L313" s="84"/>
      <c r="M313" s="84"/>
      <c r="N313" s="84"/>
      <c r="O313" s="84"/>
      <c r="P313" s="84"/>
      <c r="Q313" s="84"/>
      <c r="R313" s="84"/>
      <c r="S313" s="84"/>
      <c r="T313" s="84"/>
      <c r="U313" s="84"/>
      <c r="V313" s="84"/>
      <c r="W313" s="84"/>
      <c r="X313" s="84"/>
      <c r="Y313" s="84"/>
      <c r="Z313" s="84"/>
    </row>
    <row r="314" spans="1:26" ht="15">
      <c r="A314" s="83"/>
      <c r="B314" s="84"/>
      <c r="C314" s="84"/>
      <c r="D314" s="84"/>
      <c r="E314" s="84"/>
      <c r="F314" s="84"/>
      <c r="G314" s="84"/>
      <c r="H314" s="84"/>
      <c r="I314" s="84"/>
      <c r="J314" s="84"/>
      <c r="K314" s="84"/>
      <c r="L314" s="84"/>
      <c r="M314" s="84"/>
      <c r="N314" s="84"/>
      <c r="O314" s="84"/>
      <c r="P314" s="84"/>
      <c r="Q314" s="84"/>
      <c r="R314" s="84"/>
      <c r="S314" s="84"/>
      <c r="T314" s="84"/>
      <c r="U314" s="84"/>
      <c r="V314" s="84"/>
      <c r="W314" s="84"/>
      <c r="X314" s="84"/>
      <c r="Y314" s="84"/>
      <c r="Z314" s="84"/>
    </row>
    <row r="315" spans="1:26" ht="15">
      <c r="A315" s="83"/>
      <c r="B315" s="84"/>
      <c r="C315" s="84"/>
      <c r="D315" s="84"/>
      <c r="E315" s="84"/>
      <c r="F315" s="84"/>
      <c r="G315" s="84"/>
      <c r="H315" s="84"/>
      <c r="I315" s="84"/>
      <c r="J315" s="84"/>
      <c r="K315" s="84"/>
      <c r="L315" s="84"/>
      <c r="M315" s="84"/>
      <c r="N315" s="84"/>
      <c r="O315" s="84"/>
      <c r="P315" s="84"/>
      <c r="Q315" s="84"/>
      <c r="R315" s="84"/>
      <c r="S315" s="84"/>
      <c r="T315" s="84"/>
      <c r="U315" s="84"/>
      <c r="V315" s="84"/>
      <c r="W315" s="84"/>
      <c r="X315" s="84"/>
      <c r="Y315" s="84"/>
      <c r="Z315" s="84"/>
    </row>
    <row r="316" spans="1:26" ht="15">
      <c r="A316" s="83"/>
      <c r="B316" s="84"/>
      <c r="C316" s="84"/>
      <c r="D316" s="84"/>
      <c r="E316" s="84"/>
      <c r="F316" s="84"/>
      <c r="G316" s="84"/>
      <c r="H316" s="84"/>
      <c r="I316" s="84"/>
      <c r="J316" s="84"/>
      <c r="K316" s="84"/>
      <c r="L316" s="84"/>
      <c r="M316" s="84"/>
      <c r="N316" s="84"/>
      <c r="O316" s="84"/>
      <c r="P316" s="84"/>
      <c r="Q316" s="84"/>
      <c r="R316" s="84"/>
      <c r="S316" s="84"/>
      <c r="T316" s="84"/>
      <c r="U316" s="84"/>
      <c r="V316" s="84"/>
      <c r="W316" s="84"/>
      <c r="X316" s="84"/>
      <c r="Y316" s="84"/>
      <c r="Z316" s="84"/>
    </row>
    <row r="317" spans="1:26" ht="15">
      <c r="A317" s="83"/>
      <c r="B317" s="84"/>
      <c r="C317" s="84"/>
      <c r="D317" s="84"/>
      <c r="E317" s="84"/>
      <c r="F317" s="84"/>
      <c r="G317" s="84"/>
      <c r="H317" s="84"/>
      <c r="I317" s="84"/>
      <c r="J317" s="84"/>
      <c r="K317" s="84"/>
      <c r="L317" s="84"/>
      <c r="M317" s="84"/>
      <c r="N317" s="84"/>
      <c r="O317" s="84"/>
      <c r="P317" s="84"/>
      <c r="Q317" s="84"/>
      <c r="R317" s="84"/>
      <c r="S317" s="84"/>
      <c r="T317" s="84"/>
      <c r="U317" s="84"/>
      <c r="V317" s="84"/>
      <c r="W317" s="84"/>
      <c r="X317" s="84"/>
      <c r="Y317" s="84"/>
      <c r="Z317" s="84"/>
    </row>
    <row r="318" spans="1:26" ht="15">
      <c r="A318" s="83"/>
      <c r="B318" s="84"/>
      <c r="C318" s="84"/>
      <c r="D318" s="84"/>
      <c r="E318" s="84"/>
      <c r="F318" s="84"/>
      <c r="G318" s="84"/>
      <c r="H318" s="84"/>
      <c r="I318" s="84"/>
      <c r="J318" s="84"/>
      <c r="K318" s="84"/>
      <c r="L318" s="84"/>
      <c r="M318" s="84"/>
      <c r="N318" s="84"/>
      <c r="O318" s="84"/>
      <c r="P318" s="84"/>
      <c r="Q318" s="84"/>
      <c r="R318" s="84"/>
      <c r="S318" s="84"/>
      <c r="T318" s="84"/>
      <c r="U318" s="84"/>
      <c r="V318" s="84"/>
      <c r="W318" s="84"/>
      <c r="X318" s="84"/>
      <c r="Y318" s="84"/>
      <c r="Z318" s="84"/>
    </row>
    <row r="319" spans="1:26" ht="15">
      <c r="A319" s="83"/>
      <c r="B319" s="84"/>
      <c r="C319" s="84"/>
      <c r="D319" s="84"/>
      <c r="E319" s="84"/>
      <c r="F319" s="84"/>
      <c r="G319" s="84"/>
      <c r="H319" s="84"/>
      <c r="I319" s="84"/>
      <c r="J319" s="84"/>
      <c r="K319" s="84"/>
      <c r="L319" s="84"/>
      <c r="M319" s="84"/>
      <c r="N319" s="84"/>
      <c r="O319" s="84"/>
      <c r="P319" s="84"/>
      <c r="Q319" s="84"/>
      <c r="R319" s="84"/>
      <c r="S319" s="84"/>
      <c r="T319" s="84"/>
      <c r="U319" s="84"/>
      <c r="V319" s="84"/>
      <c r="W319" s="84"/>
      <c r="X319" s="84"/>
      <c r="Y319" s="84"/>
      <c r="Z319" s="84"/>
    </row>
    <row r="320" spans="1:26" ht="15">
      <c r="A320" s="83"/>
      <c r="B320" s="84"/>
      <c r="C320" s="84"/>
      <c r="D320" s="84"/>
      <c r="E320" s="84"/>
      <c r="F320" s="84"/>
      <c r="G320" s="84"/>
      <c r="H320" s="84"/>
      <c r="I320" s="84"/>
      <c r="J320" s="84"/>
      <c r="K320" s="84"/>
      <c r="L320" s="84"/>
      <c r="M320" s="84"/>
      <c r="N320" s="84"/>
      <c r="O320" s="84"/>
      <c r="P320" s="84"/>
      <c r="Q320" s="84"/>
      <c r="R320" s="84"/>
      <c r="S320" s="84"/>
      <c r="T320" s="84"/>
      <c r="U320" s="84"/>
      <c r="V320" s="84"/>
      <c r="W320" s="84"/>
      <c r="X320" s="84"/>
      <c r="Y320" s="84"/>
      <c r="Z320" s="84"/>
    </row>
    <row r="321" spans="1:26" ht="15">
      <c r="A321" s="83"/>
      <c r="B321" s="84"/>
      <c r="C321" s="84"/>
      <c r="D321" s="84"/>
      <c r="E321" s="84"/>
      <c r="F321" s="84"/>
      <c r="G321" s="84"/>
      <c r="H321" s="84"/>
      <c r="I321" s="84"/>
      <c r="J321" s="84"/>
      <c r="K321" s="84"/>
      <c r="L321" s="84"/>
      <c r="M321" s="84"/>
      <c r="N321" s="84"/>
      <c r="O321" s="84"/>
      <c r="P321" s="84"/>
      <c r="Q321" s="84"/>
      <c r="R321" s="84"/>
      <c r="S321" s="84"/>
      <c r="T321" s="84"/>
      <c r="U321" s="84"/>
      <c r="V321" s="84"/>
      <c r="W321" s="84"/>
      <c r="X321" s="84"/>
      <c r="Y321" s="84"/>
      <c r="Z321" s="84"/>
    </row>
    <row r="322" spans="1:26" ht="15">
      <c r="A322" s="83"/>
      <c r="B322" s="84"/>
      <c r="C322" s="84"/>
      <c r="D322" s="84"/>
      <c r="E322" s="84"/>
      <c r="F322" s="84"/>
      <c r="G322" s="84"/>
      <c r="H322" s="84"/>
      <c r="I322" s="84"/>
      <c r="J322" s="84"/>
      <c r="K322" s="84"/>
      <c r="L322" s="84"/>
      <c r="M322" s="84"/>
      <c r="N322" s="84"/>
      <c r="O322" s="84"/>
      <c r="P322" s="84"/>
      <c r="Q322" s="84"/>
      <c r="R322" s="84"/>
      <c r="S322" s="84"/>
      <c r="T322" s="84"/>
      <c r="U322" s="84"/>
      <c r="V322" s="84"/>
      <c r="W322" s="84"/>
      <c r="X322" s="84"/>
      <c r="Y322" s="84"/>
      <c r="Z322" s="84"/>
    </row>
    <row r="323" spans="1:26" ht="15">
      <c r="A323" s="83"/>
      <c r="B323" s="84"/>
      <c r="C323" s="84"/>
      <c r="D323" s="84"/>
      <c r="E323" s="84"/>
      <c r="F323" s="84"/>
      <c r="G323" s="84"/>
      <c r="H323" s="84"/>
      <c r="I323" s="84"/>
      <c r="J323" s="84"/>
      <c r="K323" s="84"/>
      <c r="L323" s="84"/>
      <c r="M323" s="84"/>
      <c r="N323" s="84"/>
      <c r="O323" s="84"/>
      <c r="P323" s="84"/>
      <c r="Q323" s="84"/>
      <c r="R323" s="84"/>
      <c r="S323" s="84"/>
      <c r="T323" s="84"/>
      <c r="U323" s="84"/>
      <c r="V323" s="84"/>
      <c r="W323" s="84"/>
      <c r="X323" s="84"/>
      <c r="Y323" s="84"/>
      <c r="Z323" s="84"/>
    </row>
    <row r="324" spans="1:26" ht="15">
      <c r="A324" s="83"/>
      <c r="B324" s="84"/>
      <c r="C324" s="84"/>
      <c r="D324" s="84"/>
      <c r="E324" s="84"/>
      <c r="F324" s="84"/>
      <c r="G324" s="84"/>
      <c r="H324" s="84"/>
      <c r="I324" s="84"/>
      <c r="J324" s="84"/>
      <c r="K324" s="84"/>
      <c r="L324" s="84"/>
      <c r="M324" s="84"/>
      <c r="N324" s="84"/>
      <c r="O324" s="84"/>
      <c r="P324" s="84"/>
      <c r="Q324" s="84"/>
      <c r="R324" s="84"/>
      <c r="S324" s="84"/>
      <c r="T324" s="84"/>
      <c r="U324" s="84"/>
      <c r="V324" s="84"/>
      <c r="W324" s="84"/>
      <c r="X324" s="84"/>
      <c r="Y324" s="84"/>
      <c r="Z324" s="84"/>
    </row>
    <row r="325" spans="1:26" ht="15">
      <c r="A325" s="83"/>
      <c r="B325" s="84"/>
      <c r="C325" s="84"/>
      <c r="D325" s="84"/>
      <c r="E325" s="84"/>
      <c r="F325" s="84"/>
      <c r="G325" s="84"/>
      <c r="H325" s="84"/>
      <c r="I325" s="84"/>
      <c r="J325" s="84"/>
      <c r="K325" s="84"/>
      <c r="L325" s="84"/>
      <c r="M325" s="84"/>
      <c r="N325" s="84"/>
      <c r="O325" s="84"/>
      <c r="P325" s="84"/>
      <c r="Q325" s="84"/>
      <c r="R325" s="84"/>
      <c r="S325" s="84"/>
      <c r="T325" s="84"/>
      <c r="U325" s="84"/>
      <c r="V325" s="84"/>
      <c r="W325" s="84"/>
      <c r="X325" s="84"/>
      <c r="Y325" s="84"/>
      <c r="Z325" s="84"/>
    </row>
    <row r="326" spans="1:26" ht="15">
      <c r="A326" s="83"/>
      <c r="B326" s="84"/>
      <c r="C326" s="84"/>
      <c r="D326" s="84"/>
      <c r="E326" s="84"/>
      <c r="F326" s="84"/>
      <c r="G326" s="84"/>
      <c r="H326" s="84"/>
      <c r="I326" s="84"/>
      <c r="J326" s="84"/>
      <c r="K326" s="84"/>
      <c r="L326" s="84"/>
      <c r="M326" s="84"/>
      <c r="N326" s="84"/>
      <c r="O326" s="84"/>
      <c r="P326" s="84"/>
      <c r="Q326" s="84"/>
      <c r="R326" s="84"/>
      <c r="S326" s="84"/>
      <c r="T326" s="84"/>
      <c r="U326" s="84"/>
      <c r="V326" s="84"/>
      <c r="W326" s="84"/>
      <c r="X326" s="84"/>
      <c r="Y326" s="84"/>
      <c r="Z326" s="84"/>
    </row>
    <row r="327" spans="1:26" ht="15">
      <c r="A327" s="83"/>
      <c r="B327" s="84"/>
      <c r="C327" s="84"/>
      <c r="D327" s="84"/>
      <c r="E327" s="84"/>
      <c r="F327" s="84"/>
      <c r="G327" s="84"/>
      <c r="H327" s="84"/>
      <c r="I327" s="84"/>
      <c r="J327" s="84"/>
      <c r="K327" s="84"/>
      <c r="L327" s="84"/>
      <c r="M327" s="84"/>
      <c r="N327" s="84"/>
      <c r="O327" s="84"/>
      <c r="P327" s="84"/>
      <c r="Q327" s="84"/>
      <c r="R327" s="84"/>
      <c r="S327" s="84"/>
      <c r="T327" s="84"/>
      <c r="U327" s="84"/>
      <c r="V327" s="84"/>
      <c r="W327" s="84"/>
      <c r="X327" s="84"/>
      <c r="Y327" s="84"/>
      <c r="Z327" s="84"/>
    </row>
    <row r="328" spans="1:26" ht="15">
      <c r="A328" s="83"/>
      <c r="B328" s="84"/>
      <c r="C328" s="84"/>
      <c r="D328" s="84"/>
      <c r="E328" s="84"/>
      <c r="F328" s="84"/>
      <c r="G328" s="84"/>
      <c r="H328" s="84"/>
      <c r="I328" s="84"/>
      <c r="J328" s="84"/>
      <c r="K328" s="84"/>
      <c r="L328" s="84"/>
      <c r="M328" s="84"/>
      <c r="N328" s="84"/>
      <c r="O328" s="84"/>
      <c r="P328" s="84"/>
      <c r="Q328" s="84"/>
      <c r="R328" s="84"/>
      <c r="S328" s="84"/>
      <c r="T328" s="84"/>
      <c r="U328" s="84"/>
      <c r="V328" s="84"/>
      <c r="W328" s="84"/>
      <c r="X328" s="84"/>
      <c r="Y328" s="84"/>
      <c r="Z328" s="84"/>
    </row>
    <row r="329" spans="1:26" ht="15">
      <c r="A329" s="83"/>
      <c r="B329" s="84"/>
      <c r="C329" s="84"/>
      <c r="D329" s="84"/>
      <c r="E329" s="84"/>
      <c r="F329" s="84"/>
      <c r="G329" s="84"/>
      <c r="H329" s="84"/>
      <c r="I329" s="84"/>
      <c r="J329" s="84"/>
      <c r="K329" s="84"/>
      <c r="L329" s="84"/>
      <c r="M329" s="84"/>
      <c r="N329" s="84"/>
      <c r="O329" s="84"/>
      <c r="P329" s="84"/>
      <c r="Q329" s="84"/>
      <c r="R329" s="84"/>
      <c r="S329" s="84"/>
      <c r="T329" s="84"/>
      <c r="U329" s="84"/>
      <c r="V329" s="84"/>
      <c r="W329" s="84"/>
      <c r="X329" s="84"/>
      <c r="Y329" s="84"/>
      <c r="Z329" s="84"/>
    </row>
    <row r="330" spans="1:26" ht="15">
      <c r="A330" s="83"/>
      <c r="B330" s="84"/>
      <c r="C330" s="84"/>
      <c r="D330" s="84"/>
      <c r="E330" s="84"/>
      <c r="F330" s="84"/>
      <c r="G330" s="84"/>
      <c r="H330" s="84"/>
      <c r="I330" s="84"/>
      <c r="J330" s="84"/>
      <c r="K330" s="84"/>
      <c r="L330" s="84"/>
      <c r="M330" s="84"/>
      <c r="N330" s="84"/>
      <c r="O330" s="84"/>
      <c r="P330" s="84"/>
      <c r="Q330" s="84"/>
      <c r="R330" s="84"/>
      <c r="S330" s="84"/>
      <c r="T330" s="84"/>
      <c r="U330" s="84"/>
      <c r="V330" s="84"/>
      <c r="W330" s="84"/>
      <c r="X330" s="84"/>
      <c r="Y330" s="84"/>
      <c r="Z330" s="84"/>
    </row>
    <row r="331" spans="1:26" ht="15">
      <c r="A331" s="83"/>
      <c r="B331" s="84"/>
      <c r="C331" s="84"/>
      <c r="D331" s="84"/>
      <c r="E331" s="84"/>
      <c r="F331" s="84"/>
      <c r="G331" s="84"/>
      <c r="H331" s="84"/>
      <c r="I331" s="84"/>
      <c r="J331" s="84"/>
      <c r="K331" s="84"/>
      <c r="L331" s="84"/>
      <c r="M331" s="84"/>
      <c r="N331" s="84"/>
      <c r="O331" s="84"/>
      <c r="P331" s="84"/>
      <c r="Q331" s="84"/>
      <c r="R331" s="84"/>
      <c r="S331" s="84"/>
      <c r="T331" s="84"/>
      <c r="U331" s="84"/>
      <c r="V331" s="84"/>
      <c r="W331" s="84"/>
      <c r="X331" s="84"/>
      <c r="Y331" s="84"/>
      <c r="Z331" s="84"/>
    </row>
    <row r="332" spans="1:26" ht="15">
      <c r="A332" s="83"/>
      <c r="B332" s="84"/>
      <c r="C332" s="84"/>
      <c r="D332" s="84"/>
      <c r="E332" s="84"/>
      <c r="F332" s="84"/>
      <c r="G332" s="84"/>
      <c r="H332" s="84"/>
      <c r="I332" s="84"/>
      <c r="J332" s="84"/>
      <c r="K332" s="84"/>
      <c r="L332" s="84"/>
      <c r="M332" s="84"/>
      <c r="N332" s="84"/>
      <c r="O332" s="84"/>
      <c r="P332" s="84"/>
      <c r="Q332" s="84"/>
      <c r="R332" s="84"/>
      <c r="S332" s="84"/>
      <c r="T332" s="84"/>
      <c r="U332" s="84"/>
      <c r="V332" s="84"/>
      <c r="W332" s="84"/>
      <c r="X332" s="84"/>
      <c r="Y332" s="84"/>
      <c r="Z332" s="84"/>
    </row>
    <row r="333" spans="1:26" ht="15">
      <c r="A333" s="83"/>
      <c r="B333" s="84"/>
      <c r="C333" s="84"/>
      <c r="D333" s="84"/>
      <c r="E333" s="84"/>
      <c r="F333" s="84"/>
      <c r="G333" s="84"/>
      <c r="H333" s="84"/>
      <c r="I333" s="84"/>
      <c r="J333" s="84"/>
      <c r="K333" s="84"/>
      <c r="L333" s="84"/>
      <c r="M333" s="84"/>
      <c r="N333" s="84"/>
      <c r="O333" s="84"/>
      <c r="P333" s="84"/>
      <c r="Q333" s="84"/>
      <c r="R333" s="84"/>
      <c r="S333" s="84"/>
      <c r="T333" s="84"/>
      <c r="U333" s="84"/>
      <c r="V333" s="84"/>
      <c r="W333" s="84"/>
      <c r="X333" s="84"/>
      <c r="Y333" s="84"/>
      <c r="Z333" s="84"/>
    </row>
    <row r="334" spans="1:26" ht="15">
      <c r="A334" s="83"/>
      <c r="B334" s="84"/>
      <c r="C334" s="84"/>
      <c r="D334" s="84"/>
      <c r="E334" s="84"/>
      <c r="F334" s="84"/>
      <c r="G334" s="84"/>
      <c r="H334" s="84"/>
      <c r="I334" s="84"/>
      <c r="J334" s="84"/>
      <c r="K334" s="84"/>
      <c r="L334" s="84"/>
      <c r="M334" s="84"/>
      <c r="N334" s="84"/>
      <c r="O334" s="84"/>
      <c r="P334" s="84"/>
      <c r="Q334" s="84"/>
      <c r="R334" s="84"/>
      <c r="S334" s="84"/>
      <c r="T334" s="84"/>
      <c r="U334" s="84"/>
      <c r="V334" s="84"/>
      <c r="W334" s="84"/>
      <c r="X334" s="84"/>
      <c r="Y334" s="84"/>
      <c r="Z334" s="84"/>
    </row>
    <row r="335" spans="1:26" ht="15">
      <c r="A335" s="83"/>
      <c r="B335" s="84"/>
      <c r="C335" s="84"/>
      <c r="D335" s="84"/>
      <c r="E335" s="84"/>
      <c r="F335" s="84"/>
      <c r="G335" s="84"/>
      <c r="H335" s="84"/>
      <c r="I335" s="84"/>
      <c r="J335" s="84"/>
      <c r="K335" s="84"/>
      <c r="L335" s="84"/>
      <c r="M335" s="84"/>
      <c r="N335" s="84"/>
      <c r="O335" s="84"/>
      <c r="P335" s="84"/>
      <c r="Q335" s="84"/>
      <c r="R335" s="84"/>
      <c r="S335" s="84"/>
      <c r="T335" s="84"/>
      <c r="U335" s="84"/>
      <c r="V335" s="84"/>
      <c r="W335" s="84"/>
      <c r="X335" s="84"/>
      <c r="Y335" s="84"/>
      <c r="Z335" s="84"/>
    </row>
    <row r="336" spans="1:26" ht="15">
      <c r="A336" s="83"/>
      <c r="B336" s="84"/>
      <c r="C336" s="84"/>
      <c r="D336" s="84"/>
      <c r="E336" s="84"/>
      <c r="F336" s="84"/>
      <c r="G336" s="84"/>
      <c r="H336" s="84"/>
      <c r="I336" s="84"/>
      <c r="J336" s="84"/>
      <c r="K336" s="84"/>
      <c r="L336" s="84"/>
      <c r="M336" s="84"/>
      <c r="N336" s="84"/>
      <c r="O336" s="84"/>
      <c r="P336" s="84"/>
      <c r="Q336" s="84"/>
      <c r="R336" s="84"/>
      <c r="S336" s="84"/>
      <c r="T336" s="84"/>
      <c r="U336" s="84"/>
      <c r="V336" s="84"/>
      <c r="W336" s="84"/>
      <c r="X336" s="84"/>
      <c r="Y336" s="84"/>
      <c r="Z336" s="84"/>
    </row>
    <row r="337" spans="1:26" ht="15">
      <c r="A337" s="83"/>
      <c r="B337" s="84"/>
      <c r="C337" s="84"/>
      <c r="D337" s="84"/>
      <c r="E337" s="84"/>
      <c r="F337" s="84"/>
      <c r="G337" s="84"/>
      <c r="H337" s="84"/>
      <c r="I337" s="84"/>
      <c r="J337" s="84"/>
      <c r="K337" s="84"/>
      <c r="L337" s="84"/>
      <c r="M337" s="84"/>
      <c r="N337" s="84"/>
      <c r="O337" s="84"/>
      <c r="P337" s="84"/>
      <c r="Q337" s="84"/>
      <c r="R337" s="84"/>
      <c r="S337" s="84"/>
      <c r="T337" s="84"/>
      <c r="U337" s="84"/>
      <c r="V337" s="84"/>
      <c r="W337" s="84"/>
      <c r="X337" s="84"/>
      <c r="Y337" s="84"/>
      <c r="Z337" s="84"/>
    </row>
    <row r="338" spans="1:26" ht="15">
      <c r="A338" s="83"/>
      <c r="B338" s="84"/>
      <c r="C338" s="84"/>
      <c r="D338" s="84"/>
      <c r="E338" s="84"/>
      <c r="F338" s="84"/>
      <c r="G338" s="84"/>
      <c r="H338" s="84"/>
      <c r="I338" s="84"/>
      <c r="J338" s="84"/>
      <c r="K338" s="84"/>
      <c r="L338" s="84"/>
      <c r="M338" s="84"/>
      <c r="N338" s="84"/>
      <c r="O338" s="84"/>
      <c r="P338" s="84"/>
      <c r="Q338" s="84"/>
      <c r="R338" s="84"/>
      <c r="S338" s="84"/>
      <c r="T338" s="84"/>
      <c r="U338" s="84"/>
      <c r="V338" s="84"/>
      <c r="W338" s="84"/>
      <c r="X338" s="84"/>
      <c r="Y338" s="84"/>
      <c r="Z338" s="84"/>
    </row>
    <row r="339" spans="1:26" ht="15">
      <c r="A339" s="83"/>
      <c r="B339" s="84"/>
      <c r="C339" s="84"/>
      <c r="D339" s="84"/>
      <c r="E339" s="84"/>
      <c r="F339" s="84"/>
      <c r="G339" s="84"/>
      <c r="H339" s="84"/>
      <c r="I339" s="84"/>
      <c r="J339" s="84"/>
      <c r="K339" s="84"/>
      <c r="L339" s="84"/>
      <c r="M339" s="84"/>
      <c r="N339" s="84"/>
      <c r="O339" s="84"/>
      <c r="P339" s="84"/>
      <c r="Q339" s="84"/>
      <c r="R339" s="84"/>
      <c r="S339" s="84"/>
      <c r="T339" s="84"/>
      <c r="U339" s="84"/>
      <c r="V339" s="84"/>
      <c r="W339" s="84"/>
      <c r="X339" s="84"/>
      <c r="Y339" s="84"/>
      <c r="Z339" s="84"/>
    </row>
    <row r="340" spans="1:26" ht="15">
      <c r="A340" s="83"/>
      <c r="B340" s="84"/>
      <c r="C340" s="84"/>
      <c r="D340" s="84"/>
      <c r="E340" s="84"/>
      <c r="F340" s="84"/>
      <c r="G340" s="84"/>
      <c r="H340" s="84"/>
      <c r="I340" s="84"/>
      <c r="J340" s="84"/>
      <c r="K340" s="84"/>
      <c r="L340" s="84"/>
      <c r="M340" s="84"/>
      <c r="N340" s="84"/>
      <c r="O340" s="84"/>
      <c r="P340" s="84"/>
      <c r="Q340" s="84"/>
      <c r="R340" s="84"/>
      <c r="S340" s="84"/>
      <c r="T340" s="84"/>
      <c r="U340" s="84"/>
      <c r="V340" s="84"/>
      <c r="W340" s="84"/>
      <c r="X340" s="84"/>
      <c r="Y340" s="84"/>
      <c r="Z340" s="84"/>
    </row>
    <row r="341" spans="1:26" ht="15">
      <c r="A341" s="83"/>
      <c r="B341" s="84"/>
      <c r="C341" s="84"/>
      <c r="D341" s="84"/>
      <c r="E341" s="84"/>
      <c r="F341" s="84"/>
      <c r="G341" s="84"/>
      <c r="H341" s="84"/>
      <c r="I341" s="84"/>
      <c r="J341" s="84"/>
      <c r="K341" s="84"/>
      <c r="L341" s="84"/>
      <c r="M341" s="84"/>
      <c r="N341" s="84"/>
      <c r="O341" s="84"/>
      <c r="P341" s="84"/>
      <c r="Q341" s="84"/>
      <c r="R341" s="84"/>
      <c r="S341" s="84"/>
      <c r="T341" s="84"/>
      <c r="U341" s="84"/>
      <c r="V341" s="84"/>
      <c r="W341" s="84"/>
      <c r="X341" s="84"/>
      <c r="Y341" s="84"/>
      <c r="Z341" s="84"/>
    </row>
    <row r="342" spans="1:26" ht="15">
      <c r="A342" s="83"/>
      <c r="B342" s="84"/>
      <c r="C342" s="84"/>
      <c r="D342" s="84"/>
      <c r="E342" s="84"/>
      <c r="F342" s="84"/>
      <c r="G342" s="84"/>
      <c r="H342" s="84"/>
      <c r="I342" s="84"/>
      <c r="J342" s="84"/>
      <c r="K342" s="84"/>
      <c r="L342" s="84"/>
      <c r="M342" s="84"/>
      <c r="N342" s="84"/>
      <c r="O342" s="84"/>
      <c r="P342" s="84"/>
      <c r="Q342" s="84"/>
      <c r="R342" s="84"/>
      <c r="S342" s="84"/>
      <c r="T342" s="84"/>
      <c r="U342" s="84"/>
      <c r="V342" s="84"/>
      <c r="W342" s="84"/>
      <c r="X342" s="84"/>
      <c r="Y342" s="84"/>
      <c r="Z342" s="84"/>
    </row>
    <row r="343" spans="1:26" ht="15">
      <c r="A343" s="83"/>
      <c r="B343" s="84"/>
      <c r="C343" s="84"/>
      <c r="D343" s="84"/>
      <c r="E343" s="84"/>
      <c r="F343" s="84"/>
      <c r="G343" s="84"/>
      <c r="H343" s="84"/>
      <c r="I343" s="84"/>
      <c r="J343" s="84"/>
      <c r="K343" s="84"/>
      <c r="L343" s="84"/>
      <c r="M343" s="84"/>
      <c r="N343" s="84"/>
      <c r="O343" s="84"/>
      <c r="P343" s="84"/>
      <c r="Q343" s="84"/>
      <c r="R343" s="84"/>
      <c r="S343" s="84"/>
      <c r="T343" s="84"/>
      <c r="U343" s="84"/>
      <c r="V343" s="84"/>
      <c r="W343" s="84"/>
      <c r="X343" s="84"/>
      <c r="Y343" s="84"/>
      <c r="Z343" s="84"/>
    </row>
    <row r="344" spans="1:26" ht="15">
      <c r="A344" s="83"/>
      <c r="B344" s="84"/>
      <c r="C344" s="84"/>
      <c r="D344" s="84"/>
      <c r="E344" s="84"/>
      <c r="F344" s="84"/>
      <c r="G344" s="84"/>
      <c r="H344" s="84"/>
      <c r="I344" s="84"/>
      <c r="J344" s="84"/>
      <c r="K344" s="84"/>
      <c r="L344" s="84"/>
      <c r="M344" s="84"/>
      <c r="N344" s="84"/>
      <c r="O344" s="84"/>
      <c r="P344" s="84"/>
      <c r="Q344" s="84"/>
      <c r="R344" s="84"/>
      <c r="S344" s="84"/>
      <c r="T344" s="84"/>
      <c r="U344" s="84"/>
      <c r="V344" s="84"/>
      <c r="W344" s="84"/>
      <c r="X344" s="84"/>
      <c r="Y344" s="84"/>
      <c r="Z344" s="84"/>
    </row>
    <row r="345" spans="1:26" ht="15">
      <c r="A345" s="83"/>
      <c r="B345" s="84"/>
      <c r="C345" s="84"/>
      <c r="D345" s="84"/>
      <c r="E345" s="84"/>
      <c r="F345" s="84"/>
      <c r="G345" s="84"/>
      <c r="H345" s="84"/>
      <c r="I345" s="84"/>
      <c r="J345" s="84"/>
      <c r="K345" s="84"/>
      <c r="L345" s="84"/>
      <c r="M345" s="84"/>
      <c r="N345" s="84"/>
      <c r="O345" s="84"/>
      <c r="P345" s="84"/>
      <c r="Q345" s="84"/>
      <c r="R345" s="84"/>
      <c r="S345" s="84"/>
      <c r="T345" s="84"/>
      <c r="U345" s="84"/>
      <c r="V345" s="84"/>
      <c r="W345" s="84"/>
      <c r="X345" s="84"/>
      <c r="Y345" s="84"/>
      <c r="Z345" s="84"/>
    </row>
    <row r="346" spans="1:26" ht="15">
      <c r="A346" s="83"/>
      <c r="B346" s="84"/>
      <c r="C346" s="84"/>
      <c r="D346" s="84"/>
      <c r="E346" s="84"/>
      <c r="F346" s="84"/>
      <c r="G346" s="84"/>
      <c r="H346" s="84"/>
      <c r="I346" s="84"/>
      <c r="J346" s="84"/>
      <c r="K346" s="84"/>
      <c r="L346" s="84"/>
      <c r="M346" s="84"/>
      <c r="N346" s="84"/>
      <c r="O346" s="84"/>
      <c r="P346" s="84"/>
      <c r="Q346" s="84"/>
      <c r="R346" s="84"/>
      <c r="S346" s="84"/>
      <c r="T346" s="84"/>
      <c r="U346" s="84"/>
      <c r="V346" s="84"/>
      <c r="W346" s="84"/>
      <c r="X346" s="84"/>
      <c r="Y346" s="84"/>
      <c r="Z346" s="84"/>
    </row>
    <row r="347" spans="1:26" ht="15">
      <c r="A347" s="83"/>
      <c r="B347" s="84"/>
      <c r="C347" s="84"/>
      <c r="D347" s="84"/>
      <c r="E347" s="84"/>
      <c r="F347" s="84"/>
      <c r="G347" s="84"/>
      <c r="H347" s="84"/>
      <c r="I347" s="84"/>
      <c r="J347" s="84"/>
      <c r="K347" s="84"/>
      <c r="L347" s="84"/>
      <c r="M347" s="84"/>
      <c r="N347" s="84"/>
      <c r="O347" s="84"/>
      <c r="P347" s="84"/>
      <c r="Q347" s="84"/>
      <c r="R347" s="84"/>
      <c r="S347" s="84"/>
      <c r="T347" s="84"/>
      <c r="U347" s="84"/>
      <c r="V347" s="84"/>
      <c r="W347" s="84"/>
      <c r="X347" s="84"/>
      <c r="Y347" s="84"/>
      <c r="Z347" s="84"/>
    </row>
    <row r="348" spans="1:26" ht="15">
      <c r="A348" s="83"/>
      <c r="B348" s="84"/>
      <c r="C348" s="84"/>
      <c r="D348" s="84"/>
      <c r="E348" s="84"/>
      <c r="F348" s="84"/>
      <c r="G348" s="84"/>
      <c r="H348" s="84"/>
      <c r="I348" s="84"/>
      <c r="J348" s="84"/>
      <c r="K348" s="84"/>
      <c r="L348" s="84"/>
      <c r="M348" s="84"/>
      <c r="N348" s="84"/>
      <c r="O348" s="84"/>
      <c r="P348" s="84"/>
      <c r="Q348" s="84"/>
      <c r="R348" s="84"/>
      <c r="S348" s="84"/>
      <c r="T348" s="84"/>
      <c r="U348" s="84"/>
      <c r="V348" s="84"/>
      <c r="W348" s="84"/>
      <c r="X348" s="84"/>
      <c r="Y348" s="84"/>
      <c r="Z348" s="84"/>
    </row>
    <row r="349" spans="1:26" ht="15">
      <c r="A349" s="83"/>
      <c r="B349" s="84"/>
      <c r="C349" s="84"/>
      <c r="D349" s="84"/>
      <c r="E349" s="84"/>
      <c r="F349" s="84"/>
      <c r="G349" s="84"/>
      <c r="H349" s="84"/>
      <c r="I349" s="84"/>
      <c r="J349" s="84"/>
      <c r="K349" s="84"/>
      <c r="L349" s="84"/>
      <c r="M349" s="84"/>
      <c r="N349" s="84"/>
      <c r="O349" s="84"/>
      <c r="P349" s="84"/>
      <c r="Q349" s="84"/>
      <c r="R349" s="84"/>
      <c r="S349" s="84"/>
      <c r="T349" s="84"/>
      <c r="U349" s="84"/>
      <c r="V349" s="84"/>
      <c r="W349" s="84"/>
      <c r="X349" s="84"/>
      <c r="Y349" s="84"/>
      <c r="Z349" s="84"/>
    </row>
    <row r="350" spans="1:26" ht="15">
      <c r="A350" s="83"/>
      <c r="B350" s="84"/>
      <c r="C350" s="84"/>
      <c r="D350" s="84"/>
      <c r="E350" s="84"/>
      <c r="F350" s="84"/>
      <c r="G350" s="84"/>
      <c r="H350" s="84"/>
      <c r="I350" s="84"/>
      <c r="J350" s="84"/>
      <c r="K350" s="84"/>
      <c r="L350" s="84"/>
      <c r="M350" s="84"/>
      <c r="N350" s="84"/>
      <c r="O350" s="84"/>
      <c r="P350" s="84"/>
      <c r="Q350" s="84"/>
      <c r="R350" s="84"/>
      <c r="S350" s="84"/>
      <c r="T350" s="84"/>
      <c r="U350" s="84"/>
      <c r="V350" s="84"/>
      <c r="W350" s="84"/>
      <c r="X350" s="84"/>
      <c r="Y350" s="84"/>
      <c r="Z350" s="84"/>
    </row>
    <row r="351" spans="1:26" ht="15">
      <c r="A351" s="83"/>
      <c r="B351" s="84"/>
      <c r="C351" s="84"/>
      <c r="D351" s="84"/>
      <c r="E351" s="84"/>
      <c r="F351" s="84"/>
      <c r="G351" s="84"/>
      <c r="H351" s="84"/>
      <c r="I351" s="84"/>
      <c r="J351" s="84"/>
      <c r="K351" s="84"/>
      <c r="L351" s="84"/>
      <c r="M351" s="84"/>
      <c r="N351" s="84"/>
      <c r="O351" s="84"/>
      <c r="P351" s="84"/>
      <c r="Q351" s="84"/>
      <c r="R351" s="84"/>
      <c r="S351" s="84"/>
      <c r="T351" s="84"/>
      <c r="U351" s="84"/>
      <c r="V351" s="84"/>
      <c r="W351" s="84"/>
      <c r="X351" s="84"/>
      <c r="Y351" s="84"/>
      <c r="Z351" s="84"/>
    </row>
    <row r="352" spans="1:26" ht="15">
      <c r="A352" s="83"/>
      <c r="B352" s="84"/>
      <c r="C352" s="84"/>
      <c r="D352" s="84"/>
      <c r="E352" s="84"/>
      <c r="F352" s="84"/>
      <c r="G352" s="84"/>
      <c r="H352" s="84"/>
      <c r="I352" s="84"/>
      <c r="J352" s="84"/>
      <c r="K352" s="84"/>
      <c r="L352" s="84"/>
      <c r="M352" s="84"/>
      <c r="N352" s="84"/>
      <c r="O352" s="84"/>
      <c r="P352" s="84"/>
      <c r="Q352" s="84"/>
      <c r="R352" s="84"/>
      <c r="S352" s="84"/>
      <c r="T352" s="84"/>
      <c r="U352" s="84"/>
      <c r="V352" s="84"/>
      <c r="W352" s="84"/>
      <c r="X352" s="84"/>
      <c r="Y352" s="84"/>
      <c r="Z352" s="84"/>
    </row>
    <row r="353" spans="1:26" ht="15">
      <c r="A353" s="83"/>
      <c r="B353" s="84"/>
      <c r="C353" s="84"/>
      <c r="D353" s="84"/>
      <c r="E353" s="84"/>
      <c r="F353" s="84"/>
      <c r="G353" s="84"/>
      <c r="H353" s="84"/>
      <c r="I353" s="84"/>
      <c r="J353" s="84"/>
      <c r="K353" s="84"/>
      <c r="L353" s="84"/>
      <c r="M353" s="84"/>
      <c r="N353" s="84"/>
      <c r="O353" s="84"/>
      <c r="P353" s="84"/>
      <c r="Q353" s="84"/>
      <c r="R353" s="84"/>
      <c r="S353" s="84"/>
      <c r="T353" s="84"/>
      <c r="U353" s="84"/>
      <c r="V353" s="84"/>
      <c r="W353" s="84"/>
      <c r="X353" s="84"/>
      <c r="Y353" s="84"/>
      <c r="Z353" s="84"/>
    </row>
    <row r="354" spans="1:26" ht="15">
      <c r="A354" s="83"/>
      <c r="B354" s="84"/>
      <c r="C354" s="84"/>
      <c r="D354" s="84"/>
      <c r="E354" s="84"/>
      <c r="F354" s="84"/>
      <c r="G354" s="84"/>
      <c r="H354" s="84"/>
      <c r="I354" s="84"/>
      <c r="J354" s="84"/>
      <c r="K354" s="84"/>
      <c r="L354" s="84"/>
      <c r="M354" s="84"/>
      <c r="N354" s="84"/>
      <c r="O354" s="84"/>
      <c r="P354" s="84"/>
      <c r="Q354" s="84"/>
      <c r="R354" s="84"/>
      <c r="S354" s="84"/>
      <c r="T354" s="84"/>
      <c r="U354" s="84"/>
      <c r="V354" s="84"/>
      <c r="W354" s="84"/>
      <c r="X354" s="84"/>
      <c r="Y354" s="84"/>
      <c r="Z354" s="84"/>
    </row>
    <row r="355" spans="1:26" ht="15">
      <c r="A355" s="83"/>
      <c r="B355" s="84"/>
      <c r="C355" s="84"/>
      <c r="D355" s="84"/>
      <c r="E355" s="84"/>
      <c r="F355" s="84"/>
      <c r="G355" s="84"/>
      <c r="H355" s="84"/>
      <c r="I355" s="84"/>
      <c r="J355" s="84"/>
      <c r="K355" s="84"/>
      <c r="L355" s="84"/>
      <c r="M355" s="84"/>
      <c r="N355" s="84"/>
      <c r="O355" s="84"/>
      <c r="P355" s="84"/>
      <c r="Q355" s="84"/>
      <c r="R355" s="84"/>
      <c r="S355" s="84"/>
      <c r="T355" s="84"/>
      <c r="U355" s="84"/>
      <c r="V355" s="84"/>
      <c r="W355" s="84"/>
      <c r="X355" s="84"/>
      <c r="Y355" s="84"/>
      <c r="Z355" s="84"/>
    </row>
    <row r="356" spans="1:26" ht="15">
      <c r="A356" s="83"/>
      <c r="B356" s="84"/>
      <c r="C356" s="84"/>
      <c r="D356" s="84"/>
      <c r="E356" s="84"/>
      <c r="F356" s="84"/>
      <c r="G356" s="84"/>
      <c r="H356" s="84"/>
      <c r="I356" s="84"/>
      <c r="J356" s="84"/>
      <c r="K356" s="84"/>
      <c r="L356" s="84"/>
      <c r="M356" s="84"/>
      <c r="N356" s="84"/>
      <c r="O356" s="84"/>
      <c r="P356" s="84"/>
      <c r="Q356" s="84"/>
      <c r="R356" s="84"/>
      <c r="S356" s="84"/>
      <c r="T356" s="84"/>
      <c r="U356" s="84"/>
      <c r="V356" s="84"/>
      <c r="W356" s="84"/>
      <c r="X356" s="84"/>
      <c r="Y356" s="84"/>
      <c r="Z356" s="84"/>
    </row>
    <row r="357" spans="1:26" ht="15">
      <c r="A357" s="83"/>
      <c r="B357" s="84"/>
      <c r="C357" s="84"/>
      <c r="D357" s="84"/>
      <c r="E357" s="84"/>
      <c r="F357" s="84"/>
      <c r="G357" s="84"/>
      <c r="H357" s="84"/>
      <c r="I357" s="84"/>
      <c r="J357" s="84"/>
      <c r="K357" s="84"/>
      <c r="L357" s="84"/>
      <c r="M357" s="84"/>
      <c r="N357" s="84"/>
      <c r="O357" s="84"/>
      <c r="P357" s="84"/>
      <c r="Q357" s="84"/>
      <c r="R357" s="84"/>
      <c r="S357" s="84"/>
      <c r="T357" s="84"/>
      <c r="U357" s="84"/>
      <c r="V357" s="84"/>
      <c r="W357" s="84"/>
      <c r="X357" s="84"/>
      <c r="Y357" s="84"/>
      <c r="Z357" s="84"/>
    </row>
    <row r="358" spans="1:26" ht="15">
      <c r="A358" s="83"/>
      <c r="B358" s="84"/>
      <c r="C358" s="84"/>
      <c r="D358" s="84"/>
      <c r="E358" s="84"/>
      <c r="F358" s="84"/>
      <c r="G358" s="84"/>
      <c r="H358" s="84"/>
      <c r="I358" s="84"/>
      <c r="J358" s="84"/>
      <c r="K358" s="84"/>
      <c r="L358" s="84"/>
      <c r="M358" s="84"/>
      <c r="N358" s="84"/>
      <c r="O358" s="84"/>
      <c r="P358" s="84"/>
      <c r="Q358" s="84"/>
      <c r="R358" s="84"/>
      <c r="S358" s="84"/>
      <c r="T358" s="84"/>
      <c r="U358" s="84"/>
      <c r="V358" s="84"/>
      <c r="W358" s="84"/>
      <c r="X358" s="84"/>
      <c r="Y358" s="84"/>
      <c r="Z358" s="84"/>
    </row>
    <row r="359" spans="1:26" ht="15">
      <c r="A359" s="83"/>
      <c r="B359" s="84"/>
      <c r="C359" s="84"/>
      <c r="D359" s="84"/>
      <c r="E359" s="84"/>
      <c r="F359" s="84"/>
      <c r="G359" s="84"/>
      <c r="H359" s="84"/>
      <c r="I359" s="84"/>
      <c r="J359" s="84"/>
      <c r="K359" s="84"/>
      <c r="L359" s="84"/>
      <c r="M359" s="84"/>
      <c r="N359" s="84"/>
      <c r="O359" s="84"/>
      <c r="P359" s="84"/>
      <c r="Q359" s="84"/>
      <c r="R359" s="84"/>
      <c r="S359" s="84"/>
      <c r="T359" s="84"/>
      <c r="U359" s="84"/>
      <c r="V359" s="84"/>
      <c r="W359" s="84"/>
      <c r="X359" s="84"/>
      <c r="Y359" s="84"/>
      <c r="Z359" s="84"/>
    </row>
    <row r="360" spans="1:26" ht="15">
      <c r="A360" s="83"/>
      <c r="B360" s="84"/>
      <c r="C360" s="84"/>
      <c r="D360" s="84"/>
      <c r="E360" s="84"/>
      <c r="F360" s="84"/>
      <c r="G360" s="84"/>
      <c r="H360" s="84"/>
      <c r="I360" s="84"/>
      <c r="J360" s="84"/>
      <c r="K360" s="84"/>
      <c r="L360" s="84"/>
      <c r="M360" s="84"/>
      <c r="N360" s="84"/>
      <c r="O360" s="84"/>
      <c r="P360" s="84"/>
      <c r="Q360" s="84"/>
      <c r="R360" s="84"/>
      <c r="S360" s="84"/>
      <c r="T360" s="84"/>
      <c r="U360" s="84"/>
      <c r="V360" s="84"/>
      <c r="W360" s="84"/>
      <c r="X360" s="84"/>
      <c r="Y360" s="84"/>
      <c r="Z360" s="84"/>
    </row>
    <row r="361" spans="1:26" ht="15">
      <c r="A361" s="83"/>
      <c r="B361" s="84"/>
      <c r="C361" s="84"/>
      <c r="D361" s="84"/>
      <c r="E361" s="84"/>
      <c r="F361" s="84"/>
      <c r="G361" s="84"/>
      <c r="H361" s="84"/>
      <c r="I361" s="84"/>
      <c r="J361" s="84"/>
      <c r="K361" s="84"/>
      <c r="L361" s="84"/>
      <c r="M361" s="84"/>
      <c r="N361" s="84"/>
      <c r="O361" s="84"/>
      <c r="P361" s="84"/>
      <c r="Q361" s="84"/>
      <c r="R361" s="84"/>
      <c r="S361" s="84"/>
      <c r="T361" s="84"/>
      <c r="U361" s="84"/>
      <c r="V361" s="84"/>
      <c r="W361" s="84"/>
      <c r="X361" s="84"/>
      <c r="Y361" s="84"/>
      <c r="Z361" s="84"/>
    </row>
    <row r="362" spans="1:26" ht="15">
      <c r="A362" s="83"/>
      <c r="B362" s="84"/>
      <c r="C362" s="84"/>
      <c r="D362" s="84"/>
      <c r="E362" s="84"/>
      <c r="F362" s="84"/>
      <c r="G362" s="84"/>
      <c r="H362" s="84"/>
      <c r="I362" s="84"/>
      <c r="J362" s="84"/>
      <c r="K362" s="84"/>
      <c r="L362" s="84"/>
      <c r="M362" s="84"/>
      <c r="N362" s="84"/>
      <c r="O362" s="84"/>
      <c r="P362" s="84"/>
      <c r="Q362" s="84"/>
      <c r="R362" s="84"/>
      <c r="S362" s="84"/>
      <c r="T362" s="84"/>
      <c r="U362" s="84"/>
      <c r="V362" s="84"/>
      <c r="W362" s="84"/>
      <c r="X362" s="84"/>
      <c r="Y362" s="84"/>
      <c r="Z362" s="84"/>
    </row>
    <row r="363" spans="1:26" ht="15">
      <c r="A363" s="83"/>
      <c r="B363" s="84"/>
      <c r="C363" s="84"/>
      <c r="D363" s="84"/>
      <c r="E363" s="84"/>
      <c r="F363" s="84"/>
      <c r="G363" s="84"/>
      <c r="H363" s="84"/>
      <c r="I363" s="84"/>
      <c r="J363" s="84"/>
      <c r="K363" s="84"/>
      <c r="L363" s="84"/>
      <c r="M363" s="84"/>
      <c r="N363" s="84"/>
      <c r="O363" s="84"/>
      <c r="P363" s="84"/>
      <c r="Q363" s="84"/>
      <c r="R363" s="84"/>
      <c r="S363" s="84"/>
      <c r="T363" s="84"/>
      <c r="U363" s="84"/>
      <c r="V363" s="84"/>
      <c r="W363" s="84"/>
      <c r="X363" s="84"/>
      <c r="Y363" s="84"/>
      <c r="Z363" s="84"/>
    </row>
    <row r="364" spans="1:26" ht="15">
      <c r="A364" s="83"/>
      <c r="B364" s="84"/>
      <c r="C364" s="84"/>
      <c r="D364" s="84"/>
      <c r="E364" s="84"/>
      <c r="F364" s="84"/>
      <c r="G364" s="84"/>
      <c r="H364" s="84"/>
      <c r="I364" s="84"/>
      <c r="J364" s="84"/>
      <c r="K364" s="84"/>
      <c r="L364" s="84"/>
      <c r="M364" s="84"/>
      <c r="N364" s="84"/>
      <c r="O364" s="84"/>
      <c r="P364" s="84"/>
      <c r="Q364" s="84"/>
      <c r="R364" s="84"/>
      <c r="S364" s="84"/>
      <c r="T364" s="84"/>
      <c r="U364" s="84"/>
      <c r="V364" s="84"/>
      <c r="W364" s="84"/>
      <c r="X364" s="84"/>
      <c r="Y364" s="84"/>
      <c r="Z364" s="84"/>
    </row>
    <row r="365" spans="1:26" ht="15">
      <c r="A365" s="83"/>
      <c r="B365" s="84"/>
      <c r="C365" s="84"/>
      <c r="D365" s="84"/>
      <c r="E365" s="84"/>
      <c r="F365" s="84"/>
      <c r="G365" s="84"/>
      <c r="H365" s="84"/>
      <c r="I365" s="84"/>
      <c r="J365" s="84"/>
      <c r="K365" s="84"/>
      <c r="L365" s="84"/>
      <c r="M365" s="84"/>
      <c r="N365" s="84"/>
      <c r="O365" s="84"/>
      <c r="P365" s="84"/>
      <c r="Q365" s="84"/>
      <c r="R365" s="84"/>
      <c r="S365" s="84"/>
      <c r="T365" s="84"/>
      <c r="U365" s="84"/>
      <c r="V365" s="84"/>
      <c r="W365" s="84"/>
      <c r="X365" s="84"/>
      <c r="Y365" s="84"/>
      <c r="Z365" s="84"/>
    </row>
    <row r="366" spans="1:26" ht="15">
      <c r="A366" s="83"/>
      <c r="B366" s="84"/>
      <c r="C366" s="84"/>
      <c r="D366" s="84"/>
      <c r="E366" s="84"/>
      <c r="F366" s="84"/>
      <c r="G366" s="84"/>
      <c r="H366" s="84"/>
      <c r="I366" s="84"/>
      <c r="J366" s="84"/>
      <c r="K366" s="84"/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  <c r="W366" s="84"/>
      <c r="X366" s="84"/>
      <c r="Y366" s="84"/>
      <c r="Z366" s="84"/>
    </row>
    <row r="367" spans="1:26" ht="15">
      <c r="A367" s="83"/>
      <c r="B367" s="84"/>
      <c r="C367" s="84"/>
      <c r="D367" s="84"/>
      <c r="E367" s="84"/>
      <c r="F367" s="84"/>
      <c r="G367" s="84"/>
      <c r="H367" s="84"/>
      <c r="I367" s="84"/>
      <c r="J367" s="84"/>
      <c r="K367" s="84"/>
      <c r="L367" s="84"/>
      <c r="M367" s="84"/>
      <c r="N367" s="84"/>
      <c r="O367" s="84"/>
      <c r="P367" s="84"/>
      <c r="Q367" s="84"/>
      <c r="R367" s="84"/>
      <c r="S367" s="84"/>
      <c r="T367" s="84"/>
      <c r="U367" s="84"/>
      <c r="V367" s="84"/>
      <c r="W367" s="84"/>
      <c r="X367" s="84"/>
      <c r="Y367" s="84"/>
      <c r="Z367" s="84"/>
    </row>
    <row r="368" spans="1:26" ht="15">
      <c r="A368" s="83"/>
      <c r="B368" s="84"/>
      <c r="C368" s="84"/>
      <c r="D368" s="84"/>
      <c r="E368" s="84"/>
      <c r="F368" s="84"/>
      <c r="G368" s="84"/>
      <c r="H368" s="84"/>
      <c r="I368" s="84"/>
      <c r="J368" s="84"/>
      <c r="K368" s="84"/>
      <c r="L368" s="84"/>
      <c r="M368" s="84"/>
      <c r="N368" s="84"/>
      <c r="O368" s="84"/>
      <c r="P368" s="84"/>
      <c r="Q368" s="84"/>
      <c r="R368" s="84"/>
      <c r="S368" s="84"/>
      <c r="T368" s="84"/>
      <c r="U368" s="84"/>
      <c r="V368" s="84"/>
      <c r="W368" s="84"/>
      <c r="X368" s="84"/>
      <c r="Y368" s="84"/>
      <c r="Z368" s="84"/>
    </row>
    <row r="369" spans="1:26" ht="15">
      <c r="A369" s="83"/>
      <c r="B369" s="84"/>
      <c r="C369" s="84"/>
      <c r="D369" s="84"/>
      <c r="E369" s="84"/>
      <c r="F369" s="84"/>
      <c r="G369" s="84"/>
      <c r="H369" s="84"/>
      <c r="I369" s="84"/>
      <c r="J369" s="84"/>
      <c r="K369" s="84"/>
      <c r="L369" s="84"/>
      <c r="M369" s="84"/>
      <c r="N369" s="84"/>
      <c r="O369" s="84"/>
      <c r="P369" s="84"/>
      <c r="Q369" s="84"/>
      <c r="R369" s="84"/>
      <c r="S369" s="84"/>
      <c r="T369" s="84"/>
      <c r="U369" s="84"/>
      <c r="V369" s="84"/>
      <c r="W369" s="84"/>
      <c r="X369" s="84"/>
      <c r="Y369" s="84"/>
      <c r="Z369" s="84"/>
    </row>
    <row r="370" spans="1:26" ht="15">
      <c r="A370" s="83"/>
      <c r="B370" s="84"/>
      <c r="C370" s="84"/>
      <c r="D370" s="84"/>
      <c r="E370" s="84"/>
      <c r="F370" s="84"/>
      <c r="G370" s="84"/>
      <c r="H370" s="84"/>
      <c r="I370" s="84"/>
      <c r="J370" s="84"/>
      <c r="K370" s="84"/>
      <c r="L370" s="84"/>
      <c r="M370" s="84"/>
      <c r="N370" s="84"/>
      <c r="O370" s="84"/>
      <c r="P370" s="84"/>
      <c r="Q370" s="84"/>
      <c r="R370" s="84"/>
      <c r="S370" s="84"/>
      <c r="T370" s="84"/>
      <c r="U370" s="84"/>
      <c r="V370" s="84"/>
      <c r="W370" s="84"/>
      <c r="X370" s="84"/>
      <c r="Y370" s="84"/>
      <c r="Z370" s="84"/>
    </row>
    <row r="371" spans="1:26" ht="15">
      <c r="A371" s="83"/>
      <c r="B371" s="84"/>
      <c r="C371" s="84"/>
      <c r="D371" s="84"/>
      <c r="E371" s="84"/>
      <c r="F371" s="84"/>
      <c r="G371" s="84"/>
      <c r="H371" s="84"/>
      <c r="I371" s="84"/>
      <c r="J371" s="84"/>
      <c r="K371" s="84"/>
      <c r="L371" s="84"/>
      <c r="M371" s="84"/>
      <c r="N371" s="84"/>
      <c r="O371" s="84"/>
      <c r="P371" s="84"/>
      <c r="Q371" s="84"/>
      <c r="R371" s="84"/>
      <c r="S371" s="84"/>
      <c r="T371" s="84"/>
      <c r="U371" s="84"/>
      <c r="V371" s="84"/>
      <c r="W371" s="84"/>
      <c r="X371" s="84"/>
      <c r="Y371" s="84"/>
      <c r="Z371" s="84"/>
    </row>
    <row r="372" spans="1:26" ht="15">
      <c r="A372" s="83"/>
      <c r="B372" s="84"/>
      <c r="C372" s="84"/>
      <c r="D372" s="84"/>
      <c r="E372" s="84"/>
      <c r="F372" s="84"/>
      <c r="G372" s="84"/>
      <c r="H372" s="84"/>
      <c r="I372" s="84"/>
      <c r="J372" s="84"/>
      <c r="K372" s="84"/>
      <c r="L372" s="84"/>
      <c r="M372" s="84"/>
      <c r="N372" s="84"/>
      <c r="O372" s="84"/>
      <c r="P372" s="84"/>
      <c r="Q372" s="84"/>
      <c r="R372" s="84"/>
      <c r="S372" s="84"/>
      <c r="T372" s="84"/>
      <c r="U372" s="84"/>
      <c r="V372" s="84"/>
      <c r="W372" s="84"/>
      <c r="X372" s="84"/>
      <c r="Y372" s="84"/>
      <c r="Z372" s="84"/>
    </row>
    <row r="373" spans="1:26" ht="15">
      <c r="A373" s="83"/>
      <c r="B373" s="84"/>
      <c r="C373" s="84"/>
      <c r="D373" s="84"/>
      <c r="E373" s="84"/>
      <c r="F373" s="84"/>
      <c r="G373" s="84"/>
      <c r="H373" s="84"/>
      <c r="I373" s="84"/>
      <c r="J373" s="84"/>
      <c r="K373" s="84"/>
      <c r="L373" s="84"/>
      <c r="M373" s="84"/>
      <c r="N373" s="84"/>
      <c r="O373" s="84"/>
      <c r="P373" s="84"/>
      <c r="Q373" s="84"/>
      <c r="R373" s="84"/>
      <c r="S373" s="84"/>
      <c r="T373" s="84"/>
      <c r="U373" s="84"/>
      <c r="V373" s="84"/>
      <c r="W373" s="84"/>
      <c r="X373" s="84"/>
      <c r="Y373" s="84"/>
      <c r="Z373" s="84"/>
    </row>
    <row r="374" spans="1:26" ht="15">
      <c r="A374" s="83"/>
      <c r="B374" s="84"/>
      <c r="C374" s="84"/>
      <c r="D374" s="84"/>
      <c r="E374" s="84"/>
      <c r="F374" s="84"/>
      <c r="G374" s="84"/>
      <c r="H374" s="84"/>
      <c r="I374" s="84"/>
      <c r="J374" s="84"/>
      <c r="K374" s="84"/>
      <c r="L374" s="84"/>
      <c r="M374" s="84"/>
      <c r="N374" s="84"/>
      <c r="O374" s="84"/>
      <c r="P374" s="84"/>
      <c r="Q374" s="84"/>
      <c r="R374" s="84"/>
      <c r="S374" s="84"/>
      <c r="T374" s="84"/>
      <c r="U374" s="84"/>
      <c r="V374" s="84"/>
      <c r="W374" s="84"/>
      <c r="X374" s="84"/>
      <c r="Y374" s="84"/>
      <c r="Z374" s="84"/>
    </row>
    <row r="375" spans="1:26" ht="15">
      <c r="A375" s="83"/>
      <c r="B375" s="84"/>
      <c r="C375" s="84"/>
      <c r="D375" s="84"/>
      <c r="E375" s="84"/>
      <c r="F375" s="84"/>
      <c r="G375" s="84"/>
      <c r="H375" s="84"/>
      <c r="I375" s="84"/>
      <c r="J375" s="84"/>
      <c r="K375" s="84"/>
      <c r="L375" s="84"/>
      <c r="M375" s="84"/>
      <c r="N375" s="84"/>
      <c r="O375" s="84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</row>
    <row r="376" spans="1:26" ht="15">
      <c r="A376" s="83"/>
      <c r="B376" s="84"/>
      <c r="C376" s="84"/>
      <c r="D376" s="84"/>
      <c r="E376" s="84"/>
      <c r="F376" s="84"/>
      <c r="G376" s="84"/>
      <c r="H376" s="84"/>
      <c r="I376" s="84"/>
      <c r="J376" s="84"/>
      <c r="K376" s="84"/>
      <c r="L376" s="84"/>
      <c r="M376" s="84"/>
      <c r="N376" s="84"/>
      <c r="O376" s="84"/>
      <c r="P376" s="84"/>
      <c r="Q376" s="84"/>
      <c r="R376" s="84"/>
      <c r="S376" s="84"/>
      <c r="T376" s="84"/>
      <c r="U376" s="84"/>
      <c r="V376" s="84"/>
      <c r="W376" s="84"/>
      <c r="X376" s="84"/>
      <c r="Y376" s="84"/>
      <c r="Z376" s="84"/>
    </row>
    <row r="377" spans="1:26" ht="15">
      <c r="A377" s="83"/>
      <c r="B377" s="84"/>
      <c r="C377" s="84"/>
      <c r="D377" s="84"/>
      <c r="E377" s="84"/>
      <c r="F377" s="84"/>
      <c r="G377" s="84"/>
      <c r="H377" s="84"/>
      <c r="I377" s="84"/>
      <c r="J377" s="84"/>
      <c r="K377" s="84"/>
      <c r="L377" s="84"/>
      <c r="M377" s="84"/>
      <c r="N377" s="84"/>
      <c r="O377" s="84"/>
      <c r="P377" s="84"/>
      <c r="Q377" s="84"/>
      <c r="R377" s="84"/>
      <c r="S377" s="84"/>
      <c r="T377" s="84"/>
      <c r="U377" s="84"/>
      <c r="V377" s="84"/>
      <c r="W377" s="84"/>
      <c r="X377" s="84"/>
      <c r="Y377" s="84"/>
      <c r="Z377" s="84"/>
    </row>
    <row r="378" spans="1:26" ht="15">
      <c r="A378" s="83"/>
      <c r="B378" s="84"/>
      <c r="C378" s="84"/>
      <c r="D378" s="84"/>
      <c r="E378" s="84"/>
      <c r="F378" s="84"/>
      <c r="G378" s="84"/>
      <c r="H378" s="84"/>
      <c r="I378" s="84"/>
      <c r="J378" s="84"/>
      <c r="K378" s="84"/>
      <c r="L378" s="84"/>
      <c r="M378" s="84"/>
      <c r="N378" s="84"/>
      <c r="O378" s="84"/>
      <c r="P378" s="84"/>
      <c r="Q378" s="84"/>
      <c r="R378" s="84"/>
      <c r="S378" s="84"/>
      <c r="T378" s="84"/>
      <c r="U378" s="84"/>
      <c r="V378" s="84"/>
      <c r="W378" s="84"/>
      <c r="X378" s="84"/>
      <c r="Y378" s="84"/>
      <c r="Z378" s="84"/>
    </row>
    <row r="379" spans="1:26" ht="15">
      <c r="A379" s="83"/>
      <c r="B379" s="84"/>
      <c r="C379" s="84"/>
      <c r="D379" s="84"/>
      <c r="E379" s="84"/>
      <c r="F379" s="84"/>
      <c r="G379" s="84"/>
      <c r="H379" s="84"/>
      <c r="I379" s="84"/>
      <c r="J379" s="84"/>
      <c r="K379" s="84"/>
      <c r="L379" s="84"/>
      <c r="M379" s="84"/>
      <c r="N379" s="84"/>
      <c r="O379" s="84"/>
      <c r="P379" s="84"/>
      <c r="Q379" s="84"/>
      <c r="R379" s="84"/>
      <c r="S379" s="84"/>
      <c r="T379" s="84"/>
      <c r="U379" s="84"/>
      <c r="V379" s="84"/>
      <c r="W379" s="84"/>
      <c r="X379" s="84"/>
      <c r="Y379" s="84"/>
      <c r="Z379" s="84"/>
    </row>
    <row r="380" spans="1:26" ht="15">
      <c r="A380" s="83"/>
      <c r="B380" s="84"/>
      <c r="C380" s="84"/>
      <c r="D380" s="84"/>
      <c r="E380" s="84"/>
      <c r="F380" s="84"/>
      <c r="G380" s="84"/>
      <c r="H380" s="84"/>
      <c r="I380" s="84"/>
      <c r="J380" s="84"/>
      <c r="K380" s="84"/>
      <c r="L380" s="84"/>
      <c r="M380" s="84"/>
      <c r="N380" s="84"/>
      <c r="O380" s="84"/>
      <c r="P380" s="84"/>
      <c r="Q380" s="84"/>
      <c r="R380" s="84"/>
      <c r="S380" s="84"/>
      <c r="T380" s="84"/>
      <c r="U380" s="84"/>
      <c r="V380" s="84"/>
      <c r="W380" s="84"/>
      <c r="X380" s="84"/>
      <c r="Y380" s="84"/>
      <c r="Z380" s="84"/>
    </row>
    <row r="381" spans="1:26" ht="15">
      <c r="A381" s="83"/>
      <c r="B381" s="84"/>
      <c r="C381" s="84"/>
      <c r="D381" s="84"/>
      <c r="E381" s="84"/>
      <c r="F381" s="84"/>
      <c r="G381" s="84"/>
      <c r="H381" s="84"/>
      <c r="I381" s="84"/>
      <c r="J381" s="84"/>
      <c r="K381" s="84"/>
      <c r="L381" s="84"/>
      <c r="M381" s="84"/>
      <c r="N381" s="84"/>
      <c r="O381" s="84"/>
      <c r="P381" s="84"/>
      <c r="Q381" s="84"/>
      <c r="R381" s="84"/>
      <c r="S381" s="84"/>
      <c r="T381" s="84"/>
      <c r="U381" s="84"/>
      <c r="V381" s="84"/>
      <c r="W381" s="84"/>
      <c r="X381" s="84"/>
      <c r="Y381" s="84"/>
      <c r="Z381" s="84"/>
    </row>
    <row r="382" spans="1:26" ht="15">
      <c r="A382" s="83"/>
      <c r="B382" s="84"/>
      <c r="C382" s="84"/>
      <c r="D382" s="84"/>
      <c r="E382" s="84"/>
      <c r="F382" s="84"/>
      <c r="G382" s="84"/>
      <c r="H382" s="84"/>
      <c r="I382" s="84"/>
      <c r="J382" s="84"/>
      <c r="K382" s="84"/>
      <c r="L382" s="84"/>
      <c r="M382" s="84"/>
      <c r="N382" s="84"/>
      <c r="O382" s="84"/>
      <c r="P382" s="84"/>
      <c r="Q382" s="84"/>
      <c r="R382" s="84"/>
      <c r="S382" s="84"/>
      <c r="T382" s="84"/>
      <c r="U382" s="84"/>
      <c r="V382" s="84"/>
      <c r="W382" s="84"/>
      <c r="X382" s="84"/>
      <c r="Y382" s="84"/>
      <c r="Z382" s="84"/>
    </row>
    <row r="383" spans="1:26" ht="15">
      <c r="A383" s="83"/>
      <c r="B383" s="84"/>
      <c r="C383" s="84"/>
      <c r="D383" s="84"/>
      <c r="E383" s="84"/>
      <c r="F383" s="84"/>
      <c r="G383" s="84"/>
      <c r="H383" s="84"/>
      <c r="I383" s="84"/>
      <c r="J383" s="84"/>
      <c r="K383" s="84"/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84"/>
      <c r="W383" s="84"/>
      <c r="X383" s="84"/>
      <c r="Y383" s="84"/>
      <c r="Z383" s="84"/>
    </row>
    <row r="384" spans="1:26" ht="15">
      <c r="A384" s="83"/>
      <c r="B384" s="84"/>
      <c r="C384" s="84"/>
      <c r="D384" s="84"/>
      <c r="E384" s="84"/>
      <c r="F384" s="84"/>
      <c r="G384" s="84"/>
      <c r="H384" s="84"/>
      <c r="I384" s="84"/>
      <c r="J384" s="84"/>
      <c r="K384" s="84"/>
      <c r="L384" s="84"/>
      <c r="M384" s="84"/>
      <c r="N384" s="84"/>
      <c r="O384" s="84"/>
      <c r="P384" s="84"/>
      <c r="Q384" s="84"/>
      <c r="R384" s="84"/>
      <c r="S384" s="84"/>
      <c r="T384" s="84"/>
      <c r="U384" s="84"/>
      <c r="V384" s="84"/>
      <c r="W384" s="84"/>
      <c r="X384" s="84"/>
      <c r="Y384" s="84"/>
      <c r="Z384" s="84"/>
    </row>
    <row r="385" spans="1:26" ht="15">
      <c r="A385" s="83"/>
      <c r="B385" s="84"/>
      <c r="C385" s="84"/>
      <c r="D385" s="84"/>
      <c r="E385" s="84"/>
      <c r="F385" s="84"/>
      <c r="G385" s="84"/>
      <c r="H385" s="84"/>
      <c r="I385" s="84"/>
      <c r="J385" s="84"/>
      <c r="K385" s="84"/>
      <c r="L385" s="84"/>
      <c r="M385" s="84"/>
      <c r="N385" s="84"/>
      <c r="O385" s="84"/>
      <c r="P385" s="84"/>
      <c r="Q385" s="84"/>
      <c r="R385" s="84"/>
      <c r="S385" s="84"/>
      <c r="T385" s="84"/>
      <c r="U385" s="84"/>
      <c r="V385" s="84"/>
      <c r="W385" s="84"/>
      <c r="X385" s="84"/>
      <c r="Y385" s="84"/>
      <c r="Z385" s="84"/>
    </row>
    <row r="386" spans="1:26" ht="15">
      <c r="A386" s="83"/>
      <c r="B386" s="84"/>
      <c r="C386" s="84"/>
      <c r="D386" s="84"/>
      <c r="E386" s="84"/>
      <c r="F386" s="84"/>
      <c r="G386" s="84"/>
      <c r="H386" s="84"/>
      <c r="I386" s="84"/>
      <c r="J386" s="84"/>
      <c r="K386" s="84"/>
      <c r="L386" s="84"/>
      <c r="M386" s="84"/>
      <c r="N386" s="84"/>
      <c r="O386" s="84"/>
      <c r="P386" s="84"/>
      <c r="Q386" s="84"/>
      <c r="R386" s="84"/>
      <c r="S386" s="84"/>
      <c r="T386" s="84"/>
      <c r="U386" s="84"/>
      <c r="V386" s="84"/>
      <c r="W386" s="84"/>
      <c r="X386" s="84"/>
      <c r="Y386" s="84"/>
      <c r="Z386" s="84"/>
    </row>
    <row r="387" spans="1:26" ht="15">
      <c r="A387" s="83"/>
      <c r="B387" s="84"/>
      <c r="C387" s="84"/>
      <c r="D387" s="84"/>
      <c r="E387" s="84"/>
      <c r="F387" s="84"/>
      <c r="G387" s="84"/>
      <c r="H387" s="84"/>
      <c r="I387" s="84"/>
      <c r="J387" s="84"/>
      <c r="K387" s="84"/>
      <c r="L387" s="84"/>
      <c r="M387" s="84"/>
      <c r="N387" s="84"/>
      <c r="O387" s="84"/>
      <c r="P387" s="84"/>
      <c r="Q387" s="84"/>
      <c r="R387" s="84"/>
      <c r="S387" s="84"/>
      <c r="T387" s="84"/>
      <c r="U387" s="84"/>
      <c r="V387" s="84"/>
      <c r="W387" s="84"/>
      <c r="X387" s="84"/>
      <c r="Y387" s="84"/>
      <c r="Z387" s="84"/>
    </row>
    <row r="388" spans="1:26" ht="15">
      <c r="A388" s="83"/>
      <c r="B388" s="84"/>
      <c r="C388" s="84"/>
      <c r="D388" s="84"/>
      <c r="E388" s="84"/>
      <c r="F388" s="84"/>
      <c r="G388" s="84"/>
      <c r="H388" s="84"/>
      <c r="I388" s="84"/>
      <c r="J388" s="84"/>
      <c r="K388" s="84"/>
      <c r="L388" s="84"/>
      <c r="M388" s="84"/>
      <c r="N388" s="84"/>
      <c r="O388" s="84"/>
      <c r="P388" s="84"/>
      <c r="Q388" s="84"/>
      <c r="R388" s="84"/>
      <c r="S388" s="84"/>
      <c r="T388" s="84"/>
      <c r="U388" s="84"/>
      <c r="V388" s="84"/>
      <c r="W388" s="84"/>
      <c r="X388" s="84"/>
      <c r="Y388" s="84"/>
      <c r="Z388" s="84"/>
    </row>
    <row r="389" spans="1:26" ht="15">
      <c r="A389" s="83"/>
      <c r="B389" s="84"/>
      <c r="C389" s="84"/>
      <c r="D389" s="84"/>
      <c r="E389" s="84"/>
      <c r="F389" s="84"/>
      <c r="G389" s="84"/>
      <c r="H389" s="84"/>
      <c r="I389" s="84"/>
      <c r="J389" s="84"/>
      <c r="K389" s="84"/>
      <c r="L389" s="84"/>
      <c r="M389" s="84"/>
      <c r="N389" s="84"/>
      <c r="O389" s="84"/>
      <c r="P389" s="84"/>
      <c r="Q389" s="84"/>
      <c r="R389" s="84"/>
      <c r="S389" s="84"/>
      <c r="T389" s="84"/>
      <c r="U389" s="84"/>
      <c r="V389" s="84"/>
      <c r="W389" s="84"/>
      <c r="X389" s="84"/>
      <c r="Y389" s="84"/>
      <c r="Z389" s="84"/>
    </row>
    <row r="390" spans="1:26" ht="15">
      <c r="A390" s="83"/>
      <c r="B390" s="84"/>
      <c r="C390" s="84"/>
      <c r="D390" s="84"/>
      <c r="E390" s="84"/>
      <c r="F390" s="84"/>
      <c r="G390" s="84"/>
      <c r="H390" s="84"/>
      <c r="I390" s="84"/>
      <c r="J390" s="84"/>
      <c r="K390" s="84"/>
      <c r="L390" s="84"/>
      <c r="M390" s="84"/>
      <c r="N390" s="84"/>
      <c r="O390" s="84"/>
      <c r="P390" s="84"/>
      <c r="Q390" s="84"/>
      <c r="R390" s="84"/>
      <c r="S390" s="84"/>
      <c r="T390" s="84"/>
      <c r="U390" s="84"/>
      <c r="V390" s="84"/>
      <c r="W390" s="84"/>
      <c r="X390" s="84"/>
      <c r="Y390" s="84"/>
      <c r="Z390" s="84"/>
    </row>
    <row r="391" spans="1:26" ht="15">
      <c r="A391" s="83"/>
      <c r="B391" s="84"/>
      <c r="C391" s="84"/>
      <c r="D391" s="84"/>
      <c r="E391" s="84"/>
      <c r="F391" s="84"/>
      <c r="G391" s="84"/>
      <c r="H391" s="84"/>
      <c r="I391" s="84"/>
      <c r="J391" s="84"/>
      <c r="K391" s="84"/>
      <c r="L391" s="84"/>
      <c r="M391" s="84"/>
      <c r="N391" s="84"/>
      <c r="O391" s="84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</row>
    <row r="392" spans="1:26" ht="15">
      <c r="A392" s="83"/>
      <c r="B392" s="84"/>
      <c r="C392" s="84"/>
      <c r="D392" s="84"/>
      <c r="E392" s="84"/>
      <c r="F392" s="84"/>
      <c r="G392" s="84"/>
      <c r="H392" s="84"/>
      <c r="I392" s="84"/>
      <c r="J392" s="84"/>
      <c r="K392" s="84"/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</row>
    <row r="393" spans="1:26" ht="15">
      <c r="A393" s="83"/>
      <c r="B393" s="84"/>
      <c r="C393" s="84"/>
      <c r="D393" s="84"/>
      <c r="E393" s="84"/>
      <c r="F393" s="84"/>
      <c r="G393" s="84"/>
      <c r="H393" s="84"/>
      <c r="I393" s="84"/>
      <c r="J393" s="84"/>
      <c r="K393" s="84"/>
      <c r="L393" s="84"/>
      <c r="M393" s="84"/>
      <c r="N393" s="84"/>
      <c r="O393" s="84"/>
      <c r="P393" s="84"/>
      <c r="Q393" s="84"/>
      <c r="R393" s="84"/>
      <c r="S393" s="84"/>
      <c r="T393" s="84"/>
      <c r="U393" s="84"/>
      <c r="V393" s="84"/>
      <c r="W393" s="84"/>
      <c r="X393" s="84"/>
      <c r="Y393" s="84"/>
      <c r="Z393" s="84"/>
    </row>
    <row r="394" spans="1:26" ht="15">
      <c r="A394" s="83"/>
      <c r="B394" s="84"/>
      <c r="C394" s="84"/>
      <c r="D394" s="84"/>
      <c r="E394" s="84"/>
      <c r="F394" s="84"/>
      <c r="G394" s="84"/>
      <c r="H394" s="84"/>
      <c r="I394" s="84"/>
      <c r="J394" s="84"/>
      <c r="K394" s="84"/>
      <c r="L394" s="84"/>
      <c r="M394" s="84"/>
      <c r="N394" s="84"/>
      <c r="O394" s="84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</row>
    <row r="395" spans="1:26" ht="15">
      <c r="A395" s="83"/>
      <c r="B395" s="84"/>
      <c r="C395" s="84"/>
      <c r="D395" s="84"/>
      <c r="E395" s="84"/>
      <c r="F395" s="84"/>
      <c r="G395" s="84"/>
      <c r="H395" s="84"/>
      <c r="I395" s="84"/>
      <c r="J395" s="84"/>
      <c r="K395" s="84"/>
      <c r="L395" s="84"/>
      <c r="M395" s="84"/>
      <c r="N395" s="84"/>
      <c r="O395" s="84"/>
      <c r="P395" s="84"/>
      <c r="Q395" s="84"/>
      <c r="R395" s="84"/>
      <c r="S395" s="84"/>
      <c r="T395" s="84"/>
      <c r="U395" s="84"/>
      <c r="V395" s="84"/>
      <c r="W395" s="84"/>
      <c r="X395" s="84"/>
      <c r="Y395" s="84"/>
      <c r="Z395" s="84"/>
    </row>
    <row r="396" spans="1:26" ht="15">
      <c r="A396" s="83"/>
      <c r="B396" s="84"/>
      <c r="C396" s="84"/>
      <c r="D396" s="84"/>
      <c r="E396" s="84"/>
      <c r="F396" s="84"/>
      <c r="G396" s="84"/>
      <c r="H396" s="84"/>
      <c r="I396" s="84"/>
      <c r="J396" s="84"/>
      <c r="K396" s="84"/>
      <c r="L396" s="84"/>
      <c r="M396" s="84"/>
      <c r="N396" s="84"/>
      <c r="O396" s="84"/>
      <c r="P396" s="84"/>
      <c r="Q396" s="84"/>
      <c r="R396" s="84"/>
      <c r="S396" s="84"/>
      <c r="T396" s="84"/>
      <c r="U396" s="84"/>
      <c r="V396" s="84"/>
      <c r="W396" s="84"/>
      <c r="X396" s="84"/>
      <c r="Y396" s="84"/>
      <c r="Z396" s="84"/>
    </row>
    <row r="397" spans="1:26" ht="15">
      <c r="A397" s="83"/>
      <c r="B397" s="84"/>
      <c r="C397" s="84"/>
      <c r="D397" s="84"/>
      <c r="E397" s="84"/>
      <c r="F397" s="84"/>
      <c r="G397" s="84"/>
      <c r="H397" s="84"/>
      <c r="I397" s="84"/>
      <c r="J397" s="84"/>
      <c r="K397" s="84"/>
      <c r="L397" s="84"/>
      <c r="M397" s="84"/>
      <c r="N397" s="84"/>
      <c r="O397" s="84"/>
      <c r="P397" s="84"/>
      <c r="Q397" s="84"/>
      <c r="R397" s="84"/>
      <c r="S397" s="84"/>
      <c r="T397" s="84"/>
      <c r="U397" s="84"/>
      <c r="V397" s="84"/>
      <c r="W397" s="84"/>
      <c r="X397" s="84"/>
      <c r="Y397" s="84"/>
      <c r="Z397" s="84"/>
    </row>
    <row r="398" spans="1:26" ht="15">
      <c r="A398" s="83"/>
      <c r="B398" s="84"/>
      <c r="C398" s="84"/>
      <c r="D398" s="84"/>
      <c r="E398" s="84"/>
      <c r="F398" s="84"/>
      <c r="G398" s="84"/>
      <c r="H398" s="84"/>
      <c r="I398" s="84"/>
      <c r="J398" s="84"/>
      <c r="K398" s="84"/>
      <c r="L398" s="84"/>
      <c r="M398" s="84"/>
      <c r="N398" s="84"/>
      <c r="O398" s="84"/>
      <c r="P398" s="84"/>
      <c r="Q398" s="84"/>
      <c r="R398" s="84"/>
      <c r="S398" s="84"/>
      <c r="T398" s="84"/>
      <c r="U398" s="84"/>
      <c r="V398" s="84"/>
      <c r="W398" s="84"/>
      <c r="X398" s="84"/>
      <c r="Y398" s="84"/>
      <c r="Z398" s="84"/>
    </row>
    <row r="399" spans="1:26" ht="15">
      <c r="A399" s="83"/>
      <c r="B399" s="84"/>
      <c r="C399" s="84"/>
      <c r="D399" s="84"/>
      <c r="E399" s="84"/>
      <c r="F399" s="84"/>
      <c r="G399" s="84"/>
      <c r="H399" s="84"/>
      <c r="I399" s="84"/>
      <c r="J399" s="84"/>
      <c r="K399" s="84"/>
      <c r="L399" s="84"/>
      <c r="M399" s="84"/>
      <c r="N399" s="84"/>
      <c r="O399" s="84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</row>
    <row r="400" spans="1:26" ht="15">
      <c r="A400" s="83"/>
      <c r="B400" s="84"/>
      <c r="C400" s="84"/>
      <c r="D400" s="84"/>
      <c r="E400" s="84"/>
      <c r="F400" s="84"/>
      <c r="G400" s="84"/>
      <c r="H400" s="84"/>
      <c r="I400" s="84"/>
      <c r="J400" s="84"/>
      <c r="K400" s="84"/>
      <c r="L400" s="84"/>
      <c r="M400" s="84"/>
      <c r="N400" s="84"/>
      <c r="O400" s="84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</row>
    <row r="401" spans="1:26" ht="15">
      <c r="A401" s="83"/>
      <c r="B401" s="84"/>
      <c r="C401" s="84"/>
      <c r="D401" s="84"/>
      <c r="E401" s="84"/>
      <c r="F401" s="84"/>
      <c r="G401" s="84"/>
      <c r="H401" s="84"/>
      <c r="I401" s="84"/>
      <c r="J401" s="84"/>
      <c r="K401" s="84"/>
      <c r="L401" s="84"/>
      <c r="M401" s="84"/>
      <c r="N401" s="84"/>
      <c r="O401" s="84"/>
      <c r="P401" s="84"/>
      <c r="Q401" s="84"/>
      <c r="R401" s="84"/>
      <c r="S401" s="84"/>
      <c r="T401" s="84"/>
      <c r="U401" s="84"/>
      <c r="V401" s="84"/>
      <c r="W401" s="84"/>
      <c r="X401" s="84"/>
      <c r="Y401" s="84"/>
      <c r="Z401" s="84"/>
    </row>
    <row r="402" spans="1:26" ht="15">
      <c r="A402" s="83"/>
      <c r="B402" s="84"/>
      <c r="C402" s="84"/>
      <c r="D402" s="84"/>
      <c r="E402" s="84"/>
      <c r="F402" s="84"/>
      <c r="G402" s="84"/>
      <c r="H402" s="84"/>
      <c r="I402" s="84"/>
      <c r="J402" s="84"/>
      <c r="K402" s="84"/>
      <c r="L402" s="84"/>
      <c r="M402" s="84"/>
      <c r="N402" s="84"/>
      <c r="O402" s="84"/>
      <c r="P402" s="84"/>
      <c r="Q402" s="84"/>
      <c r="R402" s="84"/>
      <c r="S402" s="84"/>
      <c r="T402" s="84"/>
      <c r="U402" s="84"/>
      <c r="V402" s="84"/>
      <c r="W402" s="84"/>
      <c r="X402" s="84"/>
      <c r="Y402" s="84"/>
      <c r="Z402" s="84"/>
    </row>
    <row r="403" spans="1:26" ht="15">
      <c r="A403" s="83"/>
      <c r="B403" s="84"/>
      <c r="C403" s="84"/>
      <c r="D403" s="84"/>
      <c r="E403" s="84"/>
      <c r="F403" s="84"/>
      <c r="G403" s="84"/>
      <c r="H403" s="84"/>
      <c r="I403" s="84"/>
      <c r="J403" s="84"/>
      <c r="K403" s="84"/>
      <c r="L403" s="84"/>
      <c r="M403" s="84"/>
      <c r="N403" s="84"/>
      <c r="O403" s="84"/>
      <c r="P403" s="84"/>
      <c r="Q403" s="84"/>
      <c r="R403" s="84"/>
      <c r="S403" s="84"/>
      <c r="T403" s="84"/>
      <c r="U403" s="84"/>
      <c r="V403" s="84"/>
      <c r="W403" s="84"/>
      <c r="X403" s="84"/>
      <c r="Y403" s="84"/>
      <c r="Z403" s="84"/>
    </row>
    <row r="404" spans="1:26" ht="15">
      <c r="A404" s="83"/>
      <c r="B404" s="84"/>
      <c r="C404" s="84"/>
      <c r="D404" s="84"/>
      <c r="E404" s="84"/>
      <c r="F404" s="84"/>
      <c r="G404" s="84"/>
      <c r="H404" s="84"/>
      <c r="I404" s="84"/>
      <c r="J404" s="84"/>
      <c r="K404" s="84"/>
      <c r="L404" s="84"/>
      <c r="M404" s="84"/>
      <c r="N404" s="84"/>
      <c r="O404" s="84"/>
      <c r="P404" s="84"/>
      <c r="Q404" s="84"/>
      <c r="R404" s="84"/>
      <c r="S404" s="84"/>
      <c r="T404" s="84"/>
      <c r="U404" s="84"/>
      <c r="V404" s="84"/>
      <c r="W404" s="84"/>
      <c r="X404" s="84"/>
      <c r="Y404" s="84"/>
      <c r="Z404" s="84"/>
    </row>
    <row r="405" spans="1:26" ht="15">
      <c r="A405" s="83"/>
      <c r="B405" s="84"/>
      <c r="C405" s="84"/>
      <c r="D405" s="84"/>
      <c r="E405" s="84"/>
      <c r="F405" s="84"/>
      <c r="G405" s="84"/>
      <c r="H405" s="84"/>
      <c r="I405" s="84"/>
      <c r="J405" s="84"/>
      <c r="K405" s="84"/>
      <c r="L405" s="84"/>
      <c r="M405" s="84"/>
      <c r="N405" s="84"/>
      <c r="O405" s="84"/>
      <c r="P405" s="84"/>
      <c r="Q405" s="84"/>
      <c r="R405" s="84"/>
      <c r="S405" s="84"/>
      <c r="T405" s="84"/>
      <c r="U405" s="84"/>
      <c r="V405" s="84"/>
      <c r="W405" s="84"/>
      <c r="X405" s="84"/>
      <c r="Y405" s="84"/>
      <c r="Z405" s="84"/>
    </row>
    <row r="406" spans="1:26" ht="15">
      <c r="A406" s="83"/>
      <c r="B406" s="84"/>
      <c r="C406" s="84"/>
      <c r="D406" s="84"/>
      <c r="E406" s="84"/>
      <c r="F406" s="84"/>
      <c r="G406" s="84"/>
      <c r="H406" s="84"/>
      <c r="I406" s="84"/>
      <c r="J406" s="84"/>
      <c r="K406" s="84"/>
      <c r="L406" s="84"/>
      <c r="M406" s="84"/>
      <c r="N406" s="84"/>
      <c r="O406" s="84"/>
      <c r="P406" s="84"/>
      <c r="Q406" s="84"/>
      <c r="R406" s="84"/>
      <c r="S406" s="84"/>
      <c r="T406" s="84"/>
      <c r="U406" s="84"/>
      <c r="V406" s="84"/>
      <c r="W406" s="84"/>
      <c r="X406" s="84"/>
      <c r="Y406" s="84"/>
      <c r="Z406" s="84"/>
    </row>
    <row r="407" spans="1:26" ht="15">
      <c r="A407" s="83"/>
      <c r="B407" s="84"/>
      <c r="C407" s="84"/>
      <c r="D407" s="84"/>
      <c r="E407" s="84"/>
      <c r="F407" s="84"/>
      <c r="G407" s="84"/>
      <c r="H407" s="84"/>
      <c r="I407" s="84"/>
      <c r="J407" s="84"/>
      <c r="K407" s="84"/>
      <c r="L407" s="84"/>
      <c r="M407" s="84"/>
      <c r="N407" s="84"/>
      <c r="O407" s="84"/>
      <c r="P407" s="84"/>
      <c r="Q407" s="84"/>
      <c r="R407" s="84"/>
      <c r="S407" s="84"/>
      <c r="T407" s="84"/>
      <c r="U407" s="84"/>
      <c r="V407" s="84"/>
      <c r="W407" s="84"/>
      <c r="X407" s="84"/>
      <c r="Y407" s="84"/>
      <c r="Z407" s="84"/>
    </row>
    <row r="408" spans="1:26" ht="15">
      <c r="A408" s="83"/>
      <c r="B408" s="84"/>
      <c r="C408" s="84"/>
      <c r="D408" s="84"/>
      <c r="E408" s="84"/>
      <c r="F408" s="84"/>
      <c r="G408" s="84"/>
      <c r="H408" s="84"/>
      <c r="I408" s="84"/>
      <c r="J408" s="84"/>
      <c r="K408" s="84"/>
      <c r="L408" s="84"/>
      <c r="M408" s="84"/>
      <c r="N408" s="84"/>
      <c r="O408" s="84"/>
      <c r="P408" s="84"/>
      <c r="Q408" s="84"/>
      <c r="R408" s="84"/>
      <c r="S408" s="84"/>
      <c r="T408" s="84"/>
      <c r="U408" s="84"/>
      <c r="V408" s="84"/>
      <c r="W408" s="84"/>
      <c r="X408" s="84"/>
      <c r="Y408" s="84"/>
      <c r="Z408" s="84"/>
    </row>
    <row r="409" spans="1:26" ht="15">
      <c r="A409" s="83"/>
      <c r="B409" s="84"/>
      <c r="C409" s="84"/>
      <c r="D409" s="84"/>
      <c r="E409" s="84"/>
      <c r="F409" s="84"/>
      <c r="G409" s="84"/>
      <c r="H409" s="84"/>
      <c r="I409" s="84"/>
      <c r="J409" s="84"/>
      <c r="K409" s="84"/>
      <c r="L409" s="84"/>
      <c r="M409" s="84"/>
      <c r="N409" s="84"/>
      <c r="O409" s="84"/>
      <c r="P409" s="84"/>
      <c r="Q409" s="84"/>
      <c r="R409" s="84"/>
      <c r="S409" s="84"/>
      <c r="T409" s="84"/>
      <c r="U409" s="84"/>
      <c r="V409" s="84"/>
      <c r="W409" s="84"/>
      <c r="X409" s="84"/>
      <c r="Y409" s="84"/>
      <c r="Z409" s="84"/>
    </row>
    <row r="410" spans="1:26" ht="15">
      <c r="A410" s="83"/>
      <c r="B410" s="84"/>
      <c r="C410" s="84"/>
      <c r="D410" s="84"/>
      <c r="E410" s="84"/>
      <c r="F410" s="84"/>
      <c r="G410" s="84"/>
      <c r="H410" s="84"/>
      <c r="I410" s="84"/>
      <c r="J410" s="84"/>
      <c r="K410" s="84"/>
      <c r="L410" s="84"/>
      <c r="M410" s="84"/>
      <c r="N410" s="84"/>
      <c r="O410" s="84"/>
      <c r="P410" s="84"/>
      <c r="Q410" s="84"/>
      <c r="R410" s="84"/>
      <c r="S410" s="84"/>
      <c r="T410" s="84"/>
      <c r="U410" s="84"/>
      <c r="V410" s="84"/>
      <c r="W410" s="84"/>
      <c r="X410" s="84"/>
      <c r="Y410" s="84"/>
      <c r="Z410" s="84"/>
    </row>
    <row r="411" spans="1:26" ht="15">
      <c r="A411" s="83"/>
      <c r="B411" s="84"/>
      <c r="C411" s="84"/>
      <c r="D411" s="84"/>
      <c r="E411" s="84"/>
      <c r="F411" s="84"/>
      <c r="G411" s="84"/>
      <c r="H411" s="84"/>
      <c r="I411" s="84"/>
      <c r="J411" s="84"/>
      <c r="K411" s="84"/>
      <c r="L411" s="84"/>
      <c r="M411" s="84"/>
      <c r="N411" s="84"/>
      <c r="O411" s="84"/>
      <c r="P411" s="84"/>
      <c r="Q411" s="84"/>
      <c r="R411" s="84"/>
      <c r="S411" s="84"/>
      <c r="T411" s="84"/>
      <c r="U411" s="84"/>
      <c r="V411" s="84"/>
      <c r="W411" s="84"/>
      <c r="X411" s="84"/>
      <c r="Y411" s="84"/>
      <c r="Z411" s="84"/>
    </row>
    <row r="412" spans="1:26" ht="15">
      <c r="A412" s="83"/>
      <c r="B412" s="84"/>
      <c r="C412" s="84"/>
      <c r="D412" s="84"/>
      <c r="E412" s="84"/>
      <c r="F412" s="84"/>
      <c r="G412" s="84"/>
      <c r="H412" s="84"/>
      <c r="I412" s="84"/>
      <c r="J412" s="84"/>
      <c r="K412" s="84"/>
      <c r="L412" s="84"/>
      <c r="M412" s="84"/>
      <c r="N412" s="84"/>
      <c r="O412" s="84"/>
      <c r="P412" s="84"/>
      <c r="Q412" s="84"/>
      <c r="R412" s="84"/>
      <c r="S412" s="84"/>
      <c r="T412" s="84"/>
      <c r="U412" s="84"/>
      <c r="V412" s="84"/>
      <c r="W412" s="84"/>
      <c r="X412" s="84"/>
      <c r="Y412" s="84"/>
      <c r="Z412" s="84"/>
    </row>
    <row r="413" spans="1:26" ht="15">
      <c r="A413" s="83"/>
      <c r="B413" s="84"/>
      <c r="C413" s="84"/>
      <c r="D413" s="84"/>
      <c r="E413" s="84"/>
      <c r="F413" s="84"/>
      <c r="G413" s="84"/>
      <c r="H413" s="84"/>
      <c r="I413" s="84"/>
      <c r="J413" s="84"/>
      <c r="K413" s="84"/>
      <c r="L413" s="84"/>
      <c r="M413" s="84"/>
      <c r="N413" s="84"/>
      <c r="O413" s="84"/>
      <c r="P413" s="84"/>
      <c r="Q413" s="84"/>
      <c r="R413" s="84"/>
      <c r="S413" s="84"/>
      <c r="T413" s="84"/>
      <c r="U413" s="84"/>
      <c r="V413" s="84"/>
      <c r="W413" s="84"/>
      <c r="X413" s="84"/>
      <c r="Y413" s="84"/>
      <c r="Z413" s="84"/>
    </row>
    <row r="414" spans="1:26" ht="15">
      <c r="A414" s="83"/>
      <c r="B414" s="84"/>
      <c r="C414" s="84"/>
      <c r="D414" s="84"/>
      <c r="E414" s="84"/>
      <c r="F414" s="84"/>
      <c r="G414" s="84"/>
      <c r="H414" s="84"/>
      <c r="I414" s="84"/>
      <c r="J414" s="84"/>
      <c r="K414" s="84"/>
      <c r="L414" s="84"/>
      <c r="M414" s="84"/>
      <c r="N414" s="84"/>
      <c r="O414" s="84"/>
      <c r="P414" s="84"/>
      <c r="Q414" s="84"/>
      <c r="R414" s="84"/>
      <c r="S414" s="84"/>
      <c r="T414" s="84"/>
      <c r="U414" s="84"/>
      <c r="V414" s="84"/>
      <c r="W414" s="84"/>
      <c r="X414" s="84"/>
      <c r="Y414" s="84"/>
      <c r="Z414" s="84"/>
    </row>
    <row r="415" spans="1:26" ht="15">
      <c r="A415" s="83"/>
      <c r="B415" s="84"/>
      <c r="C415" s="84"/>
      <c r="D415" s="84"/>
      <c r="E415" s="84"/>
      <c r="F415" s="84"/>
      <c r="G415" s="84"/>
      <c r="H415" s="84"/>
      <c r="I415" s="84"/>
      <c r="J415" s="84"/>
      <c r="K415" s="84"/>
      <c r="L415" s="84"/>
      <c r="M415" s="84"/>
      <c r="N415" s="84"/>
      <c r="O415" s="84"/>
      <c r="P415" s="84"/>
      <c r="Q415" s="84"/>
      <c r="R415" s="84"/>
      <c r="S415" s="84"/>
      <c r="T415" s="84"/>
      <c r="U415" s="84"/>
      <c r="V415" s="84"/>
      <c r="W415" s="84"/>
      <c r="X415" s="84"/>
      <c r="Y415" s="84"/>
      <c r="Z415" s="84"/>
    </row>
    <row r="416" spans="1:26" ht="15">
      <c r="A416" s="83"/>
      <c r="B416" s="84"/>
      <c r="C416" s="84"/>
      <c r="D416" s="84"/>
      <c r="E416" s="84"/>
      <c r="F416" s="84"/>
      <c r="G416" s="84"/>
      <c r="H416" s="84"/>
      <c r="I416" s="84"/>
      <c r="J416" s="84"/>
      <c r="K416" s="84"/>
      <c r="L416" s="84"/>
      <c r="M416" s="84"/>
      <c r="N416" s="84"/>
      <c r="O416" s="84"/>
      <c r="P416" s="84"/>
      <c r="Q416" s="84"/>
      <c r="R416" s="84"/>
      <c r="S416" s="84"/>
      <c r="T416" s="84"/>
      <c r="U416" s="84"/>
      <c r="V416" s="84"/>
      <c r="W416" s="84"/>
      <c r="X416" s="84"/>
      <c r="Y416" s="84"/>
      <c r="Z416" s="84"/>
    </row>
    <row r="417" spans="1:26" ht="15">
      <c r="A417" s="83"/>
      <c r="B417" s="84"/>
      <c r="C417" s="84"/>
      <c r="D417" s="84"/>
      <c r="E417" s="84"/>
      <c r="F417" s="84"/>
      <c r="G417" s="84"/>
      <c r="H417" s="84"/>
      <c r="I417" s="84"/>
      <c r="J417" s="84"/>
      <c r="K417" s="84"/>
      <c r="L417" s="84"/>
      <c r="M417" s="84"/>
      <c r="N417" s="84"/>
      <c r="O417" s="84"/>
      <c r="P417" s="84"/>
      <c r="Q417" s="84"/>
      <c r="R417" s="84"/>
      <c r="S417" s="84"/>
      <c r="T417" s="84"/>
      <c r="U417" s="84"/>
      <c r="V417" s="84"/>
      <c r="W417" s="84"/>
      <c r="X417" s="84"/>
      <c r="Y417" s="84"/>
      <c r="Z417" s="84"/>
    </row>
    <row r="418" spans="1:26" ht="15">
      <c r="A418" s="83"/>
      <c r="B418" s="84"/>
      <c r="C418" s="84"/>
      <c r="D418" s="84"/>
      <c r="E418" s="84"/>
      <c r="F418" s="84"/>
      <c r="G418" s="84"/>
      <c r="H418" s="84"/>
      <c r="I418" s="84"/>
      <c r="J418" s="84"/>
      <c r="K418" s="84"/>
      <c r="L418" s="84"/>
      <c r="M418" s="84"/>
      <c r="N418" s="84"/>
      <c r="O418" s="84"/>
      <c r="P418" s="84"/>
      <c r="Q418" s="84"/>
      <c r="R418" s="84"/>
      <c r="S418" s="84"/>
      <c r="T418" s="84"/>
      <c r="U418" s="84"/>
      <c r="V418" s="84"/>
      <c r="W418" s="84"/>
      <c r="X418" s="84"/>
      <c r="Y418" s="84"/>
      <c r="Z418" s="84"/>
    </row>
    <row r="419" spans="1:26" ht="15">
      <c r="A419" s="83"/>
      <c r="B419" s="84"/>
      <c r="C419" s="84"/>
      <c r="D419" s="84"/>
      <c r="E419" s="84"/>
      <c r="F419" s="84"/>
      <c r="G419" s="84"/>
      <c r="H419" s="84"/>
      <c r="I419" s="84"/>
      <c r="J419" s="84"/>
      <c r="K419" s="84"/>
      <c r="L419" s="84"/>
      <c r="M419" s="84"/>
      <c r="N419" s="84"/>
      <c r="O419" s="84"/>
      <c r="P419" s="84"/>
      <c r="Q419" s="84"/>
      <c r="R419" s="84"/>
      <c r="S419" s="84"/>
      <c r="T419" s="84"/>
      <c r="U419" s="84"/>
      <c r="V419" s="84"/>
      <c r="W419" s="84"/>
      <c r="X419" s="84"/>
      <c r="Y419" s="84"/>
      <c r="Z419" s="84"/>
    </row>
    <row r="420" spans="1:26" ht="15">
      <c r="A420" s="83"/>
      <c r="B420" s="84"/>
      <c r="C420" s="84"/>
      <c r="D420" s="84"/>
      <c r="E420" s="84"/>
      <c r="F420" s="84"/>
      <c r="G420" s="84"/>
      <c r="H420" s="84"/>
      <c r="I420" s="84"/>
      <c r="J420" s="84"/>
      <c r="K420" s="84"/>
      <c r="L420" s="84"/>
      <c r="M420" s="84"/>
      <c r="N420" s="84"/>
      <c r="O420" s="84"/>
      <c r="P420" s="84"/>
      <c r="Q420" s="84"/>
      <c r="R420" s="84"/>
      <c r="S420" s="84"/>
      <c r="T420" s="84"/>
      <c r="U420" s="84"/>
      <c r="V420" s="84"/>
      <c r="W420" s="84"/>
      <c r="X420" s="84"/>
      <c r="Y420" s="84"/>
      <c r="Z420" s="84"/>
    </row>
    <row r="421" spans="1:26" ht="15">
      <c r="A421" s="83"/>
      <c r="B421" s="84"/>
      <c r="C421" s="84"/>
      <c r="D421" s="84"/>
      <c r="E421" s="84"/>
      <c r="F421" s="84"/>
      <c r="G421" s="84"/>
      <c r="H421" s="84"/>
      <c r="I421" s="84"/>
      <c r="J421" s="84"/>
      <c r="K421" s="84"/>
      <c r="L421" s="84"/>
      <c r="M421" s="84"/>
      <c r="N421" s="84"/>
      <c r="O421" s="84"/>
      <c r="P421" s="84"/>
      <c r="Q421" s="84"/>
      <c r="R421" s="84"/>
      <c r="S421" s="84"/>
      <c r="T421" s="84"/>
      <c r="U421" s="84"/>
      <c r="V421" s="84"/>
      <c r="W421" s="84"/>
      <c r="X421" s="84"/>
      <c r="Y421" s="84"/>
      <c r="Z421" s="84"/>
    </row>
    <row r="422" spans="1:26" ht="15">
      <c r="A422" s="83"/>
      <c r="B422" s="84"/>
      <c r="C422" s="84"/>
      <c r="D422" s="84"/>
      <c r="E422" s="84"/>
      <c r="F422" s="84"/>
      <c r="G422" s="84"/>
      <c r="H422" s="84"/>
      <c r="I422" s="84"/>
      <c r="J422" s="84"/>
      <c r="K422" s="84"/>
      <c r="L422" s="84"/>
      <c r="M422" s="84"/>
      <c r="N422" s="84"/>
      <c r="O422" s="84"/>
      <c r="P422" s="84"/>
      <c r="Q422" s="84"/>
      <c r="R422" s="84"/>
      <c r="S422" s="84"/>
      <c r="T422" s="84"/>
      <c r="U422" s="84"/>
      <c r="V422" s="84"/>
      <c r="W422" s="84"/>
      <c r="X422" s="84"/>
      <c r="Y422" s="84"/>
      <c r="Z422" s="84"/>
    </row>
    <row r="423" spans="1:26" ht="15">
      <c r="A423" s="83"/>
      <c r="B423" s="84"/>
      <c r="C423" s="84"/>
      <c r="D423" s="84"/>
      <c r="E423" s="84"/>
      <c r="F423" s="84"/>
      <c r="G423" s="84"/>
      <c r="H423" s="84"/>
      <c r="I423" s="84"/>
      <c r="J423" s="84"/>
      <c r="K423" s="84"/>
      <c r="L423" s="84"/>
      <c r="M423" s="84"/>
      <c r="N423" s="84"/>
      <c r="O423" s="84"/>
      <c r="P423" s="84"/>
      <c r="Q423" s="84"/>
      <c r="R423" s="84"/>
      <c r="S423" s="84"/>
      <c r="T423" s="84"/>
      <c r="U423" s="84"/>
      <c r="V423" s="84"/>
      <c r="W423" s="84"/>
      <c r="X423" s="84"/>
      <c r="Y423" s="84"/>
      <c r="Z423" s="84"/>
    </row>
    <row r="424" spans="1:26" ht="15">
      <c r="A424" s="83"/>
      <c r="B424" s="84"/>
      <c r="C424" s="84"/>
      <c r="D424" s="84"/>
      <c r="E424" s="84"/>
      <c r="F424" s="84"/>
      <c r="G424" s="84"/>
      <c r="H424" s="84"/>
      <c r="I424" s="84"/>
      <c r="J424" s="84"/>
      <c r="K424" s="84"/>
      <c r="L424" s="84"/>
      <c r="M424" s="84"/>
      <c r="N424" s="84"/>
      <c r="O424" s="84"/>
      <c r="P424" s="84"/>
      <c r="Q424" s="84"/>
      <c r="R424" s="84"/>
      <c r="S424" s="84"/>
      <c r="T424" s="84"/>
      <c r="U424" s="84"/>
      <c r="V424" s="84"/>
      <c r="W424" s="84"/>
      <c r="X424" s="84"/>
      <c r="Y424" s="84"/>
      <c r="Z424" s="84"/>
    </row>
    <row r="425" spans="1:26" ht="15">
      <c r="A425" s="83"/>
      <c r="B425" s="84"/>
      <c r="C425" s="84"/>
      <c r="D425" s="84"/>
      <c r="E425" s="84"/>
      <c r="F425" s="84"/>
      <c r="G425" s="84"/>
      <c r="H425" s="84"/>
      <c r="I425" s="84"/>
      <c r="J425" s="84"/>
      <c r="K425" s="84"/>
      <c r="L425" s="84"/>
      <c r="M425" s="84"/>
      <c r="N425" s="84"/>
      <c r="O425" s="84"/>
      <c r="P425" s="84"/>
      <c r="Q425" s="84"/>
      <c r="R425" s="84"/>
      <c r="S425" s="84"/>
      <c r="T425" s="84"/>
      <c r="U425" s="84"/>
      <c r="V425" s="84"/>
      <c r="W425" s="84"/>
      <c r="X425" s="84"/>
      <c r="Y425" s="84"/>
      <c r="Z425" s="84"/>
    </row>
    <row r="426" spans="1:26" ht="15">
      <c r="A426" s="83"/>
      <c r="B426" s="84"/>
      <c r="C426" s="84"/>
      <c r="D426" s="84"/>
      <c r="E426" s="84"/>
      <c r="F426" s="84"/>
      <c r="G426" s="84"/>
      <c r="H426" s="84"/>
      <c r="I426" s="84"/>
      <c r="J426" s="84"/>
      <c r="K426" s="84"/>
      <c r="L426" s="84"/>
      <c r="M426" s="84"/>
      <c r="N426" s="84"/>
      <c r="O426" s="84"/>
      <c r="P426" s="84"/>
      <c r="Q426" s="84"/>
      <c r="R426" s="84"/>
      <c r="S426" s="84"/>
      <c r="T426" s="84"/>
      <c r="U426" s="84"/>
      <c r="V426" s="84"/>
      <c r="W426" s="84"/>
      <c r="X426" s="84"/>
      <c r="Y426" s="84"/>
      <c r="Z426" s="84"/>
    </row>
    <row r="427" spans="1:26" ht="15">
      <c r="A427" s="83"/>
      <c r="B427" s="84"/>
      <c r="C427" s="84"/>
      <c r="D427" s="84"/>
      <c r="E427" s="84"/>
      <c r="F427" s="84"/>
      <c r="G427" s="84"/>
      <c r="H427" s="84"/>
      <c r="I427" s="84"/>
      <c r="J427" s="84"/>
      <c r="K427" s="84"/>
      <c r="L427" s="84"/>
      <c r="M427" s="84"/>
      <c r="N427" s="84"/>
      <c r="O427" s="84"/>
      <c r="P427" s="84"/>
      <c r="Q427" s="84"/>
      <c r="R427" s="84"/>
      <c r="S427" s="84"/>
      <c r="T427" s="84"/>
      <c r="U427" s="84"/>
      <c r="V427" s="84"/>
      <c r="W427" s="84"/>
      <c r="X427" s="84"/>
      <c r="Y427" s="84"/>
      <c r="Z427" s="84"/>
    </row>
    <row r="428" spans="1:26" ht="15">
      <c r="A428" s="83"/>
      <c r="B428" s="84"/>
      <c r="C428" s="84"/>
      <c r="D428" s="84"/>
      <c r="E428" s="84"/>
      <c r="F428" s="84"/>
      <c r="G428" s="84"/>
      <c r="H428" s="84"/>
      <c r="I428" s="84"/>
      <c r="J428" s="84"/>
      <c r="K428" s="84"/>
      <c r="L428" s="84"/>
      <c r="M428" s="84"/>
      <c r="N428" s="84"/>
      <c r="O428" s="84"/>
      <c r="P428" s="84"/>
      <c r="Q428" s="84"/>
      <c r="R428" s="84"/>
      <c r="S428" s="84"/>
      <c r="T428" s="84"/>
      <c r="U428" s="84"/>
      <c r="V428" s="84"/>
      <c r="W428" s="84"/>
      <c r="X428" s="84"/>
      <c r="Y428" s="84"/>
      <c r="Z428" s="84"/>
    </row>
    <row r="429" spans="1:26" ht="15">
      <c r="A429" s="83"/>
      <c r="B429" s="84"/>
      <c r="C429" s="84"/>
      <c r="D429" s="84"/>
      <c r="E429" s="84"/>
      <c r="F429" s="84"/>
      <c r="G429" s="84"/>
      <c r="H429" s="84"/>
      <c r="I429" s="84"/>
      <c r="J429" s="84"/>
      <c r="K429" s="84"/>
      <c r="L429" s="84"/>
      <c r="M429" s="84"/>
      <c r="N429" s="84"/>
      <c r="O429" s="84"/>
      <c r="P429" s="84"/>
      <c r="Q429" s="84"/>
      <c r="R429" s="84"/>
      <c r="S429" s="84"/>
      <c r="T429" s="84"/>
      <c r="U429" s="84"/>
      <c r="V429" s="84"/>
      <c r="W429" s="84"/>
      <c r="X429" s="84"/>
      <c r="Y429" s="84"/>
      <c r="Z429" s="84"/>
    </row>
    <row r="430" spans="1:26" ht="15">
      <c r="A430" s="83"/>
      <c r="B430" s="84"/>
      <c r="C430" s="84"/>
      <c r="D430" s="84"/>
      <c r="E430" s="84"/>
      <c r="F430" s="84"/>
      <c r="G430" s="84"/>
      <c r="H430" s="84"/>
      <c r="I430" s="84"/>
      <c r="J430" s="84"/>
      <c r="K430" s="84"/>
      <c r="L430" s="84"/>
      <c r="M430" s="84"/>
      <c r="N430" s="84"/>
      <c r="O430" s="84"/>
      <c r="P430" s="84"/>
      <c r="Q430" s="84"/>
      <c r="R430" s="84"/>
      <c r="S430" s="84"/>
      <c r="T430" s="84"/>
      <c r="U430" s="84"/>
      <c r="V430" s="84"/>
      <c r="W430" s="84"/>
      <c r="X430" s="84"/>
      <c r="Y430" s="84"/>
      <c r="Z430" s="84"/>
    </row>
    <row r="431" spans="1:26" ht="15">
      <c r="A431" s="83"/>
      <c r="B431" s="84"/>
      <c r="C431" s="84"/>
      <c r="D431" s="84"/>
      <c r="E431" s="84"/>
      <c r="F431" s="84"/>
      <c r="G431" s="84"/>
      <c r="H431" s="84"/>
      <c r="I431" s="84"/>
      <c r="J431" s="84"/>
      <c r="K431" s="84"/>
      <c r="L431" s="84"/>
      <c r="M431" s="84"/>
      <c r="N431" s="84"/>
      <c r="O431" s="84"/>
      <c r="P431" s="84"/>
      <c r="Q431" s="84"/>
      <c r="R431" s="84"/>
      <c r="S431" s="84"/>
      <c r="T431" s="84"/>
      <c r="U431" s="84"/>
      <c r="V431" s="84"/>
      <c r="W431" s="84"/>
      <c r="X431" s="84"/>
      <c r="Y431" s="84"/>
      <c r="Z431" s="84"/>
    </row>
    <row r="432" spans="1:26" ht="15">
      <c r="A432" s="83"/>
      <c r="B432" s="84"/>
      <c r="C432" s="84"/>
      <c r="D432" s="84"/>
      <c r="E432" s="84"/>
      <c r="F432" s="84"/>
      <c r="G432" s="84"/>
      <c r="H432" s="84"/>
      <c r="I432" s="84"/>
      <c r="J432" s="84"/>
      <c r="K432" s="84"/>
      <c r="L432" s="84"/>
      <c r="M432" s="84"/>
      <c r="N432" s="84"/>
      <c r="O432" s="84"/>
      <c r="P432" s="84"/>
      <c r="Q432" s="84"/>
      <c r="R432" s="84"/>
      <c r="S432" s="84"/>
      <c r="T432" s="84"/>
      <c r="U432" s="84"/>
      <c r="V432" s="84"/>
      <c r="W432" s="84"/>
      <c r="X432" s="84"/>
      <c r="Y432" s="84"/>
      <c r="Z432" s="84"/>
    </row>
    <row r="433" spans="1:26" ht="15">
      <c r="A433" s="83"/>
      <c r="B433" s="84"/>
      <c r="C433" s="84"/>
      <c r="D433" s="84"/>
      <c r="E433" s="84"/>
      <c r="F433" s="84"/>
      <c r="G433" s="84"/>
      <c r="H433" s="84"/>
      <c r="I433" s="84"/>
      <c r="J433" s="84"/>
      <c r="K433" s="84"/>
      <c r="L433" s="84"/>
      <c r="M433" s="84"/>
      <c r="N433" s="84"/>
      <c r="O433" s="84"/>
      <c r="P433" s="84"/>
      <c r="Q433" s="84"/>
      <c r="R433" s="84"/>
      <c r="S433" s="84"/>
      <c r="T433" s="84"/>
      <c r="U433" s="84"/>
      <c r="V433" s="84"/>
      <c r="W433" s="84"/>
      <c r="X433" s="84"/>
      <c r="Y433" s="84"/>
      <c r="Z433" s="84"/>
    </row>
    <row r="434" spans="1:26" ht="15">
      <c r="A434" s="83"/>
      <c r="B434" s="84"/>
      <c r="C434" s="84"/>
      <c r="D434" s="84"/>
      <c r="E434" s="84"/>
      <c r="F434" s="84"/>
      <c r="G434" s="84"/>
      <c r="H434" s="84"/>
      <c r="I434" s="84"/>
      <c r="J434" s="84"/>
      <c r="K434" s="84"/>
      <c r="L434" s="84"/>
      <c r="M434" s="84"/>
      <c r="N434" s="84"/>
      <c r="O434" s="84"/>
      <c r="P434" s="84"/>
      <c r="Q434" s="84"/>
      <c r="R434" s="84"/>
      <c r="S434" s="84"/>
      <c r="T434" s="84"/>
      <c r="U434" s="84"/>
      <c r="V434" s="84"/>
      <c r="W434" s="84"/>
      <c r="X434" s="84"/>
      <c r="Y434" s="84"/>
      <c r="Z434" s="84"/>
    </row>
    <row r="435" spans="1:26" ht="15">
      <c r="A435" s="83"/>
      <c r="B435" s="84"/>
      <c r="C435" s="84"/>
      <c r="D435" s="84"/>
      <c r="E435" s="84"/>
      <c r="F435" s="84"/>
      <c r="G435" s="84"/>
      <c r="H435" s="84"/>
      <c r="I435" s="84"/>
      <c r="J435" s="84"/>
      <c r="K435" s="84"/>
      <c r="L435" s="84"/>
      <c r="M435" s="84"/>
      <c r="N435" s="84"/>
      <c r="O435" s="84"/>
      <c r="P435" s="84"/>
      <c r="Q435" s="84"/>
      <c r="R435" s="84"/>
      <c r="S435" s="84"/>
      <c r="T435" s="84"/>
      <c r="U435" s="84"/>
      <c r="V435" s="84"/>
      <c r="W435" s="84"/>
      <c r="X435" s="84"/>
      <c r="Y435" s="84"/>
      <c r="Z435" s="84"/>
    </row>
    <row r="436" spans="1:26" ht="15">
      <c r="A436" s="83"/>
      <c r="B436" s="84"/>
      <c r="C436" s="84"/>
      <c r="D436" s="84"/>
      <c r="E436" s="84"/>
      <c r="F436" s="84"/>
      <c r="G436" s="84"/>
      <c r="H436" s="84"/>
      <c r="I436" s="84"/>
      <c r="J436" s="84"/>
      <c r="K436" s="84"/>
      <c r="L436" s="84"/>
      <c r="M436" s="84"/>
      <c r="N436" s="84"/>
      <c r="O436" s="84"/>
      <c r="P436" s="84"/>
      <c r="Q436" s="84"/>
      <c r="R436" s="84"/>
      <c r="S436" s="84"/>
      <c r="T436" s="84"/>
      <c r="U436" s="84"/>
      <c r="V436" s="84"/>
      <c r="W436" s="84"/>
      <c r="X436" s="84"/>
      <c r="Y436" s="84"/>
      <c r="Z436" s="84"/>
    </row>
    <row r="437" spans="1:26" ht="15">
      <c r="A437" s="83"/>
      <c r="B437" s="84"/>
      <c r="C437" s="84"/>
      <c r="D437" s="84"/>
      <c r="E437" s="84"/>
      <c r="F437" s="84"/>
      <c r="G437" s="84"/>
      <c r="H437" s="84"/>
      <c r="I437" s="84"/>
      <c r="J437" s="84"/>
      <c r="K437" s="84"/>
      <c r="L437" s="84"/>
      <c r="M437" s="84"/>
      <c r="N437" s="84"/>
      <c r="O437" s="84"/>
      <c r="P437" s="84"/>
      <c r="Q437" s="84"/>
      <c r="R437" s="84"/>
      <c r="S437" s="84"/>
      <c r="T437" s="84"/>
      <c r="U437" s="84"/>
      <c r="V437" s="84"/>
      <c r="W437" s="84"/>
      <c r="X437" s="84"/>
      <c r="Y437" s="84"/>
      <c r="Z437" s="84"/>
    </row>
    <row r="438" spans="1:26" ht="15">
      <c r="A438" s="83"/>
      <c r="B438" s="84"/>
      <c r="C438" s="84"/>
      <c r="D438" s="84"/>
      <c r="E438" s="84"/>
      <c r="F438" s="84"/>
      <c r="G438" s="84"/>
      <c r="H438" s="84"/>
      <c r="I438" s="84"/>
      <c r="J438" s="84"/>
      <c r="K438" s="84"/>
      <c r="L438" s="84"/>
      <c r="M438" s="84"/>
      <c r="N438" s="84"/>
      <c r="O438" s="84"/>
      <c r="P438" s="84"/>
      <c r="Q438" s="84"/>
      <c r="R438" s="84"/>
      <c r="S438" s="84"/>
      <c r="T438" s="84"/>
      <c r="U438" s="84"/>
      <c r="V438" s="84"/>
      <c r="W438" s="84"/>
      <c r="X438" s="84"/>
      <c r="Y438" s="84"/>
      <c r="Z438" s="84"/>
    </row>
    <row r="439" spans="1:26" ht="15">
      <c r="A439" s="83"/>
      <c r="B439" s="84"/>
      <c r="C439" s="84"/>
      <c r="D439" s="84"/>
      <c r="E439" s="84"/>
      <c r="F439" s="84"/>
      <c r="G439" s="84"/>
      <c r="H439" s="84"/>
      <c r="I439" s="84"/>
      <c r="J439" s="84"/>
      <c r="K439" s="84"/>
      <c r="L439" s="84"/>
      <c r="M439" s="84"/>
      <c r="N439" s="84"/>
      <c r="O439" s="84"/>
      <c r="P439" s="84"/>
      <c r="Q439" s="84"/>
      <c r="R439" s="84"/>
      <c r="S439" s="84"/>
      <c r="T439" s="84"/>
      <c r="U439" s="84"/>
      <c r="V439" s="84"/>
      <c r="W439" s="84"/>
      <c r="X439" s="84"/>
      <c r="Y439" s="84"/>
      <c r="Z439" s="84"/>
    </row>
    <row r="440" spans="1:26" ht="15">
      <c r="A440" s="83"/>
      <c r="B440" s="84"/>
      <c r="C440" s="84"/>
      <c r="D440" s="84"/>
      <c r="E440" s="84"/>
      <c r="F440" s="84"/>
      <c r="G440" s="84"/>
      <c r="H440" s="84"/>
      <c r="I440" s="84"/>
      <c r="J440" s="84"/>
      <c r="K440" s="84"/>
      <c r="L440" s="84"/>
      <c r="M440" s="84"/>
      <c r="N440" s="84"/>
      <c r="O440" s="84"/>
      <c r="P440" s="84"/>
      <c r="Q440" s="84"/>
      <c r="R440" s="84"/>
      <c r="S440" s="84"/>
      <c r="T440" s="84"/>
      <c r="U440" s="84"/>
      <c r="V440" s="84"/>
      <c r="W440" s="84"/>
      <c r="X440" s="84"/>
      <c r="Y440" s="84"/>
      <c r="Z440" s="84"/>
    </row>
    <row r="441" spans="1:26" ht="15">
      <c r="A441" s="83"/>
      <c r="B441" s="84"/>
      <c r="C441" s="84"/>
      <c r="D441" s="84"/>
      <c r="E441" s="84"/>
      <c r="F441" s="84"/>
      <c r="G441" s="84"/>
      <c r="H441" s="84"/>
      <c r="I441" s="84"/>
      <c r="J441" s="84"/>
      <c r="K441" s="84"/>
      <c r="L441" s="84"/>
      <c r="M441" s="84"/>
      <c r="N441" s="84"/>
      <c r="O441" s="84"/>
      <c r="P441" s="84"/>
      <c r="Q441" s="84"/>
      <c r="R441" s="84"/>
      <c r="S441" s="84"/>
      <c r="T441" s="84"/>
      <c r="U441" s="84"/>
      <c r="V441" s="84"/>
      <c r="W441" s="84"/>
      <c r="X441" s="84"/>
      <c r="Y441" s="84"/>
      <c r="Z441" s="84"/>
    </row>
    <row r="442" spans="1:26" ht="15">
      <c r="A442" s="83"/>
      <c r="B442" s="84"/>
      <c r="C442" s="84"/>
      <c r="D442" s="84"/>
      <c r="E442" s="84"/>
      <c r="F442" s="84"/>
      <c r="G442" s="84"/>
      <c r="H442" s="84"/>
      <c r="I442" s="84"/>
      <c r="J442" s="84"/>
      <c r="K442" s="84"/>
      <c r="L442" s="84"/>
      <c r="M442" s="84"/>
      <c r="N442" s="84"/>
      <c r="O442" s="84"/>
      <c r="P442" s="84"/>
      <c r="Q442" s="84"/>
      <c r="R442" s="84"/>
      <c r="S442" s="84"/>
      <c r="T442" s="84"/>
      <c r="U442" s="84"/>
      <c r="V442" s="84"/>
      <c r="W442" s="84"/>
      <c r="X442" s="84"/>
      <c r="Y442" s="84"/>
      <c r="Z442" s="84"/>
    </row>
    <row r="443" spans="1:26" ht="15">
      <c r="A443" s="83"/>
      <c r="B443" s="84"/>
      <c r="C443" s="84"/>
      <c r="D443" s="84"/>
      <c r="E443" s="84"/>
      <c r="F443" s="84"/>
      <c r="G443" s="84"/>
      <c r="H443" s="84"/>
      <c r="I443" s="84"/>
      <c r="J443" s="84"/>
      <c r="K443" s="84"/>
      <c r="L443" s="84"/>
      <c r="M443" s="84"/>
      <c r="N443" s="84"/>
      <c r="O443" s="84"/>
      <c r="P443" s="84"/>
      <c r="Q443" s="84"/>
      <c r="R443" s="84"/>
      <c r="S443" s="84"/>
      <c r="T443" s="84"/>
      <c r="U443" s="84"/>
      <c r="V443" s="84"/>
      <c r="W443" s="84"/>
      <c r="X443" s="84"/>
      <c r="Y443" s="84"/>
      <c r="Z443" s="84"/>
    </row>
    <row r="444" spans="1:26" ht="15">
      <c r="A444" s="83"/>
      <c r="B444" s="84"/>
      <c r="C444" s="84"/>
      <c r="D444" s="84"/>
      <c r="E444" s="84"/>
      <c r="F444" s="84"/>
      <c r="G444" s="84"/>
      <c r="H444" s="84"/>
      <c r="I444" s="84"/>
      <c r="J444" s="84"/>
      <c r="K444" s="84"/>
      <c r="L444" s="84"/>
      <c r="M444" s="84"/>
      <c r="N444" s="84"/>
      <c r="O444" s="84"/>
      <c r="P444" s="84"/>
      <c r="Q444" s="84"/>
      <c r="R444" s="84"/>
      <c r="S444" s="84"/>
      <c r="T444" s="84"/>
      <c r="U444" s="84"/>
      <c r="V444" s="84"/>
      <c r="W444" s="84"/>
      <c r="X444" s="84"/>
      <c r="Y444" s="84"/>
      <c r="Z444" s="84"/>
    </row>
    <row r="445" spans="1:26" ht="15">
      <c r="A445" s="83"/>
      <c r="B445" s="84"/>
      <c r="C445" s="84"/>
      <c r="D445" s="84"/>
      <c r="E445" s="84"/>
      <c r="F445" s="84"/>
      <c r="G445" s="84"/>
      <c r="H445" s="84"/>
      <c r="I445" s="84"/>
      <c r="J445" s="84"/>
      <c r="K445" s="84"/>
      <c r="L445" s="84"/>
      <c r="M445" s="84"/>
      <c r="N445" s="84"/>
      <c r="O445" s="84"/>
      <c r="P445" s="84"/>
      <c r="Q445" s="84"/>
      <c r="R445" s="84"/>
      <c r="S445" s="84"/>
      <c r="T445" s="84"/>
      <c r="U445" s="84"/>
      <c r="V445" s="84"/>
      <c r="W445" s="84"/>
      <c r="X445" s="84"/>
      <c r="Y445" s="84"/>
      <c r="Z445" s="84"/>
    </row>
    <row r="446" spans="1:26" ht="15">
      <c r="A446" s="83"/>
      <c r="B446" s="84"/>
      <c r="C446" s="84"/>
      <c r="D446" s="84"/>
      <c r="E446" s="84"/>
      <c r="F446" s="84"/>
      <c r="G446" s="84"/>
      <c r="H446" s="84"/>
      <c r="I446" s="84"/>
      <c r="J446" s="84"/>
      <c r="K446" s="84"/>
      <c r="L446" s="84"/>
      <c r="M446" s="84"/>
      <c r="N446" s="84"/>
      <c r="O446" s="84"/>
      <c r="P446" s="84"/>
      <c r="Q446" s="84"/>
      <c r="R446" s="84"/>
      <c r="S446" s="84"/>
      <c r="T446" s="84"/>
      <c r="U446" s="84"/>
      <c r="V446" s="84"/>
      <c r="W446" s="84"/>
      <c r="X446" s="84"/>
      <c r="Y446" s="84"/>
      <c r="Z446" s="84"/>
    </row>
    <row r="447" spans="1:26" ht="15">
      <c r="A447" s="83"/>
      <c r="B447" s="84"/>
      <c r="C447" s="84"/>
      <c r="D447" s="84"/>
      <c r="E447" s="84"/>
      <c r="F447" s="84"/>
      <c r="G447" s="84"/>
      <c r="H447" s="84"/>
      <c r="I447" s="84"/>
      <c r="J447" s="84"/>
      <c r="K447" s="84"/>
      <c r="L447" s="84"/>
      <c r="M447" s="84"/>
      <c r="N447" s="84"/>
      <c r="O447" s="84"/>
      <c r="P447" s="84"/>
      <c r="Q447" s="84"/>
      <c r="R447" s="84"/>
      <c r="S447" s="84"/>
      <c r="T447" s="84"/>
      <c r="U447" s="84"/>
      <c r="V447" s="84"/>
      <c r="W447" s="84"/>
      <c r="X447" s="84"/>
      <c r="Y447" s="84"/>
      <c r="Z447" s="84"/>
    </row>
    <row r="448" spans="1:26" ht="15">
      <c r="A448" s="83"/>
      <c r="B448" s="84"/>
      <c r="C448" s="84"/>
      <c r="D448" s="84"/>
      <c r="E448" s="84"/>
      <c r="F448" s="84"/>
      <c r="G448" s="84"/>
      <c r="H448" s="84"/>
      <c r="I448" s="84"/>
      <c r="J448" s="84"/>
      <c r="K448" s="84"/>
      <c r="L448" s="84"/>
      <c r="M448" s="84"/>
      <c r="N448" s="84"/>
      <c r="O448" s="84"/>
      <c r="P448" s="84"/>
      <c r="Q448" s="84"/>
      <c r="R448" s="84"/>
      <c r="S448" s="84"/>
      <c r="T448" s="84"/>
      <c r="U448" s="84"/>
      <c r="V448" s="84"/>
      <c r="W448" s="84"/>
      <c r="X448" s="84"/>
      <c r="Y448" s="84"/>
      <c r="Z448" s="84"/>
    </row>
    <row r="449" spans="1:26" ht="15">
      <c r="A449" s="83"/>
      <c r="B449" s="84"/>
      <c r="C449" s="84"/>
      <c r="D449" s="84"/>
      <c r="E449" s="84"/>
      <c r="F449" s="84"/>
      <c r="G449" s="84"/>
      <c r="H449" s="84"/>
      <c r="I449" s="84"/>
      <c r="J449" s="84"/>
      <c r="K449" s="84"/>
      <c r="L449" s="84"/>
      <c r="M449" s="84"/>
      <c r="N449" s="84"/>
      <c r="O449" s="84"/>
      <c r="P449" s="84"/>
      <c r="Q449" s="84"/>
      <c r="R449" s="84"/>
      <c r="S449" s="84"/>
      <c r="T449" s="84"/>
      <c r="U449" s="84"/>
      <c r="V449" s="84"/>
      <c r="W449" s="84"/>
      <c r="X449" s="84"/>
      <c r="Y449" s="84"/>
      <c r="Z449" s="84"/>
    </row>
    <row r="450" spans="1:26" ht="15">
      <c r="A450" s="83"/>
      <c r="B450" s="84"/>
      <c r="C450" s="84"/>
      <c r="D450" s="84"/>
      <c r="E450" s="84"/>
      <c r="F450" s="84"/>
      <c r="G450" s="84"/>
      <c r="H450" s="84"/>
      <c r="I450" s="84"/>
      <c r="J450" s="84"/>
      <c r="K450" s="84"/>
      <c r="L450" s="84"/>
      <c r="M450" s="84"/>
      <c r="N450" s="84"/>
      <c r="O450" s="84"/>
      <c r="P450" s="84"/>
      <c r="Q450" s="84"/>
      <c r="R450" s="84"/>
      <c r="S450" s="84"/>
      <c r="T450" s="84"/>
      <c r="U450" s="84"/>
      <c r="V450" s="84"/>
      <c r="W450" s="84"/>
      <c r="X450" s="84"/>
      <c r="Y450" s="84"/>
      <c r="Z450" s="84"/>
    </row>
    <row r="451" spans="1:26" ht="15">
      <c r="A451" s="83"/>
      <c r="B451" s="84"/>
      <c r="C451" s="84"/>
      <c r="D451" s="84"/>
      <c r="E451" s="84"/>
      <c r="F451" s="84"/>
      <c r="G451" s="84"/>
      <c r="H451" s="84"/>
      <c r="I451" s="84"/>
      <c r="J451" s="84"/>
      <c r="K451" s="84"/>
      <c r="L451" s="84"/>
      <c r="M451" s="84"/>
      <c r="N451" s="84"/>
      <c r="O451" s="84"/>
      <c r="P451" s="84"/>
      <c r="Q451" s="84"/>
      <c r="R451" s="84"/>
      <c r="S451" s="84"/>
      <c r="T451" s="84"/>
      <c r="U451" s="84"/>
      <c r="V451" s="84"/>
      <c r="W451" s="84"/>
      <c r="X451" s="84"/>
      <c r="Y451" s="84"/>
      <c r="Z451" s="84"/>
    </row>
    <row r="452" spans="1:26" ht="15">
      <c r="A452" s="83"/>
      <c r="B452" s="84"/>
      <c r="C452" s="84"/>
      <c r="D452" s="84"/>
      <c r="E452" s="84"/>
      <c r="F452" s="84"/>
      <c r="G452" s="84"/>
      <c r="H452" s="84"/>
      <c r="I452" s="84"/>
      <c r="J452" s="84"/>
      <c r="K452" s="84"/>
      <c r="L452" s="84"/>
      <c r="M452" s="84"/>
      <c r="N452" s="84"/>
      <c r="O452" s="84"/>
      <c r="P452" s="84"/>
      <c r="Q452" s="84"/>
      <c r="R452" s="84"/>
      <c r="S452" s="84"/>
      <c r="T452" s="84"/>
      <c r="U452" s="84"/>
      <c r="V452" s="84"/>
      <c r="W452" s="84"/>
      <c r="X452" s="84"/>
      <c r="Y452" s="84"/>
      <c r="Z452" s="84"/>
    </row>
    <row r="453" spans="1:26" ht="15">
      <c r="A453" s="83"/>
      <c r="B453" s="84"/>
      <c r="C453" s="84"/>
      <c r="D453" s="84"/>
      <c r="E453" s="84"/>
      <c r="F453" s="84"/>
      <c r="G453" s="84"/>
      <c r="H453" s="84"/>
      <c r="I453" s="84"/>
      <c r="J453" s="84"/>
      <c r="K453" s="84"/>
      <c r="L453" s="84"/>
      <c r="M453" s="84"/>
      <c r="N453" s="84"/>
      <c r="O453" s="84"/>
      <c r="P453" s="84"/>
      <c r="Q453" s="84"/>
      <c r="R453" s="84"/>
      <c r="S453" s="84"/>
      <c r="T453" s="84"/>
      <c r="U453" s="84"/>
      <c r="V453" s="84"/>
      <c r="W453" s="84"/>
      <c r="X453" s="84"/>
      <c r="Y453" s="84"/>
      <c r="Z453" s="84"/>
    </row>
    <row r="454" spans="1:26" ht="15">
      <c r="A454" s="83"/>
      <c r="B454" s="84"/>
      <c r="C454" s="84"/>
      <c r="D454" s="84"/>
      <c r="E454" s="84"/>
      <c r="F454" s="84"/>
      <c r="G454" s="84"/>
      <c r="H454" s="84"/>
      <c r="I454" s="84"/>
      <c r="J454" s="84"/>
      <c r="K454" s="84"/>
      <c r="L454" s="84"/>
      <c r="M454" s="84"/>
      <c r="N454" s="84"/>
      <c r="O454" s="84"/>
      <c r="P454" s="84"/>
      <c r="Q454" s="84"/>
      <c r="R454" s="84"/>
      <c r="S454" s="84"/>
      <c r="T454" s="84"/>
      <c r="U454" s="84"/>
      <c r="V454" s="84"/>
      <c r="W454" s="84"/>
      <c r="X454" s="84"/>
      <c r="Y454" s="84"/>
      <c r="Z454" s="84"/>
    </row>
    <row r="455" spans="1:26" ht="15">
      <c r="A455" s="83"/>
      <c r="B455" s="84"/>
      <c r="C455" s="84"/>
      <c r="D455" s="84"/>
      <c r="E455" s="84"/>
      <c r="F455" s="84"/>
      <c r="G455" s="84"/>
      <c r="H455" s="84"/>
      <c r="I455" s="84"/>
      <c r="J455" s="84"/>
      <c r="K455" s="84"/>
      <c r="L455" s="84"/>
      <c r="M455" s="84"/>
      <c r="N455" s="84"/>
      <c r="O455" s="84"/>
      <c r="P455" s="84"/>
      <c r="Q455" s="84"/>
      <c r="R455" s="84"/>
      <c r="S455" s="84"/>
      <c r="T455" s="84"/>
      <c r="U455" s="84"/>
      <c r="V455" s="84"/>
      <c r="W455" s="84"/>
      <c r="X455" s="84"/>
      <c r="Y455" s="84"/>
      <c r="Z455" s="84"/>
    </row>
    <row r="456" spans="1:26" ht="15">
      <c r="A456" s="83"/>
      <c r="B456" s="84"/>
      <c r="C456" s="84"/>
      <c r="D456" s="84"/>
      <c r="E456" s="84"/>
      <c r="F456" s="84"/>
      <c r="G456" s="84"/>
      <c r="H456" s="84"/>
      <c r="I456" s="84"/>
      <c r="J456" s="84"/>
      <c r="K456" s="84"/>
      <c r="L456" s="84"/>
      <c r="M456" s="84"/>
      <c r="N456" s="84"/>
      <c r="O456" s="84"/>
      <c r="P456" s="84"/>
      <c r="Q456" s="84"/>
      <c r="R456" s="84"/>
      <c r="S456" s="84"/>
      <c r="T456" s="84"/>
      <c r="U456" s="84"/>
      <c r="V456" s="84"/>
      <c r="W456" s="84"/>
      <c r="X456" s="84"/>
      <c r="Y456" s="84"/>
      <c r="Z456" s="84"/>
    </row>
    <row r="457" spans="1:26" ht="15">
      <c r="A457" s="83"/>
      <c r="B457" s="84"/>
      <c r="C457" s="84"/>
      <c r="D457" s="84"/>
      <c r="E457" s="84"/>
      <c r="F457" s="84"/>
      <c r="G457" s="84"/>
      <c r="H457" s="84"/>
      <c r="I457" s="84"/>
      <c r="J457" s="84"/>
      <c r="K457" s="84"/>
      <c r="L457" s="84"/>
      <c r="M457" s="84"/>
      <c r="N457" s="84"/>
      <c r="O457" s="84"/>
      <c r="P457" s="84"/>
      <c r="Q457" s="84"/>
      <c r="R457" s="84"/>
      <c r="S457" s="84"/>
      <c r="T457" s="84"/>
      <c r="U457" s="84"/>
      <c r="V457" s="84"/>
      <c r="W457" s="84"/>
      <c r="X457" s="84"/>
      <c r="Y457" s="84"/>
      <c r="Z457" s="84"/>
    </row>
    <row r="458" spans="1:26" ht="15">
      <c r="A458" s="83"/>
      <c r="B458" s="84"/>
      <c r="C458" s="84"/>
      <c r="D458" s="84"/>
      <c r="E458" s="84"/>
      <c r="F458" s="84"/>
      <c r="G458" s="84"/>
      <c r="H458" s="84"/>
      <c r="I458" s="84"/>
      <c r="J458" s="84"/>
      <c r="K458" s="84"/>
      <c r="L458" s="84"/>
      <c r="M458" s="84"/>
      <c r="N458" s="84"/>
      <c r="O458" s="84"/>
      <c r="P458" s="84"/>
      <c r="Q458" s="84"/>
      <c r="R458" s="84"/>
      <c r="S458" s="84"/>
      <c r="T458" s="84"/>
      <c r="U458" s="84"/>
      <c r="V458" s="84"/>
      <c r="W458" s="84"/>
      <c r="X458" s="84"/>
      <c r="Y458" s="84"/>
      <c r="Z458" s="84"/>
    </row>
    <row r="459" spans="1:26" ht="15">
      <c r="A459" s="83"/>
      <c r="B459" s="84"/>
      <c r="C459" s="84"/>
      <c r="D459" s="84"/>
      <c r="E459" s="84"/>
      <c r="F459" s="84"/>
      <c r="G459" s="84"/>
      <c r="H459" s="84"/>
      <c r="I459" s="84"/>
      <c r="J459" s="84"/>
      <c r="K459" s="84"/>
      <c r="L459" s="84"/>
      <c r="M459" s="84"/>
      <c r="N459" s="84"/>
      <c r="O459" s="84"/>
      <c r="P459" s="84"/>
      <c r="Q459" s="84"/>
      <c r="R459" s="84"/>
      <c r="S459" s="84"/>
      <c r="T459" s="84"/>
      <c r="U459" s="84"/>
      <c r="V459" s="84"/>
      <c r="W459" s="84"/>
      <c r="X459" s="84"/>
      <c r="Y459" s="84"/>
      <c r="Z459" s="84"/>
    </row>
    <row r="460" spans="1:26" ht="15">
      <c r="A460" s="83"/>
      <c r="B460" s="84"/>
      <c r="C460" s="84"/>
      <c r="D460" s="84"/>
      <c r="E460" s="84"/>
      <c r="F460" s="84"/>
      <c r="G460" s="84"/>
      <c r="H460" s="84"/>
      <c r="I460" s="84"/>
      <c r="J460" s="84"/>
      <c r="K460" s="84"/>
      <c r="L460" s="84"/>
      <c r="M460" s="84"/>
      <c r="N460" s="84"/>
      <c r="O460" s="84"/>
      <c r="P460" s="84"/>
      <c r="Q460" s="84"/>
      <c r="R460" s="84"/>
      <c r="S460" s="84"/>
      <c r="T460" s="84"/>
      <c r="U460" s="84"/>
      <c r="V460" s="84"/>
      <c r="W460" s="84"/>
      <c r="X460" s="84"/>
      <c r="Y460" s="84"/>
      <c r="Z460" s="84"/>
    </row>
    <row r="461" spans="1:26" ht="15">
      <c r="A461" s="83"/>
      <c r="B461" s="84"/>
      <c r="C461" s="84"/>
      <c r="D461" s="84"/>
      <c r="E461" s="84"/>
      <c r="F461" s="84"/>
      <c r="G461" s="84"/>
      <c r="H461" s="84"/>
      <c r="I461" s="84"/>
      <c r="J461" s="84"/>
      <c r="K461" s="84"/>
      <c r="L461" s="84"/>
      <c r="M461" s="84"/>
      <c r="N461" s="84"/>
      <c r="O461" s="84"/>
      <c r="P461" s="84"/>
      <c r="Q461" s="84"/>
      <c r="R461" s="84"/>
      <c r="S461" s="84"/>
      <c r="T461" s="84"/>
      <c r="U461" s="84"/>
      <c r="V461" s="84"/>
      <c r="W461" s="84"/>
      <c r="X461" s="84"/>
      <c r="Y461" s="84"/>
      <c r="Z461" s="84"/>
    </row>
    <row r="462" spans="1:26" ht="15">
      <c r="A462" s="83"/>
      <c r="B462" s="84"/>
      <c r="C462" s="84"/>
      <c r="D462" s="84"/>
      <c r="E462" s="84"/>
      <c r="F462" s="84"/>
      <c r="G462" s="84"/>
      <c r="H462" s="84"/>
      <c r="I462" s="84"/>
      <c r="J462" s="84"/>
      <c r="K462" s="84"/>
      <c r="L462" s="84"/>
      <c r="M462" s="84"/>
      <c r="N462" s="84"/>
      <c r="O462" s="84"/>
      <c r="P462" s="84"/>
      <c r="Q462" s="84"/>
      <c r="R462" s="84"/>
      <c r="S462" s="84"/>
      <c r="T462" s="84"/>
      <c r="U462" s="84"/>
      <c r="V462" s="84"/>
      <c r="W462" s="84"/>
      <c r="X462" s="84"/>
      <c r="Y462" s="84"/>
      <c r="Z462" s="84"/>
    </row>
    <row r="463" spans="1:26" ht="15">
      <c r="A463" s="83"/>
      <c r="B463" s="84"/>
      <c r="C463" s="84"/>
      <c r="D463" s="84"/>
      <c r="E463" s="84"/>
      <c r="F463" s="84"/>
      <c r="G463" s="84"/>
      <c r="H463" s="84"/>
      <c r="I463" s="84"/>
      <c r="J463" s="84"/>
      <c r="K463" s="84"/>
      <c r="L463" s="84"/>
      <c r="M463" s="84"/>
      <c r="N463" s="84"/>
      <c r="O463" s="84"/>
      <c r="P463" s="84"/>
      <c r="Q463" s="84"/>
      <c r="R463" s="84"/>
      <c r="S463" s="84"/>
      <c r="T463" s="84"/>
      <c r="U463" s="84"/>
      <c r="V463" s="84"/>
      <c r="W463" s="84"/>
      <c r="X463" s="84"/>
      <c r="Y463" s="84"/>
      <c r="Z463" s="84"/>
    </row>
    <row r="464" spans="1:26" ht="15">
      <c r="A464" s="83"/>
      <c r="B464" s="84"/>
      <c r="C464" s="84"/>
      <c r="D464" s="84"/>
      <c r="E464" s="84"/>
      <c r="F464" s="84"/>
      <c r="G464" s="84"/>
      <c r="H464" s="84"/>
      <c r="I464" s="84"/>
      <c r="J464" s="84"/>
      <c r="K464" s="84"/>
      <c r="L464" s="84"/>
      <c r="M464" s="84"/>
      <c r="N464" s="84"/>
      <c r="O464" s="84"/>
      <c r="P464" s="84"/>
      <c r="Q464" s="84"/>
      <c r="R464" s="84"/>
      <c r="S464" s="84"/>
      <c r="T464" s="84"/>
      <c r="U464" s="84"/>
      <c r="V464" s="84"/>
      <c r="W464" s="84"/>
      <c r="X464" s="84"/>
      <c r="Y464" s="84"/>
      <c r="Z464" s="84"/>
    </row>
    <row r="465" spans="1:26" ht="15">
      <c r="A465" s="83"/>
      <c r="B465" s="84"/>
      <c r="C465" s="84"/>
      <c r="D465" s="84"/>
      <c r="E465" s="84"/>
      <c r="F465" s="84"/>
      <c r="G465" s="84"/>
      <c r="H465" s="84"/>
      <c r="I465" s="84"/>
      <c r="J465" s="84"/>
      <c r="K465" s="84"/>
      <c r="L465" s="84"/>
      <c r="M465" s="84"/>
      <c r="N465" s="84"/>
      <c r="O465" s="84"/>
      <c r="P465" s="84"/>
      <c r="Q465" s="84"/>
      <c r="R465" s="84"/>
      <c r="S465" s="84"/>
      <c r="T465" s="84"/>
      <c r="U465" s="84"/>
      <c r="V465" s="84"/>
      <c r="W465" s="84"/>
      <c r="X465" s="84"/>
      <c r="Y465" s="84"/>
      <c r="Z465" s="84"/>
    </row>
    <row r="466" spans="1:26" ht="15">
      <c r="A466" s="83"/>
      <c r="B466" s="84"/>
      <c r="C466" s="84"/>
      <c r="D466" s="84"/>
      <c r="E466" s="84"/>
      <c r="F466" s="84"/>
      <c r="G466" s="84"/>
      <c r="H466" s="84"/>
      <c r="I466" s="84"/>
      <c r="J466" s="84"/>
      <c r="K466" s="84"/>
      <c r="L466" s="84"/>
      <c r="M466" s="84"/>
      <c r="N466" s="84"/>
      <c r="O466" s="84"/>
      <c r="P466" s="84"/>
      <c r="Q466" s="84"/>
      <c r="R466" s="84"/>
      <c r="S466" s="84"/>
      <c r="T466" s="84"/>
      <c r="U466" s="84"/>
      <c r="V466" s="84"/>
      <c r="W466" s="84"/>
      <c r="X466" s="84"/>
      <c r="Y466" s="84"/>
      <c r="Z466" s="84"/>
    </row>
    <row r="467" spans="1:26" ht="15">
      <c r="A467" s="83"/>
      <c r="B467" s="84"/>
      <c r="C467" s="84"/>
      <c r="D467" s="84"/>
      <c r="E467" s="84"/>
      <c r="F467" s="84"/>
      <c r="G467" s="84"/>
      <c r="H467" s="84"/>
      <c r="I467" s="84"/>
      <c r="J467" s="84"/>
      <c r="K467" s="84"/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84"/>
      <c r="W467" s="84"/>
      <c r="X467" s="84"/>
      <c r="Y467" s="84"/>
      <c r="Z467" s="84"/>
    </row>
    <row r="468" spans="1:26" ht="15">
      <c r="A468" s="83"/>
      <c r="B468" s="84"/>
      <c r="C468" s="84"/>
      <c r="D468" s="84"/>
      <c r="E468" s="84"/>
      <c r="F468" s="84"/>
      <c r="G468" s="84"/>
      <c r="H468" s="84"/>
      <c r="I468" s="84"/>
      <c r="J468" s="84"/>
      <c r="K468" s="84"/>
      <c r="L468" s="84"/>
      <c r="M468" s="84"/>
      <c r="N468" s="84"/>
      <c r="O468" s="84"/>
      <c r="P468" s="84"/>
      <c r="Q468" s="84"/>
      <c r="R468" s="84"/>
      <c r="S468" s="84"/>
      <c r="T468" s="84"/>
      <c r="U468" s="84"/>
      <c r="V468" s="84"/>
      <c r="W468" s="84"/>
      <c r="X468" s="84"/>
      <c r="Y468" s="84"/>
      <c r="Z468" s="84"/>
    </row>
    <row r="469" spans="1:26" ht="15">
      <c r="A469" s="83"/>
      <c r="B469" s="84"/>
      <c r="C469" s="84"/>
      <c r="D469" s="84"/>
      <c r="E469" s="84"/>
      <c r="F469" s="84"/>
      <c r="G469" s="84"/>
      <c r="H469" s="84"/>
      <c r="I469" s="84"/>
      <c r="J469" s="84"/>
      <c r="K469" s="84"/>
      <c r="L469" s="84"/>
      <c r="M469" s="84"/>
      <c r="N469" s="84"/>
      <c r="O469" s="84"/>
      <c r="P469" s="84"/>
      <c r="Q469" s="84"/>
      <c r="R469" s="84"/>
      <c r="S469" s="84"/>
      <c r="T469" s="84"/>
      <c r="U469" s="84"/>
      <c r="V469" s="84"/>
      <c r="W469" s="84"/>
      <c r="X469" s="84"/>
      <c r="Y469" s="84"/>
      <c r="Z469" s="84"/>
    </row>
    <row r="470" spans="1:26" ht="15">
      <c r="A470" s="83"/>
      <c r="B470" s="84"/>
      <c r="C470" s="84"/>
      <c r="D470" s="84"/>
      <c r="E470" s="84"/>
      <c r="F470" s="84"/>
      <c r="G470" s="84"/>
      <c r="H470" s="84"/>
      <c r="I470" s="84"/>
      <c r="J470" s="84"/>
      <c r="K470" s="84"/>
      <c r="L470" s="84"/>
      <c r="M470" s="84"/>
      <c r="N470" s="84"/>
      <c r="O470" s="84"/>
      <c r="P470" s="84"/>
      <c r="Q470" s="84"/>
      <c r="R470" s="84"/>
      <c r="S470" s="84"/>
      <c r="T470" s="84"/>
      <c r="U470" s="84"/>
      <c r="V470" s="84"/>
      <c r="W470" s="84"/>
      <c r="X470" s="84"/>
      <c r="Y470" s="84"/>
      <c r="Z470" s="84"/>
    </row>
    <row r="471" spans="1:26" ht="15">
      <c r="A471" s="83"/>
      <c r="B471" s="84"/>
      <c r="C471" s="84"/>
      <c r="D471" s="84"/>
      <c r="E471" s="84"/>
      <c r="F471" s="84"/>
      <c r="G471" s="84"/>
      <c r="H471" s="84"/>
      <c r="I471" s="84"/>
      <c r="J471" s="84"/>
      <c r="K471" s="84"/>
      <c r="L471" s="84"/>
      <c r="M471" s="84"/>
      <c r="N471" s="84"/>
      <c r="O471" s="84"/>
      <c r="P471" s="84"/>
      <c r="Q471" s="84"/>
      <c r="R471" s="84"/>
      <c r="S471" s="84"/>
      <c r="T471" s="84"/>
      <c r="U471" s="84"/>
      <c r="V471" s="84"/>
      <c r="W471" s="84"/>
      <c r="X471" s="84"/>
      <c r="Y471" s="84"/>
      <c r="Z471" s="84"/>
    </row>
    <row r="472" spans="1:26" ht="15">
      <c r="A472" s="83"/>
      <c r="B472" s="84"/>
      <c r="C472" s="84"/>
      <c r="D472" s="84"/>
      <c r="E472" s="84"/>
      <c r="F472" s="84"/>
      <c r="G472" s="84"/>
      <c r="H472" s="84"/>
      <c r="I472" s="84"/>
      <c r="J472" s="84"/>
      <c r="K472" s="84"/>
      <c r="L472" s="84"/>
      <c r="M472" s="84"/>
      <c r="N472" s="84"/>
      <c r="O472" s="84"/>
      <c r="P472" s="84"/>
      <c r="Q472" s="84"/>
      <c r="R472" s="84"/>
      <c r="S472" s="84"/>
      <c r="T472" s="84"/>
      <c r="U472" s="84"/>
      <c r="V472" s="84"/>
      <c r="W472" s="84"/>
      <c r="X472" s="84"/>
      <c r="Y472" s="84"/>
      <c r="Z472" s="84"/>
    </row>
    <row r="473" spans="1:26" ht="15">
      <c r="A473" s="83"/>
      <c r="B473" s="84"/>
      <c r="C473" s="84"/>
      <c r="D473" s="84"/>
      <c r="E473" s="84"/>
      <c r="F473" s="84"/>
      <c r="G473" s="84"/>
      <c r="H473" s="84"/>
      <c r="I473" s="84"/>
      <c r="J473" s="84"/>
      <c r="K473" s="84"/>
      <c r="L473" s="84"/>
      <c r="M473" s="84"/>
      <c r="N473" s="84"/>
      <c r="O473" s="84"/>
      <c r="P473" s="84"/>
      <c r="Q473" s="84"/>
      <c r="R473" s="84"/>
      <c r="S473" s="84"/>
      <c r="T473" s="84"/>
      <c r="U473" s="84"/>
      <c r="V473" s="84"/>
      <c r="W473" s="84"/>
      <c r="X473" s="84"/>
      <c r="Y473" s="84"/>
      <c r="Z473" s="84"/>
    </row>
    <row r="474" spans="1:26" ht="15">
      <c r="A474" s="83"/>
      <c r="B474" s="84"/>
      <c r="C474" s="84"/>
      <c r="D474" s="84"/>
      <c r="E474" s="84"/>
      <c r="F474" s="84"/>
      <c r="G474" s="84"/>
      <c r="H474" s="84"/>
      <c r="I474" s="84"/>
      <c r="J474" s="84"/>
      <c r="K474" s="84"/>
      <c r="L474" s="84"/>
      <c r="M474" s="84"/>
      <c r="N474" s="84"/>
      <c r="O474" s="84"/>
      <c r="P474" s="84"/>
      <c r="Q474" s="84"/>
      <c r="R474" s="84"/>
      <c r="S474" s="84"/>
      <c r="T474" s="84"/>
      <c r="U474" s="84"/>
      <c r="V474" s="84"/>
      <c r="W474" s="84"/>
      <c r="X474" s="84"/>
      <c r="Y474" s="84"/>
      <c r="Z474" s="84"/>
    </row>
    <row r="475" spans="1:26" ht="15">
      <c r="A475" s="83"/>
      <c r="B475" s="84"/>
      <c r="C475" s="84"/>
      <c r="D475" s="84"/>
      <c r="E475" s="84"/>
      <c r="F475" s="84"/>
      <c r="G475" s="84"/>
      <c r="H475" s="84"/>
      <c r="I475" s="84"/>
      <c r="J475" s="84"/>
      <c r="K475" s="84"/>
      <c r="L475" s="84"/>
      <c r="M475" s="84"/>
      <c r="N475" s="84"/>
      <c r="O475" s="84"/>
      <c r="P475" s="84"/>
      <c r="Q475" s="84"/>
      <c r="R475" s="84"/>
      <c r="S475" s="84"/>
      <c r="T475" s="84"/>
      <c r="U475" s="84"/>
      <c r="V475" s="84"/>
      <c r="W475" s="84"/>
      <c r="X475" s="84"/>
      <c r="Y475" s="84"/>
      <c r="Z475" s="84"/>
    </row>
    <row r="476" spans="1:26" ht="15">
      <c r="A476" s="83"/>
      <c r="B476" s="84"/>
      <c r="C476" s="84"/>
      <c r="D476" s="84"/>
      <c r="E476" s="84"/>
      <c r="F476" s="84"/>
      <c r="G476" s="84"/>
      <c r="H476" s="84"/>
      <c r="I476" s="84"/>
      <c r="J476" s="84"/>
      <c r="K476" s="84"/>
      <c r="L476" s="84"/>
      <c r="M476" s="84"/>
      <c r="N476" s="84"/>
      <c r="O476" s="84"/>
      <c r="P476" s="84"/>
      <c r="Q476" s="84"/>
      <c r="R476" s="84"/>
      <c r="S476" s="84"/>
      <c r="T476" s="84"/>
      <c r="U476" s="84"/>
      <c r="V476" s="84"/>
      <c r="W476" s="84"/>
      <c r="X476" s="84"/>
      <c r="Y476" s="84"/>
      <c r="Z476" s="84"/>
    </row>
    <row r="477" spans="1:26" ht="15">
      <c r="A477" s="83"/>
      <c r="B477" s="84"/>
      <c r="C477" s="84"/>
      <c r="D477" s="84"/>
      <c r="E477" s="84"/>
      <c r="F477" s="84"/>
      <c r="G477" s="84"/>
      <c r="H477" s="84"/>
      <c r="I477" s="84"/>
      <c r="J477" s="84"/>
      <c r="K477" s="84"/>
      <c r="L477" s="84"/>
      <c r="M477" s="84"/>
      <c r="N477" s="84"/>
      <c r="O477" s="84"/>
      <c r="P477" s="84"/>
      <c r="Q477" s="84"/>
      <c r="R477" s="84"/>
      <c r="S477" s="84"/>
      <c r="T477" s="84"/>
      <c r="U477" s="84"/>
      <c r="V477" s="84"/>
      <c r="W477" s="84"/>
      <c r="X477" s="84"/>
      <c r="Y477" s="84"/>
      <c r="Z477" s="84"/>
    </row>
    <row r="478" spans="1:26" ht="15">
      <c r="A478" s="83"/>
      <c r="B478" s="84"/>
      <c r="C478" s="84"/>
      <c r="D478" s="84"/>
      <c r="E478" s="84"/>
      <c r="F478" s="84"/>
      <c r="G478" s="84"/>
      <c r="H478" s="84"/>
      <c r="I478" s="84"/>
      <c r="J478" s="84"/>
      <c r="K478" s="84"/>
      <c r="L478" s="84"/>
      <c r="M478" s="84"/>
      <c r="N478" s="84"/>
      <c r="O478" s="84"/>
      <c r="P478" s="84"/>
      <c r="Q478" s="84"/>
      <c r="R478" s="84"/>
      <c r="S478" s="84"/>
      <c r="T478" s="84"/>
      <c r="U478" s="84"/>
      <c r="V478" s="84"/>
      <c r="W478" s="84"/>
      <c r="X478" s="84"/>
      <c r="Y478" s="84"/>
      <c r="Z478" s="84"/>
    </row>
    <row r="479" spans="1:26" ht="15">
      <c r="A479" s="83"/>
      <c r="B479" s="84"/>
      <c r="C479" s="84"/>
      <c r="D479" s="84"/>
      <c r="E479" s="84"/>
      <c r="F479" s="84"/>
      <c r="G479" s="84"/>
      <c r="H479" s="84"/>
      <c r="I479" s="84"/>
      <c r="J479" s="84"/>
      <c r="K479" s="84"/>
      <c r="L479" s="84"/>
      <c r="M479" s="84"/>
      <c r="N479" s="84"/>
      <c r="O479" s="84"/>
      <c r="P479" s="84"/>
      <c r="Q479" s="84"/>
      <c r="R479" s="84"/>
      <c r="S479" s="84"/>
      <c r="T479" s="84"/>
      <c r="U479" s="84"/>
      <c r="V479" s="84"/>
      <c r="W479" s="84"/>
      <c r="X479" s="84"/>
      <c r="Y479" s="84"/>
      <c r="Z479" s="84"/>
    </row>
    <row r="480" spans="1:26" ht="15">
      <c r="A480" s="83"/>
      <c r="B480" s="84"/>
      <c r="C480" s="84"/>
      <c r="D480" s="84"/>
      <c r="E480" s="84"/>
      <c r="F480" s="84"/>
      <c r="G480" s="84"/>
      <c r="H480" s="84"/>
      <c r="I480" s="84"/>
      <c r="J480" s="84"/>
      <c r="K480" s="84"/>
      <c r="L480" s="84"/>
      <c r="M480" s="84"/>
      <c r="N480" s="84"/>
      <c r="O480" s="84"/>
      <c r="P480" s="84"/>
      <c r="Q480" s="84"/>
      <c r="R480" s="84"/>
      <c r="S480" s="84"/>
      <c r="T480" s="84"/>
      <c r="U480" s="84"/>
      <c r="V480" s="84"/>
      <c r="W480" s="84"/>
      <c r="X480" s="84"/>
      <c r="Y480" s="84"/>
      <c r="Z480" s="84"/>
    </row>
    <row r="481" spans="1:26" ht="15">
      <c r="A481" s="83"/>
      <c r="B481" s="84"/>
      <c r="C481" s="84"/>
      <c r="D481" s="84"/>
      <c r="E481" s="84"/>
      <c r="F481" s="84"/>
      <c r="G481" s="84"/>
      <c r="H481" s="84"/>
      <c r="I481" s="84"/>
      <c r="J481" s="84"/>
      <c r="K481" s="84"/>
      <c r="L481" s="84"/>
      <c r="M481" s="84"/>
      <c r="N481" s="84"/>
      <c r="O481" s="84"/>
      <c r="P481" s="84"/>
      <c r="Q481" s="84"/>
      <c r="R481" s="84"/>
      <c r="S481" s="84"/>
      <c r="T481" s="84"/>
      <c r="U481" s="84"/>
      <c r="V481" s="84"/>
      <c r="W481" s="84"/>
      <c r="X481" s="84"/>
      <c r="Y481" s="84"/>
      <c r="Z481" s="84"/>
    </row>
    <row r="482" spans="1:26" ht="15">
      <c r="A482" s="83"/>
      <c r="B482" s="84"/>
      <c r="C482" s="84"/>
      <c r="D482" s="84"/>
      <c r="E482" s="84"/>
      <c r="F482" s="84"/>
      <c r="G482" s="84"/>
      <c r="H482" s="84"/>
      <c r="I482" s="84"/>
      <c r="J482" s="84"/>
      <c r="K482" s="84"/>
      <c r="L482" s="84"/>
      <c r="M482" s="84"/>
      <c r="N482" s="84"/>
      <c r="O482" s="84"/>
      <c r="P482" s="84"/>
      <c r="Q482" s="84"/>
      <c r="R482" s="84"/>
      <c r="S482" s="84"/>
      <c r="T482" s="84"/>
      <c r="U482" s="84"/>
      <c r="V482" s="84"/>
      <c r="W482" s="84"/>
      <c r="X482" s="84"/>
      <c r="Y482" s="84"/>
      <c r="Z482" s="84"/>
    </row>
    <row r="483" spans="1:26" ht="15">
      <c r="A483" s="83"/>
      <c r="B483" s="84"/>
      <c r="C483" s="84"/>
      <c r="D483" s="84"/>
      <c r="E483" s="84"/>
      <c r="F483" s="84"/>
      <c r="G483" s="84"/>
      <c r="H483" s="84"/>
      <c r="I483" s="84"/>
      <c r="J483" s="84"/>
      <c r="K483" s="84"/>
      <c r="L483" s="84"/>
      <c r="M483" s="84"/>
      <c r="N483" s="84"/>
      <c r="O483" s="84"/>
      <c r="P483" s="84"/>
      <c r="Q483" s="84"/>
      <c r="R483" s="84"/>
      <c r="S483" s="84"/>
      <c r="T483" s="84"/>
      <c r="U483" s="84"/>
      <c r="V483" s="84"/>
      <c r="W483" s="84"/>
      <c r="X483" s="84"/>
      <c r="Y483" s="84"/>
      <c r="Z483" s="84"/>
    </row>
    <row r="484" spans="1:26" ht="15">
      <c r="A484" s="83"/>
      <c r="B484" s="84"/>
      <c r="C484" s="84"/>
      <c r="D484" s="84"/>
      <c r="E484" s="84"/>
      <c r="F484" s="84"/>
      <c r="G484" s="84"/>
      <c r="H484" s="84"/>
      <c r="I484" s="84"/>
      <c r="J484" s="84"/>
      <c r="K484" s="84"/>
      <c r="L484" s="84"/>
      <c r="M484" s="84"/>
      <c r="N484" s="84"/>
      <c r="O484" s="84"/>
      <c r="P484" s="84"/>
      <c r="Q484" s="84"/>
      <c r="R484" s="84"/>
      <c r="S484" s="84"/>
      <c r="T484" s="84"/>
      <c r="U484" s="84"/>
      <c r="V484" s="84"/>
      <c r="W484" s="84"/>
      <c r="X484" s="84"/>
      <c r="Y484" s="84"/>
      <c r="Z484" s="84"/>
    </row>
    <row r="485" spans="1:26" ht="15">
      <c r="A485" s="83"/>
      <c r="B485" s="84"/>
      <c r="C485" s="84"/>
      <c r="D485" s="84"/>
      <c r="E485" s="84"/>
      <c r="F485" s="84"/>
      <c r="G485" s="84"/>
      <c r="H485" s="84"/>
      <c r="I485" s="84"/>
      <c r="J485" s="84"/>
      <c r="K485" s="84"/>
      <c r="L485" s="84"/>
      <c r="M485" s="84"/>
      <c r="N485" s="84"/>
      <c r="O485" s="84"/>
      <c r="P485" s="84"/>
      <c r="Q485" s="84"/>
      <c r="R485" s="84"/>
      <c r="S485" s="84"/>
      <c r="T485" s="84"/>
      <c r="U485" s="84"/>
      <c r="V485" s="84"/>
      <c r="W485" s="84"/>
      <c r="X485" s="84"/>
      <c r="Y485" s="84"/>
      <c r="Z485" s="84"/>
    </row>
    <row r="486" spans="1:26" ht="15">
      <c r="A486" s="83"/>
      <c r="B486" s="84"/>
      <c r="C486" s="84"/>
      <c r="D486" s="84"/>
      <c r="E486" s="84"/>
      <c r="F486" s="84"/>
      <c r="G486" s="84"/>
      <c r="H486" s="84"/>
      <c r="I486" s="84"/>
      <c r="J486" s="84"/>
      <c r="K486" s="84"/>
      <c r="L486" s="84"/>
      <c r="M486" s="84"/>
      <c r="N486" s="84"/>
      <c r="O486" s="84"/>
      <c r="P486" s="84"/>
      <c r="Q486" s="84"/>
      <c r="R486" s="84"/>
      <c r="S486" s="84"/>
      <c r="T486" s="84"/>
      <c r="U486" s="84"/>
      <c r="V486" s="84"/>
      <c r="W486" s="84"/>
      <c r="X486" s="84"/>
      <c r="Y486" s="84"/>
      <c r="Z486" s="84"/>
    </row>
    <row r="487" spans="1:26" ht="15">
      <c r="A487" s="83"/>
      <c r="B487" s="84"/>
      <c r="C487" s="84"/>
      <c r="D487" s="84"/>
      <c r="E487" s="84"/>
      <c r="F487" s="84"/>
      <c r="G487" s="84"/>
      <c r="H487" s="84"/>
      <c r="I487" s="84"/>
      <c r="J487" s="84"/>
      <c r="K487" s="84"/>
      <c r="L487" s="84"/>
      <c r="M487" s="84"/>
      <c r="N487" s="84"/>
      <c r="O487" s="84"/>
      <c r="P487" s="84"/>
      <c r="Q487" s="84"/>
      <c r="R487" s="84"/>
      <c r="S487" s="84"/>
      <c r="T487" s="84"/>
      <c r="U487" s="84"/>
      <c r="V487" s="84"/>
      <c r="W487" s="84"/>
      <c r="X487" s="84"/>
      <c r="Y487" s="84"/>
      <c r="Z487" s="84"/>
    </row>
    <row r="488" spans="1:26" ht="15">
      <c r="A488" s="83"/>
      <c r="B488" s="84"/>
      <c r="C488" s="84"/>
      <c r="D488" s="84"/>
      <c r="E488" s="84"/>
      <c r="F488" s="84"/>
      <c r="G488" s="84"/>
      <c r="H488" s="84"/>
      <c r="I488" s="84"/>
      <c r="J488" s="84"/>
      <c r="K488" s="84"/>
      <c r="L488" s="84"/>
      <c r="M488" s="84"/>
      <c r="N488" s="84"/>
      <c r="O488" s="84"/>
      <c r="P488" s="84"/>
      <c r="Q488" s="84"/>
      <c r="R488" s="84"/>
      <c r="S488" s="84"/>
      <c r="T488" s="84"/>
      <c r="U488" s="84"/>
      <c r="V488" s="84"/>
      <c r="W488" s="84"/>
      <c r="X488" s="84"/>
      <c r="Y488" s="84"/>
      <c r="Z488" s="84"/>
    </row>
    <row r="489" spans="1:26" ht="15">
      <c r="A489" s="83"/>
      <c r="B489" s="84"/>
      <c r="C489" s="84"/>
      <c r="D489" s="84"/>
      <c r="E489" s="84"/>
      <c r="F489" s="84"/>
      <c r="G489" s="84"/>
      <c r="H489" s="84"/>
      <c r="I489" s="84"/>
      <c r="J489" s="84"/>
      <c r="K489" s="84"/>
      <c r="L489" s="84"/>
      <c r="M489" s="84"/>
      <c r="N489" s="84"/>
      <c r="O489" s="84"/>
      <c r="P489" s="84"/>
      <c r="Q489" s="84"/>
      <c r="R489" s="84"/>
      <c r="S489" s="84"/>
      <c r="T489" s="84"/>
      <c r="U489" s="84"/>
      <c r="V489" s="84"/>
      <c r="W489" s="84"/>
      <c r="X489" s="84"/>
      <c r="Y489" s="84"/>
      <c r="Z489" s="84"/>
    </row>
    <row r="490" spans="1:26" ht="15">
      <c r="A490" s="83"/>
      <c r="B490" s="84"/>
      <c r="C490" s="84"/>
      <c r="D490" s="84"/>
      <c r="E490" s="84"/>
      <c r="F490" s="84"/>
      <c r="G490" s="84"/>
      <c r="H490" s="84"/>
      <c r="I490" s="84"/>
      <c r="J490" s="84"/>
      <c r="K490" s="84"/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84"/>
      <c r="W490" s="84"/>
      <c r="X490" s="84"/>
      <c r="Y490" s="84"/>
      <c r="Z490" s="84"/>
    </row>
    <row r="491" spans="1:26" ht="15">
      <c r="A491" s="83"/>
      <c r="B491" s="84"/>
      <c r="C491" s="84"/>
      <c r="D491" s="84"/>
      <c r="E491" s="84"/>
      <c r="F491" s="84"/>
      <c r="G491" s="84"/>
      <c r="H491" s="84"/>
      <c r="I491" s="84"/>
      <c r="J491" s="84"/>
      <c r="K491" s="84"/>
      <c r="L491" s="84"/>
      <c r="M491" s="84"/>
      <c r="N491" s="84"/>
      <c r="O491" s="84"/>
      <c r="P491" s="84"/>
      <c r="Q491" s="84"/>
      <c r="R491" s="84"/>
      <c r="S491" s="84"/>
      <c r="T491" s="84"/>
      <c r="U491" s="84"/>
      <c r="V491" s="84"/>
      <c r="W491" s="84"/>
      <c r="X491" s="84"/>
      <c r="Y491" s="84"/>
      <c r="Z491" s="84"/>
    </row>
    <row r="492" spans="1:26" ht="15">
      <c r="A492" s="83"/>
      <c r="B492" s="84"/>
      <c r="C492" s="84"/>
      <c r="D492" s="84"/>
      <c r="E492" s="84"/>
      <c r="F492" s="84"/>
      <c r="G492" s="84"/>
      <c r="H492" s="84"/>
      <c r="I492" s="84"/>
      <c r="J492" s="84"/>
      <c r="K492" s="84"/>
      <c r="L492" s="84"/>
      <c r="M492" s="84"/>
      <c r="N492" s="84"/>
      <c r="O492" s="84"/>
      <c r="P492" s="84"/>
      <c r="Q492" s="84"/>
      <c r="R492" s="84"/>
      <c r="S492" s="84"/>
      <c r="T492" s="84"/>
      <c r="U492" s="84"/>
      <c r="V492" s="84"/>
      <c r="W492" s="84"/>
      <c r="X492" s="84"/>
      <c r="Y492" s="84"/>
      <c r="Z492" s="84"/>
    </row>
    <row r="493" spans="1:26" ht="15">
      <c r="A493" s="83"/>
      <c r="B493" s="84"/>
      <c r="C493" s="84"/>
      <c r="D493" s="84"/>
      <c r="E493" s="84"/>
      <c r="F493" s="84"/>
      <c r="G493" s="84"/>
      <c r="H493" s="84"/>
      <c r="I493" s="84"/>
      <c r="J493" s="84"/>
      <c r="K493" s="84"/>
      <c r="L493" s="84"/>
      <c r="M493" s="84"/>
      <c r="N493" s="84"/>
      <c r="O493" s="84"/>
      <c r="P493" s="84"/>
      <c r="Q493" s="84"/>
      <c r="R493" s="84"/>
      <c r="S493" s="84"/>
      <c r="T493" s="84"/>
      <c r="U493" s="84"/>
      <c r="V493" s="84"/>
      <c r="W493" s="84"/>
      <c r="X493" s="84"/>
      <c r="Y493" s="84"/>
      <c r="Z493" s="84"/>
    </row>
    <row r="494" spans="1:26" ht="15">
      <c r="A494" s="83"/>
      <c r="B494" s="84"/>
      <c r="C494" s="84"/>
      <c r="D494" s="84"/>
      <c r="E494" s="84"/>
      <c r="F494" s="84"/>
      <c r="G494" s="84"/>
      <c r="H494" s="84"/>
      <c r="I494" s="84"/>
      <c r="J494" s="84"/>
      <c r="K494" s="84"/>
      <c r="L494" s="84"/>
      <c r="M494" s="84"/>
      <c r="N494" s="84"/>
      <c r="O494" s="84"/>
      <c r="P494" s="84"/>
      <c r="Q494" s="84"/>
      <c r="R494" s="84"/>
      <c r="S494" s="84"/>
      <c r="T494" s="84"/>
      <c r="U494" s="84"/>
      <c r="V494" s="84"/>
      <c r="W494" s="84"/>
      <c r="X494" s="84"/>
      <c r="Y494" s="84"/>
      <c r="Z494" s="84"/>
    </row>
    <row r="495" spans="1:26" ht="15">
      <c r="A495" s="83"/>
      <c r="B495" s="84"/>
      <c r="C495" s="84"/>
      <c r="D495" s="84"/>
      <c r="E495" s="84"/>
      <c r="F495" s="84"/>
      <c r="G495" s="84"/>
      <c r="H495" s="84"/>
      <c r="I495" s="84"/>
      <c r="J495" s="84"/>
      <c r="K495" s="84"/>
      <c r="L495" s="84"/>
      <c r="M495" s="84"/>
      <c r="N495" s="84"/>
      <c r="O495" s="84"/>
      <c r="P495" s="84"/>
      <c r="Q495" s="84"/>
      <c r="R495" s="84"/>
      <c r="S495" s="84"/>
      <c r="T495" s="84"/>
      <c r="U495" s="84"/>
      <c r="V495" s="84"/>
      <c r="W495" s="84"/>
      <c r="X495" s="84"/>
      <c r="Y495" s="84"/>
      <c r="Z495" s="84"/>
    </row>
    <row r="496" spans="1:26" ht="15">
      <c r="A496" s="83"/>
      <c r="B496" s="84"/>
      <c r="C496" s="84"/>
      <c r="D496" s="84"/>
      <c r="E496" s="84"/>
      <c r="F496" s="84"/>
      <c r="G496" s="84"/>
      <c r="H496" s="84"/>
      <c r="I496" s="84"/>
      <c r="J496" s="84"/>
      <c r="K496" s="84"/>
      <c r="L496" s="84"/>
      <c r="M496" s="84"/>
      <c r="N496" s="84"/>
      <c r="O496" s="84"/>
      <c r="P496" s="84"/>
      <c r="Q496" s="84"/>
      <c r="R496" s="84"/>
      <c r="S496" s="84"/>
      <c r="T496" s="84"/>
      <c r="U496" s="84"/>
      <c r="V496" s="84"/>
      <c r="W496" s="84"/>
      <c r="X496" s="84"/>
      <c r="Y496" s="84"/>
      <c r="Z496" s="84"/>
    </row>
    <row r="497" spans="1:26" ht="15">
      <c r="A497" s="83"/>
      <c r="B497" s="84"/>
      <c r="C497" s="84"/>
      <c r="D497" s="84"/>
      <c r="E497" s="84"/>
      <c r="F497" s="84"/>
      <c r="G497" s="84"/>
      <c r="H497" s="84"/>
      <c r="I497" s="84"/>
      <c r="J497" s="84"/>
      <c r="K497" s="84"/>
      <c r="L497" s="84"/>
      <c r="M497" s="84"/>
      <c r="N497" s="84"/>
      <c r="O497" s="84"/>
      <c r="P497" s="84"/>
      <c r="Q497" s="84"/>
      <c r="R497" s="84"/>
      <c r="S497" s="84"/>
      <c r="T497" s="84"/>
      <c r="U497" s="84"/>
      <c r="V497" s="84"/>
      <c r="W497" s="84"/>
      <c r="X497" s="84"/>
      <c r="Y497" s="84"/>
      <c r="Z497" s="84"/>
    </row>
    <row r="498" spans="1:26" ht="15">
      <c r="A498" s="83"/>
      <c r="B498" s="84"/>
      <c r="C498" s="84"/>
      <c r="D498" s="84"/>
      <c r="E498" s="84"/>
      <c r="F498" s="84"/>
      <c r="G498" s="84"/>
      <c r="H498" s="84"/>
      <c r="I498" s="84"/>
      <c r="J498" s="84"/>
      <c r="K498" s="84"/>
      <c r="L498" s="84"/>
      <c r="M498" s="84"/>
      <c r="N498" s="84"/>
      <c r="O498" s="84"/>
      <c r="P498" s="84"/>
      <c r="Q498" s="84"/>
      <c r="R498" s="84"/>
      <c r="S498" s="84"/>
      <c r="T498" s="84"/>
      <c r="U498" s="84"/>
      <c r="V498" s="84"/>
      <c r="W498" s="84"/>
      <c r="X498" s="84"/>
      <c r="Y498" s="84"/>
      <c r="Z498" s="84"/>
    </row>
    <row r="499" spans="1:26" ht="15">
      <c r="A499" s="83"/>
      <c r="B499" s="84"/>
      <c r="C499" s="84"/>
      <c r="D499" s="84"/>
      <c r="E499" s="84"/>
      <c r="F499" s="84"/>
      <c r="G499" s="84"/>
      <c r="H499" s="84"/>
      <c r="I499" s="84"/>
      <c r="J499" s="84"/>
      <c r="K499" s="84"/>
      <c r="L499" s="84"/>
      <c r="M499" s="84"/>
      <c r="N499" s="84"/>
      <c r="O499" s="84"/>
      <c r="P499" s="84"/>
      <c r="Q499" s="84"/>
      <c r="R499" s="84"/>
      <c r="S499" s="84"/>
      <c r="T499" s="84"/>
      <c r="U499" s="84"/>
      <c r="V499" s="84"/>
      <c r="W499" s="84"/>
      <c r="X499" s="84"/>
      <c r="Y499" s="84"/>
      <c r="Z499" s="84"/>
    </row>
    <row r="500" spans="1:26" ht="15">
      <c r="A500" s="83"/>
      <c r="B500" s="84"/>
      <c r="C500" s="84"/>
      <c r="D500" s="84"/>
      <c r="E500" s="84"/>
      <c r="F500" s="84"/>
      <c r="G500" s="84"/>
      <c r="H500" s="84"/>
      <c r="I500" s="84"/>
      <c r="J500" s="84"/>
      <c r="K500" s="84"/>
      <c r="L500" s="84"/>
      <c r="M500" s="84"/>
      <c r="N500" s="84"/>
      <c r="O500" s="84"/>
      <c r="P500" s="84"/>
      <c r="Q500" s="84"/>
      <c r="R500" s="84"/>
      <c r="S500" s="84"/>
      <c r="T500" s="84"/>
      <c r="U500" s="84"/>
      <c r="V500" s="84"/>
      <c r="W500" s="84"/>
      <c r="X500" s="84"/>
      <c r="Y500" s="84"/>
      <c r="Z500" s="84"/>
    </row>
    <row r="501" spans="1:26" ht="15">
      <c r="A501" s="83"/>
      <c r="B501" s="84"/>
      <c r="C501" s="84"/>
      <c r="D501" s="84"/>
      <c r="E501" s="84"/>
      <c r="F501" s="84"/>
      <c r="G501" s="84"/>
      <c r="H501" s="84"/>
      <c r="I501" s="84"/>
      <c r="J501" s="84"/>
      <c r="K501" s="84"/>
      <c r="L501" s="84"/>
      <c r="M501" s="84"/>
      <c r="N501" s="84"/>
      <c r="O501" s="84"/>
      <c r="P501" s="84"/>
      <c r="Q501" s="84"/>
      <c r="R501" s="84"/>
      <c r="S501" s="84"/>
      <c r="T501" s="84"/>
      <c r="U501" s="84"/>
      <c r="V501" s="84"/>
      <c r="W501" s="84"/>
      <c r="X501" s="84"/>
      <c r="Y501" s="84"/>
      <c r="Z501" s="84"/>
    </row>
    <row r="502" spans="1:26" ht="15">
      <c r="A502" s="83"/>
      <c r="B502" s="84"/>
      <c r="C502" s="84"/>
      <c r="D502" s="84"/>
      <c r="E502" s="84"/>
      <c r="F502" s="84"/>
      <c r="G502" s="84"/>
      <c r="H502" s="84"/>
      <c r="I502" s="84"/>
      <c r="J502" s="84"/>
      <c r="K502" s="84"/>
      <c r="L502" s="84"/>
      <c r="M502" s="84"/>
      <c r="N502" s="84"/>
      <c r="O502" s="84"/>
      <c r="P502" s="84"/>
      <c r="Q502" s="84"/>
      <c r="R502" s="84"/>
      <c r="S502" s="84"/>
      <c r="T502" s="84"/>
      <c r="U502" s="84"/>
      <c r="V502" s="84"/>
      <c r="W502" s="84"/>
      <c r="X502" s="84"/>
      <c r="Y502" s="84"/>
      <c r="Z502" s="84"/>
    </row>
    <row r="503" spans="1:26" ht="15">
      <c r="A503" s="83"/>
      <c r="B503" s="84"/>
      <c r="C503" s="84"/>
      <c r="D503" s="84"/>
      <c r="E503" s="84"/>
      <c r="F503" s="84"/>
      <c r="G503" s="84"/>
      <c r="H503" s="84"/>
      <c r="I503" s="84"/>
      <c r="J503" s="84"/>
      <c r="K503" s="84"/>
      <c r="L503" s="84"/>
      <c r="M503" s="84"/>
      <c r="N503" s="84"/>
      <c r="O503" s="84"/>
      <c r="P503" s="84"/>
      <c r="Q503" s="84"/>
      <c r="R503" s="84"/>
      <c r="S503" s="84"/>
      <c r="T503" s="84"/>
      <c r="U503" s="84"/>
      <c r="V503" s="84"/>
      <c r="W503" s="84"/>
      <c r="X503" s="84"/>
      <c r="Y503" s="84"/>
      <c r="Z503" s="84"/>
    </row>
    <row r="504" spans="1:26" ht="15">
      <c r="A504" s="83"/>
      <c r="B504" s="84"/>
      <c r="C504" s="84"/>
      <c r="D504" s="84"/>
      <c r="E504" s="84"/>
      <c r="F504" s="84"/>
      <c r="G504" s="84"/>
      <c r="H504" s="84"/>
      <c r="I504" s="84"/>
      <c r="J504" s="84"/>
      <c r="K504" s="84"/>
      <c r="L504" s="84"/>
      <c r="M504" s="84"/>
      <c r="N504" s="84"/>
      <c r="O504" s="84"/>
      <c r="P504" s="84"/>
      <c r="Q504" s="84"/>
      <c r="R504" s="84"/>
      <c r="S504" s="84"/>
      <c r="T504" s="84"/>
      <c r="U504" s="84"/>
      <c r="V504" s="84"/>
      <c r="W504" s="84"/>
      <c r="X504" s="84"/>
      <c r="Y504" s="84"/>
      <c r="Z504" s="84"/>
    </row>
    <row r="505" spans="1:26" ht="15">
      <c r="A505" s="83"/>
      <c r="B505" s="84"/>
      <c r="C505" s="84"/>
      <c r="D505" s="84"/>
      <c r="E505" s="84"/>
      <c r="F505" s="84"/>
      <c r="G505" s="84"/>
      <c r="H505" s="84"/>
      <c r="I505" s="84"/>
      <c r="J505" s="84"/>
      <c r="K505" s="84"/>
      <c r="L505" s="84"/>
      <c r="M505" s="84"/>
      <c r="N505" s="84"/>
      <c r="O505" s="84"/>
      <c r="P505" s="84"/>
      <c r="Q505" s="84"/>
      <c r="R505" s="84"/>
      <c r="S505" s="84"/>
      <c r="T505" s="84"/>
      <c r="U505" s="84"/>
      <c r="V505" s="84"/>
      <c r="W505" s="84"/>
      <c r="X505" s="84"/>
      <c r="Y505" s="84"/>
      <c r="Z505" s="84"/>
    </row>
    <row r="506" spans="1:26" ht="15">
      <c r="A506" s="83"/>
      <c r="B506" s="84"/>
      <c r="C506" s="84"/>
      <c r="D506" s="84"/>
      <c r="E506" s="84"/>
      <c r="F506" s="84"/>
      <c r="G506" s="84"/>
      <c r="H506" s="84"/>
      <c r="I506" s="84"/>
      <c r="J506" s="84"/>
      <c r="K506" s="84"/>
      <c r="L506" s="84"/>
      <c r="M506" s="84"/>
      <c r="N506" s="84"/>
      <c r="O506" s="84"/>
      <c r="P506" s="84"/>
      <c r="Q506" s="84"/>
      <c r="R506" s="84"/>
      <c r="S506" s="84"/>
      <c r="T506" s="84"/>
      <c r="U506" s="84"/>
      <c r="V506" s="84"/>
      <c r="W506" s="84"/>
      <c r="X506" s="84"/>
      <c r="Y506" s="84"/>
      <c r="Z506" s="84"/>
    </row>
    <row r="507" spans="1:26" ht="15">
      <c r="A507" s="83"/>
      <c r="B507" s="84"/>
      <c r="C507" s="84"/>
      <c r="D507" s="84"/>
      <c r="E507" s="84"/>
      <c r="F507" s="84"/>
      <c r="G507" s="84"/>
      <c r="H507" s="84"/>
      <c r="I507" s="84"/>
      <c r="J507" s="84"/>
      <c r="K507" s="84"/>
      <c r="L507" s="84"/>
      <c r="M507" s="84"/>
      <c r="N507" s="84"/>
      <c r="O507" s="84"/>
      <c r="P507" s="84"/>
      <c r="Q507" s="84"/>
      <c r="R507" s="84"/>
      <c r="S507" s="84"/>
      <c r="T507" s="84"/>
      <c r="U507" s="84"/>
      <c r="V507" s="84"/>
      <c r="W507" s="84"/>
      <c r="X507" s="84"/>
      <c r="Y507" s="84"/>
      <c r="Z507" s="84"/>
    </row>
    <row r="508" spans="1:26" ht="15">
      <c r="A508" s="83"/>
      <c r="B508" s="84"/>
      <c r="C508" s="84"/>
      <c r="D508" s="84"/>
      <c r="E508" s="84"/>
      <c r="F508" s="84"/>
      <c r="G508" s="84"/>
      <c r="H508" s="84"/>
      <c r="I508" s="84"/>
      <c r="J508" s="84"/>
      <c r="K508" s="84"/>
      <c r="L508" s="84"/>
      <c r="M508" s="84"/>
      <c r="N508" s="84"/>
      <c r="O508" s="84"/>
      <c r="P508" s="84"/>
      <c r="Q508" s="84"/>
      <c r="R508" s="84"/>
      <c r="S508" s="84"/>
      <c r="T508" s="84"/>
      <c r="U508" s="84"/>
      <c r="V508" s="84"/>
      <c r="W508" s="84"/>
      <c r="X508" s="84"/>
      <c r="Y508" s="84"/>
      <c r="Z508" s="84"/>
    </row>
    <row r="509" spans="1:26" ht="15">
      <c r="A509" s="83"/>
      <c r="B509" s="84"/>
      <c r="C509" s="84"/>
      <c r="D509" s="84"/>
      <c r="E509" s="84"/>
      <c r="F509" s="84"/>
      <c r="G509" s="84"/>
      <c r="H509" s="84"/>
      <c r="I509" s="84"/>
      <c r="J509" s="84"/>
      <c r="K509" s="84"/>
      <c r="L509" s="84"/>
      <c r="M509" s="84"/>
      <c r="N509" s="84"/>
      <c r="O509" s="84"/>
      <c r="P509" s="84"/>
      <c r="Q509" s="84"/>
      <c r="R509" s="84"/>
      <c r="S509" s="84"/>
      <c r="T509" s="84"/>
      <c r="U509" s="84"/>
      <c r="V509" s="84"/>
      <c r="W509" s="84"/>
      <c r="X509" s="84"/>
      <c r="Y509" s="84"/>
      <c r="Z509" s="84"/>
    </row>
    <row r="510" spans="1:26" ht="15">
      <c r="A510" s="83"/>
      <c r="B510" s="84"/>
      <c r="C510" s="84"/>
      <c r="D510" s="84"/>
      <c r="E510" s="84"/>
      <c r="F510" s="84"/>
      <c r="G510" s="84"/>
      <c r="H510" s="84"/>
      <c r="I510" s="84"/>
      <c r="J510" s="84"/>
      <c r="K510" s="84"/>
      <c r="L510" s="84"/>
      <c r="M510" s="84"/>
      <c r="N510" s="84"/>
      <c r="O510" s="84"/>
      <c r="P510" s="84"/>
      <c r="Q510" s="84"/>
      <c r="R510" s="84"/>
      <c r="S510" s="84"/>
      <c r="T510" s="84"/>
      <c r="U510" s="84"/>
      <c r="V510" s="84"/>
      <c r="W510" s="84"/>
      <c r="X510" s="84"/>
      <c r="Y510" s="84"/>
      <c r="Z510" s="84"/>
    </row>
    <row r="511" spans="1:26" ht="15">
      <c r="A511" s="83"/>
      <c r="B511" s="84"/>
      <c r="C511" s="84"/>
      <c r="D511" s="84"/>
      <c r="E511" s="84"/>
      <c r="F511" s="84"/>
      <c r="G511" s="84"/>
      <c r="H511" s="84"/>
      <c r="I511" s="84"/>
      <c r="J511" s="84"/>
      <c r="K511" s="84"/>
      <c r="L511" s="84"/>
      <c r="M511" s="84"/>
      <c r="N511" s="84"/>
      <c r="O511" s="84"/>
      <c r="P511" s="84"/>
      <c r="Q511" s="84"/>
      <c r="R511" s="84"/>
      <c r="S511" s="84"/>
      <c r="T511" s="84"/>
      <c r="U511" s="84"/>
      <c r="V511" s="84"/>
      <c r="W511" s="84"/>
      <c r="X511" s="84"/>
      <c r="Y511" s="84"/>
      <c r="Z511" s="84"/>
    </row>
    <row r="512" spans="1:26" ht="15">
      <c r="A512" s="83"/>
      <c r="B512" s="84"/>
      <c r="C512" s="84"/>
      <c r="D512" s="84"/>
      <c r="E512" s="84"/>
      <c r="F512" s="84"/>
      <c r="G512" s="84"/>
      <c r="H512" s="84"/>
      <c r="I512" s="84"/>
      <c r="J512" s="84"/>
      <c r="K512" s="84"/>
      <c r="L512" s="84"/>
      <c r="M512" s="84"/>
      <c r="N512" s="84"/>
      <c r="O512" s="84"/>
      <c r="P512" s="84"/>
      <c r="Q512" s="84"/>
      <c r="R512" s="84"/>
      <c r="S512" s="84"/>
      <c r="T512" s="84"/>
      <c r="U512" s="84"/>
      <c r="V512" s="84"/>
      <c r="W512" s="84"/>
      <c r="X512" s="84"/>
      <c r="Y512" s="84"/>
      <c r="Z512" s="84"/>
    </row>
    <row r="513" spans="1:26" ht="15">
      <c r="A513" s="83"/>
      <c r="B513" s="84"/>
      <c r="C513" s="84"/>
      <c r="D513" s="84"/>
      <c r="E513" s="84"/>
      <c r="F513" s="84"/>
      <c r="G513" s="84"/>
      <c r="H513" s="84"/>
      <c r="I513" s="84"/>
      <c r="J513" s="84"/>
      <c r="K513" s="84"/>
      <c r="L513" s="84"/>
      <c r="M513" s="84"/>
      <c r="N513" s="84"/>
      <c r="O513" s="84"/>
      <c r="P513" s="84"/>
      <c r="Q513" s="84"/>
      <c r="R513" s="84"/>
      <c r="S513" s="84"/>
      <c r="T513" s="84"/>
      <c r="U513" s="84"/>
      <c r="V513" s="84"/>
      <c r="W513" s="84"/>
      <c r="X513" s="84"/>
      <c r="Y513" s="84"/>
      <c r="Z513" s="84"/>
    </row>
    <row r="514" spans="1:26" ht="15">
      <c r="A514" s="83"/>
      <c r="B514" s="84"/>
      <c r="C514" s="84"/>
      <c r="D514" s="84"/>
      <c r="E514" s="84"/>
      <c r="F514" s="84"/>
      <c r="G514" s="84"/>
      <c r="H514" s="84"/>
      <c r="I514" s="84"/>
      <c r="J514" s="84"/>
      <c r="K514" s="84"/>
      <c r="L514" s="84"/>
      <c r="M514" s="84"/>
      <c r="N514" s="84"/>
      <c r="O514" s="84"/>
      <c r="P514" s="84"/>
      <c r="Q514" s="84"/>
      <c r="R514" s="84"/>
      <c r="S514" s="84"/>
      <c r="T514" s="84"/>
      <c r="U514" s="84"/>
      <c r="V514" s="84"/>
      <c r="W514" s="84"/>
      <c r="X514" s="84"/>
      <c r="Y514" s="84"/>
      <c r="Z514" s="84"/>
    </row>
    <row r="515" spans="1:26" ht="15">
      <c r="A515" s="83"/>
      <c r="B515" s="84"/>
      <c r="C515" s="84"/>
      <c r="D515" s="84"/>
      <c r="E515" s="84"/>
      <c r="F515" s="84"/>
      <c r="G515" s="84"/>
      <c r="H515" s="84"/>
      <c r="I515" s="84"/>
      <c r="J515" s="84"/>
      <c r="K515" s="84"/>
      <c r="L515" s="84"/>
      <c r="M515" s="84"/>
      <c r="N515" s="84"/>
      <c r="O515" s="84"/>
      <c r="P515" s="84"/>
      <c r="Q515" s="84"/>
      <c r="R515" s="84"/>
      <c r="S515" s="84"/>
      <c r="T515" s="84"/>
      <c r="U515" s="84"/>
      <c r="V515" s="84"/>
      <c r="W515" s="84"/>
      <c r="X515" s="84"/>
      <c r="Y515" s="84"/>
      <c r="Z515" s="84"/>
    </row>
    <row r="516" spans="1:26" ht="15">
      <c r="A516" s="83"/>
      <c r="B516" s="84"/>
      <c r="C516" s="84"/>
      <c r="D516" s="84"/>
      <c r="E516" s="84"/>
      <c r="F516" s="84"/>
      <c r="G516" s="84"/>
      <c r="H516" s="84"/>
      <c r="I516" s="84"/>
      <c r="J516" s="84"/>
      <c r="K516" s="84"/>
      <c r="L516" s="84"/>
      <c r="M516" s="84"/>
      <c r="N516" s="84"/>
      <c r="O516" s="84"/>
      <c r="P516" s="84"/>
      <c r="Q516" s="84"/>
      <c r="R516" s="84"/>
      <c r="S516" s="84"/>
      <c r="T516" s="84"/>
      <c r="U516" s="84"/>
      <c r="V516" s="84"/>
      <c r="W516" s="84"/>
      <c r="X516" s="84"/>
      <c r="Y516" s="84"/>
      <c r="Z516" s="84"/>
    </row>
    <row r="517" spans="1:26" ht="15">
      <c r="A517" s="83"/>
      <c r="B517" s="84"/>
      <c r="C517" s="84"/>
      <c r="D517" s="84"/>
      <c r="E517" s="84"/>
      <c r="F517" s="84"/>
      <c r="G517" s="84"/>
      <c r="H517" s="84"/>
      <c r="I517" s="84"/>
      <c r="J517" s="84"/>
      <c r="K517" s="84"/>
      <c r="L517" s="84"/>
      <c r="M517" s="84"/>
      <c r="N517" s="84"/>
      <c r="O517" s="84"/>
      <c r="P517" s="84"/>
      <c r="Q517" s="84"/>
      <c r="R517" s="84"/>
      <c r="S517" s="84"/>
      <c r="T517" s="84"/>
      <c r="U517" s="84"/>
      <c r="V517" s="84"/>
      <c r="W517" s="84"/>
      <c r="X517" s="84"/>
      <c r="Y517" s="84"/>
      <c r="Z517" s="84"/>
    </row>
    <row r="518" spans="1:26" ht="15">
      <c r="A518" s="83"/>
      <c r="B518" s="84"/>
      <c r="C518" s="84"/>
      <c r="D518" s="84"/>
      <c r="E518" s="84"/>
      <c r="F518" s="84"/>
      <c r="G518" s="84"/>
      <c r="H518" s="84"/>
      <c r="I518" s="84"/>
      <c r="J518" s="84"/>
      <c r="K518" s="84"/>
      <c r="L518" s="84"/>
      <c r="M518" s="84"/>
      <c r="N518" s="84"/>
      <c r="O518" s="84"/>
      <c r="P518" s="84"/>
      <c r="Q518" s="84"/>
      <c r="R518" s="84"/>
      <c r="S518" s="84"/>
      <c r="T518" s="84"/>
      <c r="U518" s="84"/>
      <c r="V518" s="84"/>
      <c r="W518" s="84"/>
      <c r="X518" s="84"/>
      <c r="Y518" s="84"/>
      <c r="Z518" s="84"/>
    </row>
    <row r="519" spans="1:26" ht="15">
      <c r="A519" s="83"/>
      <c r="B519" s="84"/>
      <c r="C519" s="84"/>
      <c r="D519" s="84"/>
      <c r="E519" s="84"/>
      <c r="F519" s="84"/>
      <c r="G519" s="84"/>
      <c r="H519" s="84"/>
      <c r="I519" s="84"/>
      <c r="J519" s="84"/>
      <c r="K519" s="84"/>
      <c r="L519" s="84"/>
      <c r="M519" s="84"/>
      <c r="N519" s="84"/>
      <c r="O519" s="84"/>
      <c r="P519" s="84"/>
      <c r="Q519" s="84"/>
      <c r="R519" s="84"/>
      <c r="S519" s="84"/>
      <c r="T519" s="84"/>
      <c r="U519" s="84"/>
      <c r="V519" s="84"/>
      <c r="W519" s="84"/>
      <c r="X519" s="84"/>
      <c r="Y519" s="84"/>
      <c r="Z519" s="84"/>
    </row>
    <row r="520" spans="1:26" ht="15">
      <c r="A520" s="83"/>
      <c r="B520" s="84"/>
      <c r="C520" s="84"/>
      <c r="D520" s="84"/>
      <c r="E520" s="84"/>
      <c r="F520" s="84"/>
      <c r="G520" s="84"/>
      <c r="H520" s="84"/>
      <c r="I520" s="84"/>
      <c r="J520" s="84"/>
      <c r="K520" s="84"/>
      <c r="L520" s="84"/>
      <c r="M520" s="84"/>
      <c r="N520" s="84"/>
      <c r="O520" s="84"/>
      <c r="P520" s="84"/>
      <c r="Q520" s="84"/>
      <c r="R520" s="84"/>
      <c r="S520" s="84"/>
      <c r="T520" s="84"/>
      <c r="U520" s="84"/>
      <c r="V520" s="84"/>
      <c r="W520" s="84"/>
      <c r="X520" s="84"/>
      <c r="Y520" s="84"/>
      <c r="Z520" s="84"/>
    </row>
    <row r="521" spans="1:26" ht="15">
      <c r="A521" s="83"/>
      <c r="B521" s="84"/>
      <c r="C521" s="84"/>
      <c r="D521" s="84"/>
      <c r="E521" s="84"/>
      <c r="F521" s="84"/>
      <c r="G521" s="84"/>
      <c r="H521" s="84"/>
      <c r="I521" s="84"/>
      <c r="J521" s="84"/>
      <c r="K521" s="84"/>
      <c r="L521" s="84"/>
      <c r="M521" s="84"/>
      <c r="N521" s="84"/>
      <c r="O521" s="84"/>
      <c r="P521" s="84"/>
      <c r="Q521" s="84"/>
      <c r="R521" s="84"/>
      <c r="S521" s="84"/>
      <c r="T521" s="84"/>
      <c r="U521" s="84"/>
      <c r="V521" s="84"/>
      <c r="W521" s="84"/>
      <c r="X521" s="84"/>
      <c r="Y521" s="84"/>
      <c r="Z521" s="84"/>
    </row>
    <row r="522" spans="1:26" ht="15">
      <c r="A522" s="83"/>
      <c r="B522" s="84"/>
      <c r="C522" s="84"/>
      <c r="D522" s="84"/>
      <c r="E522" s="84"/>
      <c r="F522" s="84"/>
      <c r="G522" s="84"/>
      <c r="H522" s="84"/>
      <c r="I522" s="84"/>
      <c r="J522" s="84"/>
      <c r="K522" s="84"/>
      <c r="L522" s="84"/>
      <c r="M522" s="84"/>
      <c r="N522" s="84"/>
      <c r="O522" s="84"/>
      <c r="P522" s="84"/>
      <c r="Q522" s="84"/>
      <c r="R522" s="84"/>
      <c r="S522" s="84"/>
      <c r="T522" s="84"/>
      <c r="U522" s="84"/>
      <c r="V522" s="84"/>
      <c r="W522" s="84"/>
      <c r="X522" s="84"/>
      <c r="Y522" s="84"/>
      <c r="Z522" s="84"/>
    </row>
    <row r="523" spans="1:26" ht="15">
      <c r="A523" s="83"/>
      <c r="B523" s="84"/>
      <c r="C523" s="84"/>
      <c r="D523" s="84"/>
      <c r="E523" s="84"/>
      <c r="F523" s="84"/>
      <c r="G523" s="84"/>
      <c r="H523" s="84"/>
      <c r="I523" s="84"/>
      <c r="J523" s="84"/>
      <c r="K523" s="84"/>
      <c r="L523" s="84"/>
      <c r="M523" s="84"/>
      <c r="N523" s="84"/>
      <c r="O523" s="84"/>
      <c r="P523" s="84"/>
      <c r="Q523" s="84"/>
      <c r="R523" s="84"/>
      <c r="S523" s="84"/>
      <c r="T523" s="84"/>
      <c r="U523" s="84"/>
      <c r="V523" s="84"/>
      <c r="W523" s="84"/>
      <c r="X523" s="84"/>
      <c r="Y523" s="84"/>
      <c r="Z523" s="84"/>
    </row>
    <row r="524" spans="1:26" ht="15">
      <c r="A524" s="83"/>
      <c r="B524" s="84"/>
      <c r="C524" s="84"/>
      <c r="D524" s="84"/>
      <c r="E524" s="84"/>
      <c r="F524" s="84"/>
      <c r="G524" s="84"/>
      <c r="H524" s="84"/>
      <c r="I524" s="84"/>
      <c r="J524" s="84"/>
      <c r="K524" s="84"/>
      <c r="L524" s="84"/>
      <c r="M524" s="84"/>
      <c r="N524" s="84"/>
      <c r="O524" s="84"/>
      <c r="P524" s="84"/>
      <c r="Q524" s="84"/>
      <c r="R524" s="84"/>
      <c r="S524" s="84"/>
      <c r="T524" s="84"/>
      <c r="U524" s="84"/>
      <c r="V524" s="84"/>
      <c r="W524" s="84"/>
      <c r="X524" s="84"/>
      <c r="Y524" s="84"/>
      <c r="Z524" s="84"/>
    </row>
    <row r="525" spans="1:26" ht="15">
      <c r="A525" s="83"/>
      <c r="B525" s="84"/>
      <c r="C525" s="84"/>
      <c r="D525" s="84"/>
      <c r="E525" s="84"/>
      <c r="F525" s="84"/>
      <c r="G525" s="84"/>
      <c r="H525" s="84"/>
      <c r="I525" s="84"/>
      <c r="J525" s="84"/>
      <c r="K525" s="84"/>
      <c r="L525" s="84"/>
      <c r="M525" s="84"/>
      <c r="N525" s="84"/>
      <c r="O525" s="84"/>
      <c r="P525" s="84"/>
      <c r="Q525" s="84"/>
      <c r="R525" s="84"/>
      <c r="S525" s="84"/>
      <c r="T525" s="84"/>
      <c r="U525" s="84"/>
      <c r="V525" s="84"/>
      <c r="W525" s="84"/>
      <c r="X525" s="84"/>
      <c r="Y525" s="84"/>
      <c r="Z525" s="84"/>
    </row>
    <row r="526" spans="1:26" ht="15">
      <c r="A526" s="83"/>
      <c r="B526" s="84"/>
      <c r="C526" s="84"/>
      <c r="D526" s="84"/>
      <c r="E526" s="84"/>
      <c r="F526" s="84"/>
      <c r="G526" s="84"/>
      <c r="H526" s="84"/>
      <c r="I526" s="84"/>
      <c r="J526" s="84"/>
      <c r="K526" s="84"/>
      <c r="L526" s="84"/>
      <c r="M526" s="84"/>
      <c r="N526" s="84"/>
      <c r="O526" s="84"/>
      <c r="P526" s="84"/>
      <c r="Q526" s="84"/>
      <c r="R526" s="84"/>
      <c r="S526" s="84"/>
      <c r="T526" s="84"/>
      <c r="U526" s="84"/>
      <c r="V526" s="84"/>
      <c r="W526" s="84"/>
      <c r="X526" s="84"/>
      <c r="Y526" s="84"/>
      <c r="Z526" s="84"/>
    </row>
    <row r="527" spans="1:26" ht="15">
      <c r="A527" s="83"/>
      <c r="B527" s="84"/>
      <c r="C527" s="84"/>
      <c r="D527" s="84"/>
      <c r="E527" s="84"/>
      <c r="F527" s="84"/>
      <c r="G527" s="84"/>
      <c r="H527" s="84"/>
      <c r="I527" s="84"/>
      <c r="J527" s="84"/>
      <c r="K527" s="84"/>
      <c r="L527" s="84"/>
      <c r="M527" s="84"/>
      <c r="N527" s="84"/>
      <c r="O527" s="84"/>
      <c r="P527" s="84"/>
      <c r="Q527" s="84"/>
      <c r="R527" s="84"/>
      <c r="S527" s="84"/>
      <c r="T527" s="84"/>
      <c r="U527" s="84"/>
      <c r="V527" s="84"/>
      <c r="W527" s="84"/>
      <c r="X527" s="84"/>
      <c r="Y527" s="84"/>
      <c r="Z527" s="84"/>
    </row>
    <row r="528" spans="1:26" ht="15">
      <c r="A528" s="83"/>
      <c r="B528" s="84"/>
      <c r="C528" s="84"/>
      <c r="D528" s="84"/>
      <c r="E528" s="84"/>
      <c r="F528" s="84"/>
      <c r="G528" s="84"/>
      <c r="H528" s="84"/>
      <c r="I528" s="84"/>
      <c r="J528" s="84"/>
      <c r="K528" s="84"/>
      <c r="L528" s="84"/>
      <c r="M528" s="84"/>
      <c r="N528" s="84"/>
      <c r="O528" s="84"/>
      <c r="P528" s="84"/>
      <c r="Q528" s="84"/>
      <c r="R528" s="84"/>
      <c r="S528" s="84"/>
      <c r="T528" s="84"/>
      <c r="U528" s="84"/>
      <c r="V528" s="84"/>
      <c r="W528" s="84"/>
      <c r="X528" s="84"/>
      <c r="Y528" s="84"/>
      <c r="Z528" s="84"/>
    </row>
    <row r="529" spans="1:26" ht="15">
      <c r="A529" s="83"/>
      <c r="B529" s="84"/>
      <c r="C529" s="84"/>
      <c r="D529" s="84"/>
      <c r="E529" s="84"/>
      <c r="F529" s="84"/>
      <c r="G529" s="84"/>
      <c r="H529" s="84"/>
      <c r="I529" s="84"/>
      <c r="J529" s="84"/>
      <c r="K529" s="84"/>
      <c r="L529" s="84"/>
      <c r="M529" s="84"/>
      <c r="N529" s="84"/>
      <c r="O529" s="84"/>
      <c r="P529" s="84"/>
      <c r="Q529" s="84"/>
      <c r="R529" s="84"/>
      <c r="S529" s="84"/>
      <c r="T529" s="84"/>
      <c r="U529" s="84"/>
      <c r="V529" s="84"/>
      <c r="W529" s="84"/>
      <c r="X529" s="84"/>
      <c r="Y529" s="84"/>
      <c r="Z529" s="84"/>
    </row>
    <row r="530" spans="1:26" ht="15">
      <c r="A530" s="83"/>
      <c r="B530" s="84"/>
      <c r="C530" s="84"/>
      <c r="D530" s="84"/>
      <c r="E530" s="84"/>
      <c r="F530" s="84"/>
      <c r="G530" s="84"/>
      <c r="H530" s="84"/>
      <c r="I530" s="84"/>
      <c r="J530" s="84"/>
      <c r="K530" s="84"/>
      <c r="L530" s="84"/>
      <c r="M530" s="84"/>
      <c r="N530" s="84"/>
      <c r="O530" s="84"/>
      <c r="P530" s="84"/>
      <c r="Q530" s="84"/>
      <c r="R530" s="84"/>
      <c r="S530" s="84"/>
      <c r="T530" s="84"/>
      <c r="U530" s="84"/>
      <c r="V530" s="84"/>
      <c r="W530" s="84"/>
      <c r="X530" s="84"/>
      <c r="Y530" s="84"/>
      <c r="Z530" s="84"/>
    </row>
    <row r="531" spans="1:26" ht="15">
      <c r="A531" s="83"/>
      <c r="B531" s="84"/>
      <c r="C531" s="84"/>
      <c r="D531" s="84"/>
      <c r="E531" s="84"/>
      <c r="F531" s="84"/>
      <c r="G531" s="84"/>
      <c r="H531" s="84"/>
      <c r="I531" s="84"/>
      <c r="J531" s="84"/>
      <c r="K531" s="84"/>
      <c r="L531" s="84"/>
      <c r="M531" s="84"/>
      <c r="N531" s="84"/>
      <c r="O531" s="84"/>
      <c r="P531" s="84"/>
      <c r="Q531" s="84"/>
      <c r="R531" s="84"/>
      <c r="S531" s="84"/>
      <c r="T531" s="84"/>
      <c r="U531" s="84"/>
      <c r="V531" s="84"/>
      <c r="W531" s="84"/>
      <c r="X531" s="84"/>
      <c r="Y531" s="84"/>
      <c r="Z531" s="84"/>
    </row>
    <row r="532" spans="1:26" ht="15">
      <c r="A532" s="83"/>
      <c r="B532" s="84"/>
      <c r="C532" s="84"/>
      <c r="D532" s="84"/>
      <c r="E532" s="84"/>
      <c r="F532" s="84"/>
      <c r="G532" s="84"/>
      <c r="H532" s="84"/>
      <c r="I532" s="84"/>
      <c r="J532" s="84"/>
      <c r="K532" s="84"/>
      <c r="L532" s="84"/>
      <c r="M532" s="84"/>
      <c r="N532" s="84"/>
      <c r="O532" s="84"/>
      <c r="P532" s="84"/>
      <c r="Q532" s="84"/>
      <c r="R532" s="84"/>
      <c r="S532" s="84"/>
      <c r="T532" s="84"/>
      <c r="U532" s="84"/>
      <c r="V532" s="84"/>
      <c r="W532" s="84"/>
      <c r="X532" s="84"/>
      <c r="Y532" s="84"/>
      <c r="Z532" s="84"/>
    </row>
    <row r="533" spans="1:26" ht="15">
      <c r="A533" s="83"/>
      <c r="B533" s="84"/>
      <c r="C533" s="84"/>
      <c r="D533" s="84"/>
      <c r="E533" s="84"/>
      <c r="F533" s="84"/>
      <c r="G533" s="84"/>
      <c r="H533" s="84"/>
      <c r="I533" s="84"/>
      <c r="J533" s="84"/>
      <c r="K533" s="84"/>
      <c r="L533" s="84"/>
      <c r="M533" s="84"/>
      <c r="N533" s="84"/>
      <c r="O533" s="84"/>
      <c r="P533" s="84"/>
      <c r="Q533" s="84"/>
      <c r="R533" s="84"/>
      <c r="S533" s="84"/>
      <c r="T533" s="84"/>
      <c r="U533" s="84"/>
      <c r="V533" s="84"/>
      <c r="W533" s="84"/>
      <c r="X533" s="84"/>
      <c r="Y533" s="84"/>
      <c r="Z533" s="84"/>
    </row>
    <row r="534" spans="1:26" ht="15">
      <c r="A534" s="83"/>
      <c r="B534" s="84"/>
      <c r="C534" s="84"/>
      <c r="D534" s="84"/>
      <c r="E534" s="84"/>
      <c r="F534" s="84"/>
      <c r="G534" s="84"/>
      <c r="H534" s="84"/>
      <c r="I534" s="84"/>
      <c r="J534" s="84"/>
      <c r="K534" s="84"/>
      <c r="L534" s="84"/>
      <c r="M534" s="84"/>
      <c r="N534" s="84"/>
      <c r="O534" s="84"/>
      <c r="P534" s="84"/>
      <c r="Q534" s="84"/>
      <c r="R534" s="84"/>
      <c r="S534" s="84"/>
      <c r="T534" s="84"/>
      <c r="U534" s="84"/>
      <c r="V534" s="84"/>
      <c r="W534" s="84"/>
      <c r="X534" s="84"/>
      <c r="Y534" s="84"/>
      <c r="Z534" s="84"/>
    </row>
    <row r="535" spans="1:26" ht="15">
      <c r="A535" s="83"/>
      <c r="B535" s="84"/>
      <c r="C535" s="84"/>
      <c r="D535" s="84"/>
      <c r="E535" s="84"/>
      <c r="F535" s="84"/>
      <c r="G535" s="84"/>
      <c r="H535" s="84"/>
      <c r="I535" s="84"/>
      <c r="J535" s="84"/>
      <c r="K535" s="84"/>
      <c r="L535" s="84"/>
      <c r="M535" s="84"/>
      <c r="N535" s="84"/>
      <c r="O535" s="84"/>
      <c r="P535" s="84"/>
      <c r="Q535" s="84"/>
      <c r="R535" s="84"/>
      <c r="S535" s="84"/>
      <c r="T535" s="84"/>
      <c r="U535" s="84"/>
      <c r="V535" s="84"/>
      <c r="W535" s="84"/>
      <c r="X535" s="84"/>
      <c r="Y535" s="84"/>
      <c r="Z535" s="84"/>
    </row>
    <row r="536" spans="1:26" ht="15">
      <c r="A536" s="83"/>
      <c r="B536" s="84"/>
      <c r="C536" s="84"/>
      <c r="D536" s="84"/>
      <c r="E536" s="84"/>
      <c r="F536" s="84"/>
      <c r="G536" s="84"/>
      <c r="H536" s="84"/>
      <c r="I536" s="84"/>
      <c r="J536" s="84"/>
      <c r="K536" s="84"/>
      <c r="L536" s="84"/>
      <c r="M536" s="84"/>
      <c r="N536" s="84"/>
      <c r="O536" s="84"/>
      <c r="P536" s="84"/>
      <c r="Q536" s="84"/>
      <c r="R536" s="84"/>
      <c r="S536" s="84"/>
      <c r="T536" s="84"/>
      <c r="U536" s="84"/>
      <c r="V536" s="84"/>
      <c r="W536" s="84"/>
      <c r="X536" s="84"/>
      <c r="Y536" s="84"/>
      <c r="Z536" s="84"/>
    </row>
    <row r="537" spans="1:26" ht="15">
      <c r="A537" s="83"/>
      <c r="B537" s="84"/>
      <c r="C537" s="84"/>
      <c r="D537" s="84"/>
      <c r="E537" s="84"/>
      <c r="F537" s="84"/>
      <c r="G537" s="84"/>
      <c r="H537" s="84"/>
      <c r="I537" s="84"/>
      <c r="J537" s="84"/>
      <c r="K537" s="84"/>
      <c r="L537" s="84"/>
      <c r="M537" s="84"/>
      <c r="N537" s="84"/>
      <c r="O537" s="84"/>
      <c r="P537" s="84"/>
      <c r="Q537" s="84"/>
      <c r="R537" s="84"/>
      <c r="S537" s="84"/>
      <c r="T537" s="84"/>
      <c r="U537" s="84"/>
      <c r="V537" s="84"/>
      <c r="W537" s="84"/>
      <c r="X537" s="84"/>
      <c r="Y537" s="84"/>
      <c r="Z537" s="84"/>
    </row>
    <row r="538" spans="1:26" ht="15">
      <c r="A538" s="83"/>
      <c r="B538" s="84"/>
      <c r="C538" s="84"/>
      <c r="D538" s="84"/>
      <c r="E538" s="84"/>
      <c r="F538" s="84"/>
      <c r="G538" s="84"/>
      <c r="H538" s="84"/>
      <c r="I538" s="84"/>
      <c r="J538" s="84"/>
      <c r="K538" s="84"/>
      <c r="L538" s="84"/>
      <c r="M538" s="84"/>
      <c r="N538" s="84"/>
      <c r="O538" s="84"/>
      <c r="P538" s="84"/>
      <c r="Q538" s="84"/>
      <c r="R538" s="84"/>
      <c r="S538" s="84"/>
      <c r="T538" s="84"/>
      <c r="U538" s="84"/>
      <c r="V538" s="84"/>
      <c r="W538" s="84"/>
      <c r="X538" s="84"/>
      <c r="Y538" s="84"/>
      <c r="Z538" s="84"/>
    </row>
    <row r="539" spans="1:26" ht="15">
      <c r="A539" s="83"/>
      <c r="B539" s="84"/>
      <c r="C539" s="84"/>
      <c r="D539" s="84"/>
      <c r="E539" s="84"/>
      <c r="F539" s="84"/>
      <c r="G539" s="84"/>
      <c r="H539" s="84"/>
      <c r="I539" s="84"/>
      <c r="J539" s="84"/>
      <c r="K539" s="84"/>
      <c r="L539" s="84"/>
      <c r="M539" s="84"/>
      <c r="N539" s="84"/>
      <c r="O539" s="84"/>
      <c r="P539" s="84"/>
      <c r="Q539" s="84"/>
      <c r="R539" s="84"/>
      <c r="S539" s="84"/>
      <c r="T539" s="84"/>
      <c r="U539" s="84"/>
      <c r="V539" s="84"/>
      <c r="W539" s="84"/>
      <c r="X539" s="84"/>
      <c r="Y539" s="84"/>
      <c r="Z539" s="84"/>
    </row>
    <row r="540" spans="1:26" ht="15">
      <c r="A540" s="83"/>
      <c r="B540" s="84"/>
      <c r="C540" s="84"/>
      <c r="D540" s="84"/>
      <c r="E540" s="84"/>
      <c r="F540" s="84"/>
      <c r="G540" s="84"/>
      <c r="H540" s="84"/>
      <c r="I540" s="84"/>
      <c r="J540" s="84"/>
      <c r="K540" s="84"/>
      <c r="L540" s="84"/>
      <c r="M540" s="84"/>
      <c r="N540" s="84"/>
      <c r="O540" s="84"/>
      <c r="P540" s="84"/>
      <c r="Q540" s="84"/>
      <c r="R540" s="84"/>
      <c r="S540" s="84"/>
      <c r="T540" s="84"/>
      <c r="U540" s="84"/>
      <c r="V540" s="84"/>
      <c r="W540" s="84"/>
      <c r="X540" s="84"/>
      <c r="Y540" s="84"/>
      <c r="Z540" s="84"/>
    </row>
    <row r="541" spans="1:26" ht="15">
      <c r="A541" s="83"/>
      <c r="B541" s="84"/>
      <c r="C541" s="84"/>
      <c r="D541" s="84"/>
      <c r="E541" s="84"/>
      <c r="F541" s="84"/>
      <c r="G541" s="84"/>
      <c r="H541" s="84"/>
      <c r="I541" s="84"/>
      <c r="J541" s="84"/>
      <c r="K541" s="84"/>
      <c r="L541" s="84"/>
      <c r="M541" s="84"/>
      <c r="N541" s="84"/>
      <c r="O541" s="84"/>
      <c r="P541" s="84"/>
      <c r="Q541" s="84"/>
      <c r="R541" s="84"/>
      <c r="S541" s="84"/>
      <c r="T541" s="84"/>
      <c r="U541" s="84"/>
      <c r="V541" s="84"/>
      <c r="W541" s="84"/>
      <c r="X541" s="84"/>
      <c r="Y541" s="84"/>
      <c r="Z541" s="84"/>
    </row>
    <row r="542" spans="1:26" ht="15">
      <c r="A542" s="83"/>
      <c r="B542" s="84"/>
      <c r="C542" s="84"/>
      <c r="D542" s="84"/>
      <c r="E542" s="84"/>
      <c r="F542" s="84"/>
      <c r="G542" s="84"/>
      <c r="H542" s="84"/>
      <c r="I542" s="84"/>
      <c r="J542" s="84"/>
      <c r="K542" s="84"/>
      <c r="L542" s="84"/>
      <c r="M542" s="84"/>
      <c r="N542" s="84"/>
      <c r="O542" s="84"/>
      <c r="P542" s="84"/>
      <c r="Q542" s="84"/>
      <c r="R542" s="84"/>
      <c r="S542" s="84"/>
      <c r="T542" s="84"/>
      <c r="U542" s="84"/>
      <c r="V542" s="84"/>
      <c r="W542" s="84"/>
      <c r="X542" s="84"/>
      <c r="Y542" s="84"/>
      <c r="Z542" s="84"/>
    </row>
    <row r="543" spans="1:26" ht="15">
      <c r="A543" s="83"/>
      <c r="B543" s="84"/>
      <c r="C543" s="84"/>
      <c r="D543" s="84"/>
      <c r="E543" s="84"/>
      <c r="F543" s="84"/>
      <c r="G543" s="84"/>
      <c r="H543" s="84"/>
      <c r="I543" s="84"/>
      <c r="J543" s="84"/>
      <c r="K543" s="84"/>
      <c r="L543" s="84"/>
      <c r="M543" s="84"/>
      <c r="N543" s="84"/>
      <c r="O543" s="84"/>
      <c r="P543" s="84"/>
      <c r="Q543" s="84"/>
      <c r="R543" s="84"/>
      <c r="S543" s="84"/>
      <c r="T543" s="84"/>
      <c r="U543" s="84"/>
      <c r="V543" s="84"/>
      <c r="W543" s="84"/>
      <c r="X543" s="84"/>
      <c r="Y543" s="84"/>
      <c r="Z543" s="84"/>
    </row>
    <row r="544" spans="1:26" ht="15">
      <c r="A544" s="83"/>
      <c r="B544" s="84"/>
      <c r="C544" s="84"/>
      <c r="D544" s="84"/>
      <c r="E544" s="84"/>
      <c r="F544" s="84"/>
      <c r="G544" s="84"/>
      <c r="H544" s="84"/>
      <c r="I544" s="84"/>
      <c r="J544" s="84"/>
      <c r="K544" s="84"/>
      <c r="L544" s="84"/>
      <c r="M544" s="84"/>
      <c r="N544" s="84"/>
      <c r="O544" s="84"/>
      <c r="P544" s="84"/>
      <c r="Q544" s="84"/>
      <c r="R544" s="84"/>
      <c r="S544" s="84"/>
      <c r="T544" s="84"/>
      <c r="U544" s="84"/>
      <c r="V544" s="84"/>
      <c r="W544" s="84"/>
      <c r="X544" s="84"/>
      <c r="Y544" s="84"/>
      <c r="Z544" s="84"/>
    </row>
    <row r="545" spans="1:26" ht="15">
      <c r="A545" s="83"/>
      <c r="B545" s="84"/>
      <c r="C545" s="84"/>
      <c r="D545" s="84"/>
      <c r="E545" s="84"/>
      <c r="F545" s="84"/>
      <c r="G545" s="84"/>
      <c r="H545" s="84"/>
      <c r="I545" s="84"/>
      <c r="J545" s="84"/>
      <c r="K545" s="84"/>
      <c r="L545" s="84"/>
      <c r="M545" s="84"/>
      <c r="N545" s="84"/>
      <c r="O545" s="84"/>
      <c r="P545" s="84"/>
      <c r="Q545" s="84"/>
      <c r="R545" s="84"/>
      <c r="S545" s="84"/>
      <c r="T545" s="84"/>
      <c r="U545" s="84"/>
      <c r="V545" s="84"/>
      <c r="W545" s="84"/>
      <c r="X545" s="84"/>
      <c r="Y545" s="84"/>
      <c r="Z545" s="84"/>
    </row>
    <row r="546" spans="1:26" ht="15">
      <c r="A546" s="83"/>
      <c r="B546" s="84"/>
      <c r="C546" s="84"/>
      <c r="D546" s="84"/>
      <c r="E546" s="84"/>
      <c r="F546" s="84"/>
      <c r="G546" s="84"/>
      <c r="H546" s="84"/>
      <c r="I546" s="84"/>
      <c r="J546" s="84"/>
      <c r="K546" s="84"/>
      <c r="L546" s="84"/>
      <c r="M546" s="84"/>
      <c r="N546" s="84"/>
      <c r="O546" s="84"/>
      <c r="P546" s="84"/>
      <c r="Q546" s="84"/>
      <c r="R546" s="84"/>
      <c r="S546" s="84"/>
      <c r="T546" s="84"/>
      <c r="U546" s="84"/>
      <c r="V546" s="84"/>
      <c r="W546" s="84"/>
      <c r="X546" s="84"/>
      <c r="Y546" s="84"/>
      <c r="Z546" s="84"/>
    </row>
    <row r="547" spans="1:26" ht="15">
      <c r="A547" s="83"/>
      <c r="B547" s="84"/>
      <c r="C547" s="84"/>
      <c r="D547" s="84"/>
      <c r="E547" s="84"/>
      <c r="F547" s="84"/>
      <c r="G547" s="84"/>
      <c r="H547" s="84"/>
      <c r="I547" s="84"/>
      <c r="J547" s="84"/>
      <c r="K547" s="84"/>
      <c r="L547" s="84"/>
      <c r="M547" s="84"/>
      <c r="N547" s="84"/>
      <c r="O547" s="84"/>
      <c r="P547" s="84"/>
      <c r="Q547" s="84"/>
      <c r="R547" s="84"/>
      <c r="S547" s="84"/>
      <c r="T547" s="84"/>
      <c r="U547" s="84"/>
      <c r="V547" s="84"/>
      <c r="W547" s="84"/>
      <c r="X547" s="84"/>
      <c r="Y547" s="84"/>
      <c r="Z547" s="84"/>
    </row>
    <row r="548" spans="1:26" ht="15">
      <c r="A548" s="83"/>
      <c r="B548" s="84"/>
      <c r="C548" s="84"/>
      <c r="D548" s="84"/>
      <c r="E548" s="84"/>
      <c r="F548" s="84"/>
      <c r="G548" s="84"/>
      <c r="H548" s="84"/>
      <c r="I548" s="84"/>
      <c r="J548" s="84"/>
      <c r="K548" s="84"/>
      <c r="L548" s="84"/>
      <c r="M548" s="84"/>
      <c r="N548" s="84"/>
      <c r="O548" s="84"/>
      <c r="P548" s="84"/>
      <c r="Q548" s="84"/>
      <c r="R548" s="84"/>
      <c r="S548" s="84"/>
      <c r="T548" s="84"/>
      <c r="U548" s="84"/>
      <c r="V548" s="84"/>
      <c r="W548" s="84"/>
      <c r="X548" s="84"/>
      <c r="Y548" s="84"/>
      <c r="Z548" s="84"/>
    </row>
    <row r="549" spans="1:26" ht="15">
      <c r="A549" s="83"/>
      <c r="B549" s="84"/>
      <c r="C549" s="84"/>
      <c r="D549" s="84"/>
      <c r="E549" s="84"/>
      <c r="F549" s="84"/>
      <c r="G549" s="84"/>
      <c r="H549" s="84"/>
      <c r="I549" s="84"/>
      <c r="J549" s="84"/>
      <c r="K549" s="84"/>
      <c r="L549" s="84"/>
      <c r="M549" s="84"/>
      <c r="N549" s="84"/>
      <c r="O549" s="84"/>
      <c r="P549" s="84"/>
      <c r="Q549" s="84"/>
      <c r="R549" s="84"/>
      <c r="S549" s="84"/>
      <c r="T549" s="84"/>
      <c r="U549" s="84"/>
      <c r="V549" s="84"/>
      <c r="W549" s="84"/>
      <c r="X549" s="84"/>
      <c r="Y549" s="84"/>
      <c r="Z549" s="84"/>
    </row>
    <row r="550" spans="1:26" ht="15">
      <c r="A550" s="83"/>
      <c r="B550" s="84"/>
      <c r="C550" s="84"/>
      <c r="D550" s="84"/>
      <c r="E550" s="84"/>
      <c r="F550" s="84"/>
      <c r="G550" s="84"/>
      <c r="H550" s="84"/>
      <c r="I550" s="84"/>
      <c r="J550" s="84"/>
      <c r="K550" s="84"/>
      <c r="L550" s="84"/>
      <c r="M550" s="84"/>
      <c r="N550" s="84"/>
      <c r="O550" s="84"/>
      <c r="P550" s="84"/>
      <c r="Q550" s="84"/>
      <c r="R550" s="84"/>
      <c r="S550" s="84"/>
      <c r="T550" s="84"/>
      <c r="U550" s="84"/>
      <c r="V550" s="84"/>
      <c r="W550" s="84"/>
      <c r="X550" s="84"/>
      <c r="Y550" s="84"/>
      <c r="Z550" s="84"/>
    </row>
    <row r="551" spans="1:26" ht="15">
      <c r="A551" s="83"/>
      <c r="B551" s="84"/>
      <c r="C551" s="84"/>
      <c r="D551" s="84"/>
      <c r="E551" s="84"/>
      <c r="F551" s="84"/>
      <c r="G551" s="84"/>
      <c r="H551" s="84"/>
      <c r="I551" s="84"/>
      <c r="J551" s="84"/>
      <c r="K551" s="84"/>
      <c r="L551" s="84"/>
      <c r="M551" s="84"/>
      <c r="N551" s="84"/>
      <c r="O551" s="84"/>
      <c r="P551" s="84"/>
      <c r="Q551" s="84"/>
      <c r="R551" s="84"/>
      <c r="S551" s="84"/>
      <c r="T551" s="84"/>
      <c r="U551" s="84"/>
      <c r="V551" s="84"/>
      <c r="W551" s="84"/>
      <c r="X551" s="84"/>
      <c r="Y551" s="84"/>
      <c r="Z551" s="84"/>
    </row>
    <row r="552" spans="1:26" ht="15">
      <c r="A552" s="83"/>
      <c r="B552" s="84"/>
      <c r="C552" s="84"/>
      <c r="D552" s="84"/>
      <c r="E552" s="84"/>
      <c r="F552" s="84"/>
      <c r="G552" s="84"/>
      <c r="H552" s="84"/>
      <c r="I552" s="84"/>
      <c r="J552" s="84"/>
      <c r="K552" s="84"/>
      <c r="L552" s="84"/>
      <c r="M552" s="84"/>
      <c r="N552" s="84"/>
      <c r="O552" s="84"/>
      <c r="P552" s="84"/>
      <c r="Q552" s="84"/>
      <c r="R552" s="84"/>
      <c r="S552" s="84"/>
      <c r="T552" s="84"/>
      <c r="U552" s="84"/>
      <c r="V552" s="84"/>
      <c r="W552" s="84"/>
      <c r="X552" s="84"/>
      <c r="Y552" s="84"/>
      <c r="Z552" s="84"/>
    </row>
    <row r="553" spans="1:26" ht="15">
      <c r="A553" s="83"/>
      <c r="B553" s="84"/>
      <c r="C553" s="84"/>
      <c r="D553" s="84"/>
      <c r="E553" s="84"/>
      <c r="F553" s="84"/>
      <c r="G553" s="84"/>
      <c r="H553" s="84"/>
      <c r="I553" s="84"/>
      <c r="J553" s="84"/>
      <c r="K553" s="84"/>
      <c r="L553" s="84"/>
      <c r="M553" s="84"/>
      <c r="N553" s="84"/>
      <c r="O553" s="84"/>
      <c r="P553" s="84"/>
      <c r="Q553" s="84"/>
      <c r="R553" s="84"/>
      <c r="S553" s="84"/>
      <c r="T553" s="84"/>
      <c r="U553" s="84"/>
      <c r="V553" s="84"/>
      <c r="W553" s="84"/>
      <c r="X553" s="84"/>
      <c r="Y553" s="84"/>
      <c r="Z553" s="84"/>
    </row>
    <row r="554" spans="1:26" ht="15">
      <c r="A554" s="83"/>
      <c r="B554" s="84"/>
      <c r="C554" s="84"/>
      <c r="D554" s="84"/>
      <c r="E554" s="84"/>
      <c r="F554" s="84"/>
      <c r="G554" s="84"/>
      <c r="H554" s="84"/>
      <c r="I554" s="84"/>
      <c r="J554" s="84"/>
      <c r="K554" s="84"/>
      <c r="L554" s="84"/>
      <c r="M554" s="84"/>
      <c r="N554" s="84"/>
      <c r="O554" s="84"/>
      <c r="P554" s="84"/>
      <c r="Q554" s="84"/>
      <c r="R554" s="84"/>
      <c r="S554" s="84"/>
      <c r="T554" s="84"/>
      <c r="U554" s="84"/>
      <c r="V554" s="84"/>
      <c r="W554" s="84"/>
      <c r="X554" s="84"/>
      <c r="Y554" s="84"/>
      <c r="Z554" s="84"/>
    </row>
    <row r="555" spans="1:26" ht="15">
      <c r="A555" s="83"/>
      <c r="B555" s="84"/>
      <c r="C555" s="84"/>
      <c r="D555" s="84"/>
      <c r="E555" s="84"/>
      <c r="F555" s="84"/>
      <c r="G555" s="84"/>
      <c r="H555" s="84"/>
      <c r="I555" s="84"/>
      <c r="J555" s="84"/>
      <c r="K555" s="84"/>
      <c r="L555" s="84"/>
      <c r="M555" s="84"/>
      <c r="N555" s="84"/>
      <c r="O555" s="84"/>
      <c r="P555" s="84"/>
      <c r="Q555" s="84"/>
      <c r="R555" s="84"/>
      <c r="S555" s="84"/>
      <c r="T555" s="84"/>
      <c r="U555" s="84"/>
      <c r="V555" s="84"/>
      <c r="W555" s="84"/>
      <c r="X555" s="84"/>
      <c r="Y555" s="84"/>
      <c r="Z555" s="84"/>
    </row>
    <row r="556" spans="1:26" ht="15">
      <c r="A556" s="83"/>
      <c r="B556" s="84"/>
      <c r="C556" s="84"/>
      <c r="D556" s="84"/>
      <c r="E556" s="84"/>
      <c r="F556" s="84"/>
      <c r="G556" s="84"/>
      <c r="H556" s="84"/>
      <c r="I556" s="84"/>
      <c r="J556" s="84"/>
      <c r="K556" s="84"/>
      <c r="L556" s="84"/>
      <c r="M556" s="84"/>
      <c r="N556" s="84"/>
      <c r="O556" s="84"/>
      <c r="P556" s="84"/>
      <c r="Q556" s="84"/>
      <c r="R556" s="84"/>
      <c r="S556" s="84"/>
      <c r="T556" s="84"/>
      <c r="U556" s="84"/>
      <c r="V556" s="84"/>
      <c r="W556" s="84"/>
      <c r="X556" s="84"/>
      <c r="Y556" s="84"/>
      <c r="Z556" s="84"/>
    </row>
    <row r="557" spans="1:26" ht="15">
      <c r="A557" s="83"/>
      <c r="B557" s="84"/>
      <c r="C557" s="84"/>
      <c r="D557" s="84"/>
      <c r="E557" s="84"/>
      <c r="F557" s="84"/>
      <c r="G557" s="84"/>
      <c r="H557" s="84"/>
      <c r="I557" s="84"/>
      <c r="J557" s="84"/>
      <c r="K557" s="84"/>
      <c r="L557" s="84"/>
      <c r="M557" s="84"/>
      <c r="N557" s="84"/>
      <c r="O557" s="84"/>
      <c r="P557" s="84"/>
      <c r="Q557" s="84"/>
      <c r="R557" s="84"/>
      <c r="S557" s="84"/>
      <c r="T557" s="84"/>
      <c r="U557" s="84"/>
      <c r="V557" s="84"/>
      <c r="W557" s="84"/>
      <c r="X557" s="84"/>
      <c r="Y557" s="84"/>
      <c r="Z557" s="84"/>
    </row>
    <row r="558" spans="1:26" ht="15">
      <c r="A558" s="83"/>
      <c r="B558" s="84"/>
      <c r="C558" s="84"/>
      <c r="D558" s="84"/>
      <c r="E558" s="84"/>
      <c r="F558" s="84"/>
      <c r="G558" s="84"/>
      <c r="H558" s="84"/>
      <c r="I558" s="84"/>
      <c r="J558" s="84"/>
      <c r="K558" s="84"/>
      <c r="L558" s="84"/>
      <c r="M558" s="84"/>
      <c r="N558" s="84"/>
      <c r="O558" s="84"/>
      <c r="P558" s="84"/>
      <c r="Q558" s="84"/>
      <c r="R558" s="84"/>
      <c r="S558" s="84"/>
      <c r="T558" s="84"/>
      <c r="U558" s="84"/>
      <c r="V558" s="84"/>
      <c r="W558" s="84"/>
      <c r="X558" s="84"/>
      <c r="Y558" s="84"/>
      <c r="Z558" s="84"/>
    </row>
    <row r="559" spans="1:26" ht="15">
      <c r="A559" s="83"/>
      <c r="B559" s="84"/>
      <c r="C559" s="84"/>
      <c r="D559" s="84"/>
      <c r="E559" s="84"/>
      <c r="F559" s="84"/>
      <c r="G559" s="84"/>
      <c r="H559" s="84"/>
      <c r="I559" s="84"/>
      <c r="J559" s="84"/>
      <c r="K559" s="84"/>
      <c r="L559" s="84"/>
      <c r="M559" s="84"/>
      <c r="N559" s="84"/>
      <c r="O559" s="84"/>
      <c r="P559" s="84"/>
      <c r="Q559" s="84"/>
      <c r="R559" s="84"/>
      <c r="S559" s="84"/>
      <c r="T559" s="84"/>
      <c r="U559" s="84"/>
      <c r="V559" s="84"/>
      <c r="W559" s="84"/>
      <c r="X559" s="84"/>
      <c r="Y559" s="84"/>
      <c r="Z559" s="84"/>
    </row>
    <row r="560" spans="1:26" ht="15">
      <c r="A560" s="83"/>
      <c r="B560" s="84"/>
      <c r="C560" s="84"/>
      <c r="D560" s="84"/>
      <c r="E560" s="84"/>
      <c r="F560" s="84"/>
      <c r="G560" s="84"/>
      <c r="H560" s="84"/>
      <c r="I560" s="84"/>
      <c r="J560" s="84"/>
      <c r="K560" s="84"/>
      <c r="L560" s="84"/>
      <c r="M560" s="84"/>
      <c r="N560" s="84"/>
      <c r="O560" s="84"/>
      <c r="P560" s="84"/>
      <c r="Q560" s="84"/>
      <c r="R560" s="84"/>
      <c r="S560" s="84"/>
      <c r="T560" s="84"/>
      <c r="U560" s="84"/>
      <c r="V560" s="84"/>
      <c r="W560" s="84"/>
      <c r="X560" s="84"/>
      <c r="Y560" s="84"/>
      <c r="Z560" s="84"/>
    </row>
    <row r="561" spans="1:26" ht="15">
      <c r="A561" s="83"/>
      <c r="B561" s="84"/>
      <c r="C561" s="84"/>
      <c r="D561" s="84"/>
      <c r="E561" s="84"/>
      <c r="F561" s="84"/>
      <c r="G561" s="84"/>
      <c r="H561" s="84"/>
      <c r="I561" s="84"/>
      <c r="J561" s="84"/>
      <c r="K561" s="84"/>
      <c r="L561" s="84"/>
      <c r="M561" s="84"/>
      <c r="N561" s="84"/>
      <c r="O561" s="84"/>
      <c r="P561" s="84"/>
      <c r="Q561" s="84"/>
      <c r="R561" s="84"/>
      <c r="S561" s="84"/>
      <c r="T561" s="84"/>
      <c r="U561" s="84"/>
      <c r="V561" s="84"/>
      <c r="W561" s="84"/>
      <c r="X561" s="84"/>
      <c r="Y561" s="84"/>
      <c r="Z561" s="84"/>
    </row>
    <row r="562" spans="1:26" ht="15">
      <c r="A562" s="83"/>
      <c r="B562" s="84"/>
      <c r="C562" s="84"/>
      <c r="D562" s="84"/>
      <c r="E562" s="84"/>
      <c r="F562" s="84"/>
      <c r="G562" s="84"/>
      <c r="H562" s="84"/>
      <c r="I562" s="84"/>
      <c r="J562" s="84"/>
      <c r="K562" s="84"/>
      <c r="L562" s="84"/>
      <c r="M562" s="84"/>
      <c r="N562" s="84"/>
      <c r="O562" s="84"/>
      <c r="P562" s="84"/>
      <c r="Q562" s="84"/>
      <c r="R562" s="84"/>
      <c r="S562" s="84"/>
      <c r="T562" s="84"/>
      <c r="U562" s="84"/>
      <c r="V562" s="84"/>
      <c r="W562" s="84"/>
      <c r="X562" s="84"/>
      <c r="Y562" s="84"/>
      <c r="Z562" s="84"/>
    </row>
    <row r="563" spans="1:26" ht="15">
      <c r="A563" s="83"/>
      <c r="B563" s="84"/>
      <c r="C563" s="84"/>
      <c r="D563" s="84"/>
      <c r="E563" s="84"/>
      <c r="F563" s="84"/>
      <c r="G563" s="84"/>
      <c r="H563" s="84"/>
      <c r="I563" s="84"/>
      <c r="J563" s="84"/>
      <c r="K563" s="84"/>
      <c r="L563" s="84"/>
      <c r="M563" s="84"/>
      <c r="N563" s="84"/>
      <c r="O563" s="84"/>
      <c r="P563" s="84"/>
      <c r="Q563" s="84"/>
      <c r="R563" s="84"/>
      <c r="S563" s="84"/>
      <c r="T563" s="84"/>
      <c r="U563" s="84"/>
      <c r="V563" s="84"/>
      <c r="W563" s="84"/>
      <c r="X563" s="84"/>
      <c r="Y563" s="84"/>
      <c r="Z563" s="84"/>
    </row>
    <row r="564" spans="1:26" ht="15">
      <c r="A564" s="83"/>
      <c r="B564" s="84"/>
      <c r="C564" s="84"/>
      <c r="D564" s="84"/>
      <c r="E564" s="84"/>
      <c r="F564" s="84"/>
      <c r="G564" s="84"/>
      <c r="H564" s="84"/>
      <c r="I564" s="84"/>
      <c r="J564" s="84"/>
      <c r="K564" s="84"/>
      <c r="L564" s="84"/>
      <c r="M564" s="84"/>
      <c r="N564" s="84"/>
      <c r="O564" s="84"/>
      <c r="P564" s="84"/>
      <c r="Q564" s="84"/>
      <c r="R564" s="84"/>
      <c r="S564" s="84"/>
      <c r="T564" s="84"/>
      <c r="U564" s="84"/>
      <c r="V564" s="84"/>
      <c r="W564" s="84"/>
      <c r="X564" s="84"/>
      <c r="Y564" s="84"/>
      <c r="Z564" s="84"/>
    </row>
    <row r="565" spans="1:26" ht="15">
      <c r="A565" s="83"/>
      <c r="B565" s="84"/>
      <c r="C565" s="84"/>
      <c r="D565" s="84"/>
      <c r="E565" s="84"/>
      <c r="F565" s="84"/>
      <c r="G565" s="84"/>
      <c r="H565" s="84"/>
      <c r="I565" s="84"/>
      <c r="J565" s="84"/>
      <c r="K565" s="84"/>
      <c r="L565" s="84"/>
      <c r="M565" s="84"/>
      <c r="N565" s="84"/>
      <c r="O565" s="84"/>
      <c r="P565" s="84"/>
      <c r="Q565" s="84"/>
      <c r="R565" s="84"/>
      <c r="S565" s="84"/>
      <c r="T565" s="84"/>
      <c r="U565" s="84"/>
      <c r="V565" s="84"/>
      <c r="W565" s="84"/>
      <c r="X565" s="84"/>
      <c r="Y565" s="84"/>
      <c r="Z565" s="84"/>
    </row>
    <row r="566" spans="1:26" ht="15">
      <c r="A566" s="83"/>
      <c r="B566" s="84"/>
      <c r="C566" s="84"/>
      <c r="D566" s="84"/>
      <c r="E566" s="84"/>
      <c r="F566" s="84"/>
      <c r="G566" s="84"/>
      <c r="H566" s="84"/>
      <c r="I566" s="84"/>
      <c r="J566" s="84"/>
      <c r="K566" s="84"/>
      <c r="L566" s="84"/>
      <c r="M566" s="84"/>
      <c r="N566" s="84"/>
      <c r="O566" s="84"/>
      <c r="P566" s="84"/>
      <c r="Q566" s="84"/>
      <c r="R566" s="84"/>
      <c r="S566" s="84"/>
      <c r="T566" s="84"/>
      <c r="U566" s="84"/>
      <c r="V566" s="84"/>
      <c r="W566" s="84"/>
      <c r="X566" s="84"/>
      <c r="Y566" s="84"/>
      <c r="Z566" s="84"/>
    </row>
    <row r="567" spans="1:26" ht="15">
      <c r="A567" s="83"/>
      <c r="B567" s="84"/>
      <c r="C567" s="84"/>
      <c r="D567" s="84"/>
      <c r="E567" s="84"/>
      <c r="F567" s="84"/>
      <c r="G567" s="84"/>
      <c r="H567" s="84"/>
      <c r="I567" s="84"/>
      <c r="J567" s="84"/>
      <c r="K567" s="84"/>
      <c r="L567" s="84"/>
      <c r="M567" s="84"/>
      <c r="N567" s="84"/>
      <c r="O567" s="84"/>
      <c r="P567" s="84"/>
      <c r="Q567" s="84"/>
      <c r="R567" s="84"/>
      <c r="S567" s="84"/>
      <c r="T567" s="84"/>
      <c r="U567" s="84"/>
      <c r="V567" s="84"/>
      <c r="W567" s="84"/>
      <c r="X567" s="84"/>
      <c r="Y567" s="84"/>
      <c r="Z567" s="84"/>
    </row>
    <row r="568" spans="1:26" ht="15">
      <c r="A568" s="83"/>
      <c r="B568" s="84"/>
      <c r="C568" s="84"/>
      <c r="D568" s="84"/>
      <c r="E568" s="84"/>
      <c r="F568" s="84"/>
      <c r="G568" s="84"/>
      <c r="H568" s="84"/>
      <c r="I568" s="84"/>
      <c r="J568" s="84"/>
      <c r="K568" s="84"/>
      <c r="L568" s="84"/>
      <c r="M568" s="84"/>
      <c r="N568" s="84"/>
      <c r="O568" s="84"/>
      <c r="P568" s="84"/>
      <c r="Q568" s="84"/>
      <c r="R568" s="84"/>
      <c r="S568" s="84"/>
      <c r="T568" s="84"/>
      <c r="U568" s="84"/>
      <c r="V568" s="84"/>
      <c r="W568" s="84"/>
      <c r="X568" s="84"/>
      <c r="Y568" s="84"/>
      <c r="Z568" s="84"/>
    </row>
    <row r="569" spans="1:26" ht="15">
      <c r="A569" s="83"/>
      <c r="B569" s="84"/>
      <c r="C569" s="84"/>
      <c r="D569" s="84"/>
      <c r="E569" s="84"/>
      <c r="F569" s="84"/>
      <c r="G569" s="84"/>
      <c r="H569" s="84"/>
      <c r="I569" s="84"/>
      <c r="J569" s="84"/>
      <c r="K569" s="84"/>
      <c r="L569" s="84"/>
      <c r="M569" s="84"/>
      <c r="N569" s="84"/>
      <c r="O569" s="84"/>
      <c r="P569" s="84"/>
      <c r="Q569" s="84"/>
      <c r="R569" s="84"/>
      <c r="S569" s="84"/>
      <c r="T569" s="84"/>
      <c r="U569" s="84"/>
      <c r="V569" s="84"/>
      <c r="W569" s="84"/>
      <c r="X569" s="84"/>
      <c r="Y569" s="84"/>
      <c r="Z569" s="84"/>
    </row>
    <row r="570" spans="1:26" ht="15">
      <c r="A570" s="83"/>
      <c r="B570" s="84"/>
      <c r="C570" s="84"/>
      <c r="D570" s="84"/>
      <c r="E570" s="84"/>
      <c r="F570" s="84"/>
      <c r="G570" s="84"/>
      <c r="H570" s="84"/>
      <c r="I570" s="84"/>
      <c r="J570" s="84"/>
      <c r="K570" s="84"/>
      <c r="L570" s="84"/>
      <c r="M570" s="84"/>
      <c r="N570" s="84"/>
      <c r="O570" s="84"/>
      <c r="P570" s="84"/>
      <c r="Q570" s="84"/>
      <c r="R570" s="84"/>
      <c r="S570" s="84"/>
      <c r="T570" s="84"/>
      <c r="U570" s="84"/>
      <c r="V570" s="84"/>
      <c r="W570" s="84"/>
      <c r="X570" s="84"/>
      <c r="Y570" s="84"/>
      <c r="Z570" s="84"/>
    </row>
    <row r="571" spans="1:26" ht="15">
      <c r="A571" s="83"/>
      <c r="B571" s="84"/>
      <c r="C571" s="84"/>
      <c r="D571" s="84"/>
      <c r="E571" s="84"/>
      <c r="F571" s="84"/>
      <c r="G571" s="84"/>
      <c r="H571" s="84"/>
      <c r="I571" s="84"/>
      <c r="J571" s="84"/>
      <c r="K571" s="84"/>
      <c r="L571" s="84"/>
      <c r="M571" s="84"/>
      <c r="N571" s="84"/>
      <c r="O571" s="84"/>
      <c r="P571" s="84"/>
      <c r="Q571" s="84"/>
      <c r="R571" s="84"/>
      <c r="S571" s="84"/>
      <c r="T571" s="84"/>
      <c r="U571" s="84"/>
      <c r="V571" s="84"/>
      <c r="W571" s="84"/>
      <c r="X571" s="84"/>
      <c r="Y571" s="84"/>
      <c r="Z571" s="84"/>
    </row>
    <row r="572" spans="1:26" ht="15">
      <c r="A572" s="83"/>
      <c r="B572" s="84"/>
      <c r="C572" s="84"/>
      <c r="D572" s="84"/>
      <c r="E572" s="84"/>
      <c r="F572" s="84"/>
      <c r="G572" s="84"/>
      <c r="H572" s="84"/>
      <c r="I572" s="84"/>
      <c r="J572" s="84"/>
      <c r="K572" s="84"/>
      <c r="L572" s="84"/>
      <c r="M572" s="84"/>
      <c r="N572" s="84"/>
      <c r="O572" s="84"/>
      <c r="P572" s="84"/>
      <c r="Q572" s="84"/>
      <c r="R572" s="84"/>
      <c r="S572" s="84"/>
      <c r="T572" s="84"/>
      <c r="U572" s="84"/>
      <c r="V572" s="84"/>
      <c r="W572" s="84"/>
      <c r="X572" s="84"/>
      <c r="Y572" s="84"/>
      <c r="Z572" s="84"/>
    </row>
    <row r="573" spans="1:26" ht="15">
      <c r="A573" s="83"/>
      <c r="B573" s="84"/>
      <c r="C573" s="84"/>
      <c r="D573" s="84"/>
      <c r="E573" s="84"/>
      <c r="F573" s="84"/>
      <c r="G573" s="84"/>
      <c r="H573" s="84"/>
      <c r="I573" s="84"/>
      <c r="J573" s="84"/>
      <c r="K573" s="84"/>
      <c r="L573" s="84"/>
      <c r="M573" s="84"/>
      <c r="N573" s="84"/>
      <c r="O573" s="84"/>
      <c r="P573" s="84"/>
      <c r="Q573" s="84"/>
      <c r="R573" s="84"/>
      <c r="S573" s="84"/>
      <c r="T573" s="84"/>
      <c r="U573" s="84"/>
      <c r="V573" s="84"/>
      <c r="W573" s="84"/>
      <c r="X573" s="84"/>
      <c r="Y573" s="84"/>
      <c r="Z573" s="84"/>
    </row>
    <row r="574" spans="1:26" ht="15">
      <c r="A574" s="83"/>
      <c r="B574" s="84"/>
      <c r="C574" s="84"/>
      <c r="D574" s="84"/>
      <c r="E574" s="84"/>
      <c r="F574" s="84"/>
      <c r="G574" s="84"/>
      <c r="H574" s="84"/>
      <c r="I574" s="84"/>
      <c r="J574" s="84"/>
      <c r="K574" s="84"/>
      <c r="L574" s="84"/>
      <c r="M574" s="84"/>
      <c r="N574" s="84"/>
      <c r="O574" s="84"/>
      <c r="P574" s="84"/>
      <c r="Q574" s="84"/>
      <c r="R574" s="84"/>
      <c r="S574" s="84"/>
      <c r="T574" s="84"/>
      <c r="U574" s="84"/>
      <c r="V574" s="84"/>
      <c r="W574" s="84"/>
      <c r="X574" s="84"/>
      <c r="Y574" s="84"/>
      <c r="Z574" s="84"/>
    </row>
    <row r="575" spans="1:26" ht="15">
      <c r="A575" s="83"/>
      <c r="B575" s="84"/>
      <c r="C575" s="84"/>
      <c r="D575" s="84"/>
      <c r="E575" s="84"/>
      <c r="F575" s="84"/>
      <c r="G575" s="84"/>
      <c r="H575" s="84"/>
      <c r="I575" s="84"/>
      <c r="J575" s="84"/>
      <c r="K575" s="84"/>
      <c r="L575" s="84"/>
      <c r="M575" s="84"/>
      <c r="N575" s="84"/>
      <c r="O575" s="84"/>
      <c r="P575" s="84"/>
      <c r="Q575" s="84"/>
      <c r="R575" s="84"/>
      <c r="S575" s="84"/>
      <c r="T575" s="84"/>
      <c r="U575" s="84"/>
      <c r="V575" s="84"/>
      <c r="W575" s="84"/>
      <c r="X575" s="84"/>
      <c r="Y575" s="84"/>
      <c r="Z575" s="84"/>
    </row>
    <row r="576" spans="1:26" ht="15">
      <c r="A576" s="83"/>
      <c r="B576" s="84"/>
      <c r="C576" s="84"/>
      <c r="D576" s="84"/>
      <c r="E576" s="84"/>
      <c r="F576" s="84"/>
      <c r="G576" s="84"/>
      <c r="H576" s="84"/>
      <c r="I576" s="84"/>
      <c r="J576" s="84"/>
      <c r="K576" s="84"/>
      <c r="L576" s="84"/>
      <c r="M576" s="84"/>
      <c r="N576" s="84"/>
      <c r="O576" s="84"/>
      <c r="P576" s="84"/>
      <c r="Q576" s="84"/>
      <c r="R576" s="84"/>
      <c r="S576" s="84"/>
      <c r="T576" s="84"/>
      <c r="U576" s="84"/>
      <c r="V576" s="84"/>
      <c r="W576" s="84"/>
      <c r="X576" s="84"/>
      <c r="Y576" s="84"/>
      <c r="Z576" s="84"/>
    </row>
    <row r="577" spans="1:26" ht="15">
      <c r="A577" s="83"/>
      <c r="B577" s="84"/>
      <c r="C577" s="84"/>
      <c r="D577" s="84"/>
      <c r="E577" s="84"/>
      <c r="F577" s="84"/>
      <c r="G577" s="84"/>
      <c r="H577" s="84"/>
      <c r="I577" s="84"/>
      <c r="J577" s="84"/>
      <c r="K577" s="84"/>
      <c r="L577" s="84"/>
      <c r="M577" s="84"/>
      <c r="N577" s="84"/>
      <c r="O577" s="84"/>
      <c r="P577" s="84"/>
      <c r="Q577" s="84"/>
      <c r="R577" s="84"/>
      <c r="S577" s="84"/>
      <c r="T577" s="84"/>
      <c r="U577" s="84"/>
      <c r="V577" s="84"/>
      <c r="W577" s="84"/>
      <c r="X577" s="84"/>
      <c r="Y577" s="84"/>
      <c r="Z577" s="84"/>
    </row>
    <row r="578" spans="1:26" ht="15">
      <c r="A578" s="83"/>
      <c r="B578" s="84"/>
      <c r="C578" s="84"/>
      <c r="D578" s="84"/>
      <c r="E578" s="84"/>
      <c r="F578" s="84"/>
      <c r="G578" s="84"/>
      <c r="H578" s="84"/>
      <c r="I578" s="84"/>
      <c r="J578" s="84"/>
      <c r="K578" s="84"/>
      <c r="L578" s="84"/>
      <c r="M578" s="84"/>
      <c r="N578" s="84"/>
      <c r="O578" s="84"/>
      <c r="P578" s="84"/>
      <c r="Q578" s="84"/>
      <c r="R578" s="84"/>
      <c r="S578" s="84"/>
      <c r="T578" s="84"/>
      <c r="U578" s="84"/>
      <c r="V578" s="84"/>
      <c r="W578" s="84"/>
      <c r="X578" s="84"/>
      <c r="Y578" s="84"/>
      <c r="Z578" s="84"/>
    </row>
    <row r="579" spans="1:26" ht="15">
      <c r="A579" s="83"/>
      <c r="B579" s="84"/>
      <c r="C579" s="84"/>
      <c r="D579" s="84"/>
      <c r="E579" s="84"/>
      <c r="F579" s="84"/>
      <c r="G579" s="84"/>
      <c r="H579" s="84"/>
      <c r="I579" s="84"/>
      <c r="J579" s="84"/>
      <c r="K579" s="84"/>
      <c r="L579" s="84"/>
      <c r="M579" s="84"/>
      <c r="N579" s="84"/>
      <c r="O579" s="84"/>
      <c r="P579" s="84"/>
      <c r="Q579" s="84"/>
      <c r="R579" s="84"/>
      <c r="S579" s="84"/>
      <c r="T579" s="84"/>
      <c r="U579" s="84"/>
      <c r="V579" s="84"/>
      <c r="W579" s="84"/>
      <c r="X579" s="84"/>
      <c r="Y579" s="84"/>
      <c r="Z579" s="84"/>
    </row>
    <row r="580" spans="1:26" ht="15">
      <c r="A580" s="83"/>
      <c r="B580" s="84"/>
      <c r="C580" s="84"/>
      <c r="D580" s="84"/>
      <c r="E580" s="84"/>
      <c r="F580" s="84"/>
      <c r="G580" s="84"/>
      <c r="H580" s="84"/>
      <c r="I580" s="84"/>
      <c r="J580" s="84"/>
      <c r="K580" s="84"/>
      <c r="L580" s="84"/>
      <c r="M580" s="84"/>
      <c r="N580" s="84"/>
      <c r="O580" s="84"/>
      <c r="P580" s="84"/>
      <c r="Q580" s="84"/>
      <c r="R580" s="84"/>
      <c r="S580" s="84"/>
      <c r="T580" s="84"/>
      <c r="U580" s="84"/>
      <c r="V580" s="84"/>
      <c r="W580" s="84"/>
      <c r="X580" s="84"/>
      <c r="Y580" s="84"/>
      <c r="Z580" s="84"/>
    </row>
    <row r="581" spans="1:26" ht="15">
      <c r="A581" s="83"/>
      <c r="B581" s="84"/>
      <c r="C581" s="84"/>
      <c r="D581" s="84"/>
      <c r="E581" s="84"/>
      <c r="F581" s="84"/>
      <c r="G581" s="84"/>
      <c r="H581" s="84"/>
      <c r="I581" s="84"/>
      <c r="J581" s="84"/>
      <c r="K581" s="84"/>
      <c r="L581" s="84"/>
      <c r="M581" s="84"/>
      <c r="N581" s="84"/>
      <c r="O581" s="84"/>
      <c r="P581" s="84"/>
      <c r="Q581" s="84"/>
      <c r="R581" s="84"/>
      <c r="S581" s="84"/>
      <c r="T581" s="84"/>
      <c r="U581" s="84"/>
      <c r="V581" s="84"/>
      <c r="W581" s="84"/>
      <c r="X581" s="84"/>
      <c r="Y581" s="84"/>
      <c r="Z581" s="84"/>
    </row>
    <row r="582" spans="1:26" ht="15">
      <c r="A582" s="83"/>
      <c r="B582" s="84"/>
      <c r="C582" s="84"/>
      <c r="D582" s="84"/>
      <c r="E582" s="84"/>
      <c r="F582" s="84"/>
      <c r="G582" s="84"/>
      <c r="H582" s="84"/>
      <c r="I582" s="84"/>
      <c r="J582" s="84"/>
      <c r="K582" s="84"/>
      <c r="L582" s="84"/>
      <c r="M582" s="84"/>
      <c r="N582" s="84"/>
      <c r="O582" s="84"/>
      <c r="P582" s="84"/>
      <c r="Q582" s="84"/>
      <c r="R582" s="84"/>
      <c r="S582" s="84"/>
      <c r="T582" s="84"/>
      <c r="U582" s="84"/>
      <c r="V582" s="84"/>
      <c r="W582" s="84"/>
      <c r="X582" s="84"/>
      <c r="Y582" s="84"/>
      <c r="Z582" s="84"/>
    </row>
    <row r="583" spans="1:26" ht="15">
      <c r="A583" s="83"/>
      <c r="B583" s="84"/>
      <c r="C583" s="84"/>
      <c r="D583" s="84"/>
      <c r="E583" s="84"/>
      <c r="F583" s="84"/>
      <c r="G583" s="84"/>
      <c r="H583" s="84"/>
      <c r="I583" s="84"/>
      <c r="J583" s="84"/>
      <c r="K583" s="84"/>
      <c r="L583" s="84"/>
      <c r="M583" s="84"/>
      <c r="N583" s="84"/>
      <c r="O583" s="84"/>
      <c r="P583" s="84"/>
      <c r="Q583" s="84"/>
      <c r="R583" s="84"/>
      <c r="S583" s="84"/>
      <c r="T583" s="84"/>
      <c r="U583" s="84"/>
      <c r="V583" s="84"/>
      <c r="W583" s="84"/>
      <c r="X583" s="84"/>
      <c r="Y583" s="84"/>
      <c r="Z583" s="84"/>
    </row>
    <row r="584" spans="1:26" ht="15">
      <c r="A584" s="83"/>
      <c r="B584" s="84"/>
      <c r="C584" s="84"/>
      <c r="D584" s="84"/>
      <c r="E584" s="84"/>
      <c r="F584" s="84"/>
      <c r="G584" s="84"/>
      <c r="H584" s="84"/>
      <c r="I584" s="84"/>
      <c r="J584" s="84"/>
      <c r="K584" s="84"/>
      <c r="L584" s="84"/>
      <c r="M584" s="84"/>
      <c r="N584" s="84"/>
      <c r="O584" s="84"/>
      <c r="P584" s="84"/>
      <c r="Q584" s="84"/>
      <c r="R584" s="84"/>
      <c r="S584" s="84"/>
      <c r="T584" s="84"/>
      <c r="U584" s="84"/>
      <c r="V584" s="84"/>
      <c r="W584" s="84"/>
      <c r="X584" s="84"/>
      <c r="Y584" s="84"/>
      <c r="Z584" s="84"/>
    </row>
    <row r="585" spans="1:26" ht="15">
      <c r="A585" s="83"/>
      <c r="B585" s="84"/>
      <c r="C585" s="84"/>
      <c r="D585" s="84"/>
      <c r="E585" s="84"/>
      <c r="F585" s="84"/>
      <c r="G585" s="84"/>
      <c r="H585" s="84"/>
      <c r="I585" s="84"/>
      <c r="J585" s="84"/>
      <c r="K585" s="84"/>
      <c r="L585" s="84"/>
      <c r="M585" s="84"/>
      <c r="N585" s="84"/>
      <c r="O585" s="84"/>
      <c r="P585" s="84"/>
      <c r="Q585" s="84"/>
      <c r="R585" s="84"/>
      <c r="S585" s="84"/>
      <c r="T585" s="84"/>
      <c r="U585" s="84"/>
      <c r="V585" s="84"/>
      <c r="W585" s="84"/>
      <c r="X585" s="84"/>
      <c r="Y585" s="84"/>
      <c r="Z585" s="84"/>
    </row>
    <row r="586" spans="1:26" ht="15">
      <c r="A586" s="83"/>
      <c r="B586" s="84"/>
      <c r="C586" s="84"/>
      <c r="D586" s="84"/>
      <c r="E586" s="84"/>
      <c r="F586" s="84"/>
      <c r="G586" s="84"/>
      <c r="H586" s="84"/>
      <c r="I586" s="84"/>
      <c r="J586" s="84"/>
      <c r="K586" s="84"/>
      <c r="L586" s="84"/>
      <c r="M586" s="84"/>
      <c r="N586" s="84"/>
      <c r="O586" s="84"/>
      <c r="P586" s="84"/>
      <c r="Q586" s="84"/>
      <c r="R586" s="84"/>
      <c r="S586" s="84"/>
      <c r="T586" s="84"/>
      <c r="U586" s="84"/>
      <c r="V586" s="84"/>
      <c r="W586" s="84"/>
      <c r="X586" s="84"/>
      <c r="Y586" s="84"/>
      <c r="Z586" s="84"/>
    </row>
    <row r="587" spans="1:26" ht="15">
      <c r="A587" s="83"/>
      <c r="B587" s="84"/>
      <c r="C587" s="84"/>
      <c r="D587" s="84"/>
      <c r="E587" s="84"/>
      <c r="F587" s="84"/>
      <c r="G587" s="84"/>
      <c r="H587" s="84"/>
      <c r="I587" s="84"/>
      <c r="J587" s="84"/>
      <c r="K587" s="84"/>
      <c r="L587" s="84"/>
      <c r="M587" s="84"/>
      <c r="N587" s="84"/>
      <c r="O587" s="84"/>
      <c r="P587" s="84"/>
      <c r="Q587" s="84"/>
      <c r="R587" s="84"/>
      <c r="S587" s="84"/>
      <c r="T587" s="84"/>
      <c r="U587" s="84"/>
      <c r="V587" s="84"/>
      <c r="W587" s="84"/>
      <c r="X587" s="84"/>
      <c r="Y587" s="84"/>
      <c r="Z587" s="84"/>
    </row>
    <row r="588" spans="1:26" ht="15">
      <c r="A588" s="83"/>
      <c r="B588" s="84"/>
      <c r="C588" s="84"/>
      <c r="D588" s="84"/>
      <c r="E588" s="84"/>
      <c r="F588" s="84"/>
      <c r="G588" s="84"/>
      <c r="H588" s="84"/>
      <c r="I588" s="84"/>
      <c r="J588" s="84"/>
      <c r="K588" s="84"/>
      <c r="L588" s="84"/>
      <c r="M588" s="84"/>
      <c r="N588" s="84"/>
      <c r="O588" s="84"/>
      <c r="P588" s="84"/>
      <c r="Q588" s="84"/>
      <c r="R588" s="84"/>
      <c r="S588" s="84"/>
      <c r="T588" s="84"/>
      <c r="U588" s="84"/>
      <c r="V588" s="84"/>
      <c r="W588" s="84"/>
      <c r="X588" s="84"/>
      <c r="Y588" s="84"/>
      <c r="Z588" s="84"/>
    </row>
    <row r="589" spans="1:26" ht="15">
      <c r="A589" s="83"/>
      <c r="B589" s="84"/>
      <c r="C589" s="84"/>
      <c r="D589" s="84"/>
      <c r="E589" s="84"/>
      <c r="F589" s="84"/>
      <c r="G589" s="84"/>
      <c r="H589" s="84"/>
      <c r="I589" s="84"/>
      <c r="J589" s="84"/>
      <c r="K589" s="84"/>
      <c r="L589" s="84"/>
      <c r="M589" s="84"/>
      <c r="N589" s="84"/>
      <c r="O589" s="84"/>
      <c r="P589" s="84"/>
      <c r="Q589" s="84"/>
      <c r="R589" s="84"/>
      <c r="S589" s="84"/>
      <c r="T589" s="84"/>
      <c r="U589" s="84"/>
      <c r="V589" s="84"/>
      <c r="W589" s="84"/>
      <c r="X589" s="84"/>
      <c r="Y589" s="84"/>
      <c r="Z589" s="84"/>
    </row>
    <row r="590" spans="1:26" ht="15">
      <c r="A590" s="83"/>
      <c r="B590" s="84"/>
      <c r="C590" s="84"/>
      <c r="D590" s="84"/>
      <c r="E590" s="84"/>
      <c r="F590" s="84"/>
      <c r="G590" s="84"/>
      <c r="H590" s="84"/>
      <c r="I590" s="84"/>
      <c r="J590" s="84"/>
      <c r="K590" s="84"/>
      <c r="L590" s="84"/>
      <c r="M590" s="84"/>
      <c r="N590" s="84"/>
      <c r="O590" s="84"/>
      <c r="P590" s="84"/>
      <c r="Q590" s="84"/>
      <c r="R590" s="84"/>
      <c r="S590" s="84"/>
      <c r="T590" s="84"/>
      <c r="U590" s="84"/>
      <c r="V590" s="84"/>
      <c r="W590" s="84"/>
      <c r="X590" s="84"/>
      <c r="Y590" s="84"/>
      <c r="Z590" s="84"/>
    </row>
    <row r="591" spans="1:26" ht="15">
      <c r="A591" s="83"/>
      <c r="B591" s="84"/>
      <c r="C591" s="84"/>
      <c r="D591" s="84"/>
      <c r="E591" s="84"/>
      <c r="F591" s="84"/>
      <c r="G591" s="84"/>
      <c r="H591" s="84"/>
      <c r="I591" s="84"/>
      <c r="J591" s="84"/>
      <c r="K591" s="84"/>
      <c r="L591" s="84"/>
      <c r="M591" s="84"/>
      <c r="N591" s="84"/>
      <c r="O591" s="84"/>
      <c r="P591" s="84"/>
      <c r="Q591" s="84"/>
      <c r="R591" s="84"/>
      <c r="S591" s="84"/>
      <c r="T591" s="84"/>
      <c r="U591" s="84"/>
      <c r="V591" s="84"/>
      <c r="W591" s="84"/>
      <c r="X591" s="84"/>
      <c r="Y591" s="84"/>
      <c r="Z591" s="84"/>
    </row>
    <row r="592" spans="1:26" ht="15">
      <c r="A592" s="83"/>
      <c r="B592" s="84"/>
      <c r="C592" s="84"/>
      <c r="D592" s="84"/>
      <c r="E592" s="84"/>
      <c r="F592" s="84"/>
      <c r="G592" s="84"/>
      <c r="H592" s="84"/>
      <c r="I592" s="84"/>
      <c r="J592" s="84"/>
      <c r="K592" s="84"/>
      <c r="L592" s="84"/>
      <c r="M592" s="84"/>
      <c r="N592" s="84"/>
      <c r="O592" s="84"/>
      <c r="P592" s="84"/>
      <c r="Q592" s="84"/>
      <c r="R592" s="84"/>
      <c r="S592" s="84"/>
      <c r="T592" s="84"/>
      <c r="U592" s="84"/>
      <c r="V592" s="84"/>
      <c r="W592" s="84"/>
      <c r="X592" s="84"/>
      <c r="Y592" s="84"/>
      <c r="Z592" s="84"/>
    </row>
    <row r="593" spans="1:26" ht="15">
      <c r="A593" s="83"/>
      <c r="B593" s="84"/>
      <c r="C593" s="84"/>
      <c r="D593" s="84"/>
      <c r="E593" s="84"/>
      <c r="F593" s="84"/>
      <c r="G593" s="84"/>
      <c r="H593" s="84"/>
      <c r="I593" s="84"/>
      <c r="J593" s="84"/>
      <c r="K593" s="84"/>
      <c r="L593" s="84"/>
      <c r="M593" s="84"/>
      <c r="N593" s="84"/>
      <c r="O593" s="84"/>
      <c r="P593" s="84"/>
      <c r="Q593" s="84"/>
      <c r="R593" s="84"/>
      <c r="S593" s="84"/>
      <c r="T593" s="84"/>
      <c r="U593" s="84"/>
      <c r="V593" s="84"/>
      <c r="W593" s="84"/>
      <c r="X593" s="84"/>
      <c r="Y593" s="84"/>
      <c r="Z593" s="84"/>
    </row>
    <row r="594" spans="1:26" ht="15">
      <c r="A594" s="83"/>
      <c r="B594" s="84"/>
      <c r="C594" s="84"/>
      <c r="D594" s="84"/>
      <c r="E594" s="84"/>
      <c r="F594" s="84"/>
      <c r="G594" s="84"/>
      <c r="H594" s="84"/>
      <c r="I594" s="84"/>
      <c r="J594" s="84"/>
      <c r="K594" s="84"/>
      <c r="L594" s="84"/>
      <c r="M594" s="84"/>
      <c r="N594" s="84"/>
      <c r="O594" s="84"/>
      <c r="P594" s="84"/>
      <c r="Q594" s="84"/>
      <c r="R594" s="84"/>
      <c r="S594" s="84"/>
      <c r="T594" s="84"/>
      <c r="U594" s="84"/>
      <c r="V594" s="84"/>
      <c r="W594" s="84"/>
      <c r="X594" s="84"/>
      <c r="Y594" s="84"/>
      <c r="Z594" s="84"/>
    </row>
    <row r="595" spans="1:26" ht="15">
      <c r="A595" s="83"/>
      <c r="B595" s="84"/>
      <c r="C595" s="84"/>
      <c r="D595" s="84"/>
      <c r="E595" s="84"/>
      <c r="F595" s="84"/>
      <c r="G595" s="84"/>
      <c r="H595" s="84"/>
      <c r="I595" s="84"/>
      <c r="J595" s="84"/>
      <c r="K595" s="84"/>
      <c r="L595" s="84"/>
      <c r="M595" s="84"/>
      <c r="N595" s="84"/>
      <c r="O595" s="84"/>
      <c r="P595" s="84"/>
      <c r="Q595" s="84"/>
      <c r="R595" s="84"/>
      <c r="S595" s="84"/>
      <c r="T595" s="84"/>
      <c r="U595" s="84"/>
      <c r="V595" s="84"/>
      <c r="W595" s="84"/>
      <c r="X595" s="84"/>
      <c r="Y595" s="84"/>
      <c r="Z595" s="84"/>
    </row>
    <row r="596" spans="1:26" ht="15">
      <c r="A596" s="83"/>
      <c r="B596" s="84"/>
      <c r="C596" s="84"/>
      <c r="D596" s="84"/>
      <c r="E596" s="84"/>
      <c r="F596" s="84"/>
      <c r="G596" s="84"/>
      <c r="H596" s="84"/>
      <c r="I596" s="84"/>
      <c r="J596" s="84"/>
      <c r="K596" s="84"/>
      <c r="L596" s="84"/>
      <c r="M596" s="84"/>
      <c r="N596" s="84"/>
      <c r="O596" s="84"/>
      <c r="P596" s="84"/>
      <c r="Q596" s="84"/>
      <c r="R596" s="84"/>
      <c r="S596" s="84"/>
      <c r="T596" s="84"/>
      <c r="U596" s="84"/>
      <c r="V596" s="84"/>
      <c r="W596" s="84"/>
      <c r="X596" s="84"/>
      <c r="Y596" s="84"/>
      <c r="Z596" s="84"/>
    </row>
    <row r="597" spans="1:26" ht="15">
      <c r="A597" s="83"/>
      <c r="B597" s="84"/>
      <c r="C597" s="84"/>
      <c r="D597" s="84"/>
      <c r="E597" s="84"/>
      <c r="F597" s="84"/>
      <c r="G597" s="84"/>
      <c r="H597" s="84"/>
      <c r="I597" s="84"/>
      <c r="J597" s="84"/>
      <c r="K597" s="84"/>
      <c r="L597" s="84"/>
      <c r="M597" s="84"/>
      <c r="N597" s="84"/>
      <c r="O597" s="84"/>
      <c r="P597" s="84"/>
      <c r="Q597" s="84"/>
      <c r="R597" s="84"/>
      <c r="S597" s="84"/>
      <c r="T597" s="84"/>
      <c r="U597" s="84"/>
      <c r="V597" s="84"/>
      <c r="W597" s="84"/>
      <c r="X597" s="84"/>
      <c r="Y597" s="84"/>
      <c r="Z597" s="84"/>
    </row>
    <row r="598" spans="1:26" ht="15">
      <c r="A598" s="83"/>
      <c r="B598" s="84"/>
      <c r="C598" s="84"/>
      <c r="D598" s="84"/>
      <c r="E598" s="84"/>
      <c r="F598" s="84"/>
      <c r="G598" s="84"/>
      <c r="H598" s="84"/>
      <c r="I598" s="84"/>
      <c r="J598" s="84"/>
      <c r="K598" s="84"/>
      <c r="L598" s="84"/>
      <c r="M598" s="84"/>
      <c r="N598" s="84"/>
      <c r="O598" s="84"/>
      <c r="P598" s="84"/>
      <c r="Q598" s="84"/>
      <c r="R598" s="84"/>
      <c r="S598" s="84"/>
      <c r="T598" s="84"/>
      <c r="U598" s="84"/>
      <c r="V598" s="84"/>
      <c r="W598" s="84"/>
      <c r="X598" s="84"/>
      <c r="Y598" s="84"/>
      <c r="Z598" s="84"/>
    </row>
    <row r="599" spans="1:26" ht="15">
      <c r="A599" s="83"/>
      <c r="B599" s="84"/>
      <c r="C599" s="84"/>
      <c r="D599" s="84"/>
      <c r="E599" s="84"/>
      <c r="F599" s="84"/>
      <c r="G599" s="84"/>
      <c r="H599" s="84"/>
      <c r="I599" s="84"/>
      <c r="J599" s="84"/>
      <c r="K599" s="84"/>
      <c r="L599" s="84"/>
      <c r="M599" s="84"/>
      <c r="N599" s="84"/>
      <c r="O599" s="84"/>
      <c r="P599" s="84"/>
      <c r="Q599" s="84"/>
      <c r="R599" s="84"/>
      <c r="S599" s="84"/>
      <c r="T599" s="84"/>
      <c r="U599" s="84"/>
      <c r="V599" s="84"/>
      <c r="W599" s="84"/>
      <c r="X599" s="84"/>
      <c r="Y599" s="84"/>
      <c r="Z599" s="84"/>
    </row>
    <row r="600" spans="1:26" ht="15">
      <c r="A600" s="83"/>
      <c r="B600" s="84"/>
      <c r="C600" s="84"/>
      <c r="D600" s="84"/>
      <c r="E600" s="84"/>
      <c r="F600" s="84"/>
      <c r="G600" s="84"/>
      <c r="H600" s="84"/>
      <c r="I600" s="84"/>
      <c r="J600" s="84"/>
      <c r="K600" s="84"/>
      <c r="L600" s="84"/>
      <c r="M600" s="84"/>
      <c r="N600" s="84"/>
      <c r="O600" s="84"/>
      <c r="P600" s="84"/>
      <c r="Q600" s="84"/>
      <c r="R600" s="84"/>
      <c r="S600" s="84"/>
      <c r="T600" s="84"/>
      <c r="U600" s="84"/>
      <c r="V600" s="84"/>
      <c r="W600" s="84"/>
      <c r="X600" s="84"/>
      <c r="Y600" s="84"/>
      <c r="Z600" s="84"/>
    </row>
    <row r="601" spans="1:26" ht="15">
      <c r="A601" s="83"/>
      <c r="B601" s="84"/>
      <c r="C601" s="84"/>
      <c r="D601" s="84"/>
      <c r="E601" s="84"/>
      <c r="F601" s="84"/>
      <c r="G601" s="84"/>
      <c r="H601" s="84"/>
      <c r="I601" s="84"/>
      <c r="J601" s="84"/>
      <c r="K601" s="84"/>
      <c r="L601" s="84"/>
      <c r="M601" s="84"/>
      <c r="N601" s="84"/>
      <c r="O601" s="84"/>
      <c r="P601" s="84"/>
      <c r="Q601" s="84"/>
      <c r="R601" s="84"/>
      <c r="S601" s="84"/>
      <c r="T601" s="84"/>
      <c r="U601" s="84"/>
      <c r="V601" s="84"/>
      <c r="W601" s="84"/>
      <c r="X601" s="84"/>
      <c r="Y601" s="84"/>
      <c r="Z601" s="84"/>
    </row>
    <row r="602" spans="1:26" ht="15">
      <c r="A602" s="83"/>
      <c r="B602" s="84"/>
      <c r="C602" s="84"/>
      <c r="D602" s="84"/>
      <c r="E602" s="84"/>
      <c r="F602" s="84"/>
      <c r="G602" s="84"/>
      <c r="H602" s="84"/>
      <c r="I602" s="84"/>
      <c r="J602" s="84"/>
      <c r="K602" s="84"/>
      <c r="L602" s="84"/>
      <c r="M602" s="84"/>
      <c r="N602" s="84"/>
      <c r="O602" s="84"/>
      <c r="P602" s="84"/>
      <c r="Q602" s="84"/>
      <c r="R602" s="84"/>
      <c r="S602" s="84"/>
      <c r="T602" s="84"/>
      <c r="U602" s="84"/>
      <c r="V602" s="84"/>
      <c r="W602" s="84"/>
      <c r="X602" s="84"/>
      <c r="Y602" s="84"/>
      <c r="Z602" s="84"/>
    </row>
    <row r="603" spans="1:26" ht="15">
      <c r="A603" s="83"/>
      <c r="B603" s="84"/>
      <c r="C603" s="84"/>
      <c r="D603" s="84"/>
      <c r="E603" s="84"/>
      <c r="F603" s="84"/>
      <c r="G603" s="84"/>
      <c r="H603" s="84"/>
      <c r="I603" s="84"/>
      <c r="J603" s="84"/>
      <c r="K603" s="84"/>
      <c r="L603" s="84"/>
      <c r="M603" s="84"/>
      <c r="N603" s="84"/>
      <c r="O603" s="84"/>
      <c r="P603" s="84"/>
      <c r="Q603" s="84"/>
      <c r="R603" s="84"/>
      <c r="S603" s="84"/>
      <c r="T603" s="84"/>
      <c r="U603" s="84"/>
      <c r="V603" s="84"/>
      <c r="W603" s="84"/>
      <c r="X603" s="84"/>
      <c r="Y603" s="84"/>
      <c r="Z603" s="84"/>
    </row>
    <row r="604" spans="1:26" ht="15">
      <c r="A604" s="83"/>
      <c r="B604" s="84"/>
      <c r="C604" s="84"/>
      <c r="D604" s="84"/>
      <c r="E604" s="84"/>
      <c r="F604" s="84"/>
      <c r="G604" s="84"/>
      <c r="H604" s="84"/>
      <c r="I604" s="84"/>
      <c r="J604" s="84"/>
      <c r="K604" s="84"/>
      <c r="L604" s="84"/>
      <c r="M604" s="84"/>
      <c r="N604" s="84"/>
      <c r="O604" s="84"/>
      <c r="P604" s="84"/>
      <c r="Q604" s="84"/>
      <c r="R604" s="84"/>
      <c r="S604" s="84"/>
      <c r="T604" s="84"/>
      <c r="U604" s="84"/>
      <c r="V604" s="84"/>
      <c r="W604" s="84"/>
      <c r="X604" s="84"/>
      <c r="Y604" s="84"/>
      <c r="Z604" s="84"/>
    </row>
    <row r="605" spans="1:26" ht="15">
      <c r="A605" s="83"/>
      <c r="B605" s="84"/>
      <c r="C605" s="84"/>
      <c r="D605" s="84"/>
      <c r="E605" s="84"/>
      <c r="F605" s="84"/>
      <c r="G605" s="84"/>
      <c r="H605" s="84"/>
      <c r="I605" s="84"/>
      <c r="J605" s="84"/>
      <c r="K605" s="84"/>
      <c r="L605" s="84"/>
      <c r="M605" s="84"/>
      <c r="N605" s="84"/>
      <c r="O605" s="84"/>
      <c r="P605" s="84"/>
      <c r="Q605" s="84"/>
      <c r="R605" s="84"/>
      <c r="S605" s="84"/>
      <c r="T605" s="84"/>
      <c r="U605" s="84"/>
      <c r="V605" s="84"/>
      <c r="W605" s="84"/>
      <c r="X605" s="84"/>
      <c r="Y605" s="84"/>
      <c r="Z605" s="84"/>
    </row>
    <row r="606" spans="1:26" ht="15">
      <c r="A606" s="83"/>
      <c r="B606" s="84"/>
      <c r="C606" s="84"/>
      <c r="D606" s="84"/>
      <c r="E606" s="84"/>
      <c r="F606" s="84"/>
      <c r="G606" s="84"/>
      <c r="H606" s="84"/>
      <c r="I606" s="84"/>
      <c r="J606" s="84"/>
      <c r="K606" s="84"/>
      <c r="L606" s="84"/>
      <c r="M606" s="84"/>
      <c r="N606" s="84"/>
      <c r="O606" s="84"/>
      <c r="P606" s="84"/>
      <c r="Q606" s="84"/>
      <c r="R606" s="84"/>
      <c r="S606" s="84"/>
      <c r="T606" s="84"/>
      <c r="U606" s="84"/>
      <c r="V606" s="84"/>
      <c r="W606" s="84"/>
      <c r="X606" s="84"/>
      <c r="Y606" s="84"/>
      <c r="Z606" s="84"/>
    </row>
    <row r="607" spans="1:26" ht="15">
      <c r="A607" s="83"/>
      <c r="B607" s="84"/>
      <c r="C607" s="84"/>
      <c r="D607" s="84"/>
      <c r="E607" s="84"/>
      <c r="F607" s="84"/>
      <c r="G607" s="84"/>
      <c r="H607" s="84"/>
      <c r="I607" s="84"/>
      <c r="J607" s="84"/>
      <c r="K607" s="84"/>
      <c r="L607" s="84"/>
      <c r="M607" s="84"/>
      <c r="N607" s="84"/>
      <c r="O607" s="84"/>
      <c r="P607" s="84"/>
      <c r="Q607" s="84"/>
      <c r="R607" s="84"/>
      <c r="S607" s="84"/>
      <c r="T607" s="84"/>
      <c r="U607" s="84"/>
      <c r="V607" s="84"/>
      <c r="W607" s="84"/>
      <c r="X607" s="84"/>
      <c r="Y607" s="84"/>
      <c r="Z607" s="84"/>
    </row>
    <row r="608" spans="1:26" ht="15">
      <c r="A608" s="83"/>
      <c r="B608" s="84"/>
      <c r="C608" s="84"/>
      <c r="D608" s="84"/>
      <c r="E608" s="84"/>
      <c r="F608" s="84"/>
      <c r="G608" s="84"/>
      <c r="H608" s="84"/>
      <c r="I608" s="84"/>
      <c r="J608" s="84"/>
      <c r="K608" s="84"/>
      <c r="L608" s="84"/>
      <c r="M608" s="84"/>
      <c r="N608" s="84"/>
      <c r="O608" s="84"/>
      <c r="P608" s="84"/>
      <c r="Q608" s="84"/>
      <c r="R608" s="84"/>
      <c r="S608" s="84"/>
      <c r="T608" s="84"/>
      <c r="U608" s="84"/>
      <c r="V608" s="84"/>
      <c r="W608" s="84"/>
      <c r="X608" s="84"/>
      <c r="Y608" s="84"/>
      <c r="Z608" s="84"/>
    </row>
    <row r="609" spans="1:26" ht="15">
      <c r="A609" s="83"/>
      <c r="B609" s="84"/>
      <c r="C609" s="84"/>
      <c r="D609" s="84"/>
      <c r="E609" s="84"/>
      <c r="F609" s="84"/>
      <c r="G609" s="84"/>
      <c r="H609" s="84"/>
      <c r="I609" s="84"/>
      <c r="J609" s="84"/>
      <c r="K609" s="84"/>
      <c r="L609" s="84"/>
      <c r="M609" s="84"/>
      <c r="N609" s="84"/>
      <c r="O609" s="84"/>
      <c r="P609" s="84"/>
      <c r="Q609" s="84"/>
      <c r="R609" s="84"/>
      <c r="S609" s="84"/>
      <c r="T609" s="84"/>
      <c r="U609" s="84"/>
      <c r="V609" s="84"/>
      <c r="W609" s="84"/>
      <c r="X609" s="84"/>
      <c r="Y609" s="84"/>
      <c r="Z609" s="84"/>
    </row>
    <row r="610" spans="1:26" ht="15">
      <c r="A610" s="83"/>
      <c r="B610" s="84"/>
      <c r="C610" s="84"/>
      <c r="D610" s="84"/>
      <c r="E610" s="84"/>
      <c r="F610" s="84"/>
      <c r="G610" s="84"/>
      <c r="H610" s="84"/>
      <c r="I610" s="84"/>
      <c r="J610" s="84"/>
      <c r="K610" s="84"/>
      <c r="L610" s="84"/>
      <c r="M610" s="84"/>
      <c r="N610" s="84"/>
      <c r="O610" s="84"/>
      <c r="P610" s="84"/>
      <c r="Q610" s="84"/>
      <c r="R610" s="84"/>
      <c r="S610" s="84"/>
      <c r="T610" s="84"/>
      <c r="U610" s="84"/>
      <c r="V610" s="84"/>
      <c r="W610" s="84"/>
      <c r="X610" s="84"/>
      <c r="Y610" s="84"/>
      <c r="Z610" s="84"/>
    </row>
    <row r="611" spans="1:26" ht="15">
      <c r="A611" s="83"/>
      <c r="B611" s="84"/>
      <c r="C611" s="84"/>
      <c r="D611" s="84"/>
      <c r="E611" s="84"/>
      <c r="F611" s="84"/>
      <c r="G611" s="84"/>
      <c r="H611" s="84"/>
      <c r="I611" s="84"/>
      <c r="J611" s="84"/>
      <c r="K611" s="84"/>
      <c r="L611" s="84"/>
      <c r="M611" s="84"/>
      <c r="N611" s="84"/>
      <c r="O611" s="84"/>
      <c r="P611" s="84"/>
      <c r="Q611" s="84"/>
      <c r="R611" s="84"/>
      <c r="S611" s="84"/>
      <c r="T611" s="84"/>
      <c r="U611" s="84"/>
      <c r="V611" s="84"/>
      <c r="W611" s="84"/>
      <c r="X611" s="84"/>
      <c r="Y611" s="84"/>
      <c r="Z611" s="84"/>
    </row>
    <row r="612" spans="1:26" ht="15">
      <c r="A612" s="83"/>
      <c r="B612" s="84"/>
      <c r="C612" s="84"/>
      <c r="D612" s="84"/>
      <c r="E612" s="84"/>
      <c r="F612" s="84"/>
      <c r="G612" s="84"/>
      <c r="H612" s="84"/>
      <c r="I612" s="84"/>
      <c r="J612" s="84"/>
      <c r="K612" s="84"/>
      <c r="L612" s="84"/>
      <c r="M612" s="84"/>
      <c r="N612" s="84"/>
      <c r="O612" s="84"/>
      <c r="P612" s="84"/>
      <c r="Q612" s="84"/>
      <c r="R612" s="84"/>
      <c r="S612" s="84"/>
      <c r="T612" s="84"/>
      <c r="U612" s="84"/>
      <c r="V612" s="84"/>
      <c r="W612" s="84"/>
      <c r="X612" s="84"/>
      <c r="Y612" s="84"/>
      <c r="Z612" s="84"/>
    </row>
    <row r="613" spans="1:26" ht="15">
      <c r="A613" s="83"/>
      <c r="B613" s="84"/>
      <c r="C613" s="84"/>
      <c r="D613" s="84"/>
      <c r="E613" s="84"/>
      <c r="F613" s="84"/>
      <c r="G613" s="84"/>
      <c r="H613" s="84"/>
      <c r="I613" s="84"/>
      <c r="J613" s="84"/>
      <c r="K613" s="84"/>
      <c r="L613" s="84"/>
      <c r="M613" s="84"/>
      <c r="N613" s="84"/>
      <c r="O613" s="84"/>
      <c r="P613" s="84"/>
      <c r="Q613" s="84"/>
      <c r="R613" s="84"/>
      <c r="S613" s="84"/>
      <c r="T613" s="84"/>
      <c r="U613" s="84"/>
      <c r="V613" s="84"/>
      <c r="W613" s="84"/>
      <c r="X613" s="84"/>
      <c r="Y613" s="84"/>
      <c r="Z613" s="84"/>
    </row>
    <row r="614" spans="1:26" ht="15">
      <c r="A614" s="83"/>
      <c r="B614" s="84"/>
      <c r="C614" s="84"/>
      <c r="D614" s="84"/>
      <c r="E614" s="84"/>
      <c r="F614" s="84"/>
      <c r="G614" s="84"/>
      <c r="H614" s="84"/>
      <c r="I614" s="84"/>
      <c r="J614" s="84"/>
      <c r="K614" s="84"/>
      <c r="L614" s="84"/>
      <c r="M614" s="84"/>
      <c r="N614" s="84"/>
      <c r="O614" s="84"/>
      <c r="P614" s="84"/>
      <c r="Q614" s="84"/>
      <c r="R614" s="84"/>
      <c r="S614" s="84"/>
      <c r="T614" s="84"/>
      <c r="U614" s="84"/>
      <c r="V614" s="84"/>
      <c r="W614" s="84"/>
      <c r="X614" s="84"/>
      <c r="Y614" s="84"/>
      <c r="Z614" s="84"/>
    </row>
    <row r="615" spans="1:26" ht="15">
      <c r="A615" s="83"/>
      <c r="B615" s="84"/>
      <c r="C615" s="84"/>
      <c r="D615" s="84"/>
      <c r="E615" s="84"/>
      <c r="F615" s="84"/>
      <c r="G615" s="84"/>
      <c r="H615" s="84"/>
      <c r="I615" s="84"/>
      <c r="J615" s="84"/>
      <c r="K615" s="84"/>
      <c r="L615" s="84"/>
      <c r="M615" s="84"/>
      <c r="N615" s="84"/>
      <c r="O615" s="84"/>
      <c r="P615" s="84"/>
      <c r="Q615" s="84"/>
      <c r="R615" s="84"/>
      <c r="S615" s="84"/>
      <c r="T615" s="84"/>
      <c r="U615" s="84"/>
      <c r="V615" s="84"/>
      <c r="W615" s="84"/>
      <c r="X615" s="84"/>
      <c r="Y615" s="84"/>
      <c r="Z615" s="84"/>
    </row>
    <row r="616" spans="1:26" ht="15">
      <c r="A616" s="83"/>
      <c r="B616" s="84"/>
      <c r="C616" s="84"/>
      <c r="D616" s="84"/>
      <c r="E616" s="84"/>
      <c r="F616" s="84"/>
      <c r="G616" s="84"/>
      <c r="H616" s="84"/>
      <c r="I616" s="84"/>
      <c r="J616" s="84"/>
      <c r="K616" s="84"/>
      <c r="L616" s="84"/>
      <c r="M616" s="84"/>
      <c r="N616" s="84"/>
      <c r="O616" s="84"/>
      <c r="P616" s="84"/>
      <c r="Q616" s="84"/>
      <c r="R616" s="84"/>
      <c r="S616" s="84"/>
      <c r="T616" s="84"/>
      <c r="U616" s="84"/>
      <c r="V616" s="84"/>
      <c r="W616" s="84"/>
      <c r="X616" s="84"/>
      <c r="Y616" s="84"/>
      <c r="Z616" s="84"/>
    </row>
    <row r="617" spans="1:26" ht="15">
      <c r="A617" s="83"/>
      <c r="B617" s="84"/>
      <c r="C617" s="84"/>
      <c r="D617" s="84"/>
      <c r="E617" s="84"/>
      <c r="F617" s="84"/>
      <c r="G617" s="84"/>
      <c r="H617" s="84"/>
      <c r="I617" s="84"/>
      <c r="J617" s="84"/>
      <c r="K617" s="84"/>
      <c r="L617" s="84"/>
      <c r="M617" s="84"/>
      <c r="N617" s="84"/>
      <c r="O617" s="84"/>
      <c r="P617" s="84"/>
      <c r="Q617" s="84"/>
      <c r="R617" s="84"/>
      <c r="S617" s="84"/>
      <c r="T617" s="84"/>
      <c r="U617" s="84"/>
      <c r="V617" s="84"/>
      <c r="W617" s="84"/>
      <c r="X617" s="84"/>
      <c r="Y617" s="84"/>
      <c r="Z617" s="84"/>
    </row>
    <row r="618" spans="1:26" ht="15">
      <c r="A618" s="83"/>
      <c r="B618" s="84"/>
      <c r="C618" s="84"/>
      <c r="D618" s="84"/>
      <c r="E618" s="84"/>
      <c r="F618" s="84"/>
      <c r="G618" s="84"/>
      <c r="H618" s="84"/>
      <c r="I618" s="84"/>
      <c r="J618" s="84"/>
      <c r="K618" s="84"/>
      <c r="L618" s="84"/>
      <c r="M618" s="84"/>
      <c r="N618" s="84"/>
      <c r="O618" s="84"/>
      <c r="P618" s="84"/>
      <c r="Q618" s="84"/>
      <c r="R618" s="84"/>
      <c r="S618" s="84"/>
      <c r="T618" s="84"/>
      <c r="U618" s="84"/>
      <c r="V618" s="84"/>
      <c r="W618" s="84"/>
      <c r="X618" s="84"/>
      <c r="Y618" s="84"/>
      <c r="Z618" s="84"/>
    </row>
    <row r="619" spans="1:26" ht="15">
      <c r="A619" s="83"/>
      <c r="B619" s="84"/>
      <c r="C619" s="84"/>
      <c r="D619" s="84"/>
      <c r="E619" s="84"/>
      <c r="F619" s="84"/>
      <c r="G619" s="84"/>
      <c r="H619" s="84"/>
      <c r="I619" s="84"/>
      <c r="J619" s="84"/>
      <c r="K619" s="84"/>
      <c r="L619" s="84"/>
      <c r="M619" s="84"/>
      <c r="N619" s="84"/>
      <c r="O619" s="84"/>
      <c r="P619" s="84"/>
      <c r="Q619" s="84"/>
      <c r="R619" s="84"/>
      <c r="S619" s="84"/>
      <c r="T619" s="84"/>
      <c r="U619" s="84"/>
      <c r="V619" s="84"/>
      <c r="W619" s="84"/>
      <c r="X619" s="84"/>
      <c r="Y619" s="84"/>
      <c r="Z619" s="84"/>
    </row>
    <row r="620" spans="1:26" ht="15">
      <c r="A620" s="83"/>
      <c r="B620" s="84"/>
      <c r="C620" s="84"/>
      <c r="D620" s="84"/>
      <c r="E620" s="84"/>
      <c r="F620" s="84"/>
      <c r="G620" s="84"/>
      <c r="H620" s="84"/>
      <c r="I620" s="84"/>
      <c r="J620" s="84"/>
      <c r="K620" s="84"/>
      <c r="L620" s="84"/>
      <c r="M620" s="84"/>
      <c r="N620" s="84"/>
      <c r="O620" s="84"/>
      <c r="P620" s="84"/>
      <c r="Q620" s="84"/>
      <c r="R620" s="84"/>
      <c r="S620" s="84"/>
      <c r="T620" s="84"/>
      <c r="U620" s="84"/>
      <c r="V620" s="84"/>
      <c r="W620" s="84"/>
      <c r="X620" s="84"/>
      <c r="Y620" s="84"/>
      <c r="Z620" s="84"/>
    </row>
    <row r="621" spans="1:26" ht="15">
      <c r="A621" s="83"/>
      <c r="B621" s="84"/>
      <c r="C621" s="84"/>
      <c r="D621" s="84"/>
      <c r="E621" s="84"/>
      <c r="F621" s="84"/>
      <c r="G621" s="84"/>
      <c r="H621" s="84"/>
      <c r="I621" s="84"/>
      <c r="J621" s="84"/>
      <c r="K621" s="84"/>
      <c r="L621" s="84"/>
      <c r="M621" s="84"/>
      <c r="N621" s="84"/>
      <c r="O621" s="84"/>
      <c r="P621" s="84"/>
      <c r="Q621" s="84"/>
      <c r="R621" s="84"/>
      <c r="S621" s="84"/>
      <c r="T621" s="84"/>
      <c r="U621" s="84"/>
      <c r="V621" s="84"/>
      <c r="W621" s="84"/>
      <c r="X621" s="84"/>
      <c r="Y621" s="84"/>
      <c r="Z621" s="84"/>
    </row>
    <row r="622" spans="1:26" ht="15">
      <c r="A622" s="83"/>
      <c r="B622" s="84"/>
      <c r="C622" s="84"/>
      <c r="D622" s="84"/>
      <c r="E622" s="84"/>
      <c r="F622" s="84"/>
      <c r="G622" s="84"/>
      <c r="H622" s="84"/>
      <c r="I622" s="84"/>
      <c r="J622" s="84"/>
      <c r="K622" s="84"/>
      <c r="L622" s="84"/>
      <c r="M622" s="84"/>
      <c r="N622" s="84"/>
      <c r="O622" s="84"/>
      <c r="P622" s="84"/>
      <c r="Q622" s="84"/>
      <c r="R622" s="84"/>
      <c r="S622" s="84"/>
      <c r="T622" s="84"/>
      <c r="U622" s="84"/>
      <c r="V622" s="84"/>
      <c r="W622" s="84"/>
      <c r="X622" s="84"/>
      <c r="Y622" s="84"/>
      <c r="Z622" s="84"/>
    </row>
    <row r="623" spans="1:26" ht="15">
      <c r="A623" s="83"/>
      <c r="B623" s="84"/>
      <c r="C623" s="84"/>
      <c r="D623" s="84"/>
      <c r="E623" s="84"/>
      <c r="F623" s="84"/>
      <c r="G623" s="84"/>
      <c r="H623" s="84"/>
      <c r="I623" s="84"/>
      <c r="J623" s="84"/>
      <c r="K623" s="84"/>
      <c r="L623" s="84"/>
      <c r="M623" s="84"/>
      <c r="N623" s="84"/>
      <c r="O623" s="84"/>
      <c r="P623" s="84"/>
      <c r="Q623" s="84"/>
      <c r="R623" s="84"/>
      <c r="S623" s="84"/>
      <c r="T623" s="84"/>
      <c r="U623" s="84"/>
      <c r="V623" s="84"/>
      <c r="W623" s="84"/>
      <c r="X623" s="84"/>
      <c r="Y623" s="84"/>
      <c r="Z623" s="84"/>
    </row>
    <row r="624" spans="1:26" ht="15">
      <c r="A624" s="83"/>
      <c r="B624" s="84"/>
      <c r="C624" s="84"/>
      <c r="D624" s="84"/>
      <c r="E624" s="84"/>
      <c r="F624" s="84"/>
      <c r="G624" s="84"/>
      <c r="H624" s="84"/>
      <c r="I624" s="84"/>
      <c r="J624" s="84"/>
      <c r="K624" s="84"/>
      <c r="L624" s="84"/>
      <c r="M624" s="84"/>
      <c r="N624" s="84"/>
      <c r="O624" s="84"/>
      <c r="P624" s="84"/>
      <c r="Q624" s="84"/>
      <c r="R624" s="84"/>
      <c r="S624" s="84"/>
      <c r="T624" s="84"/>
      <c r="U624" s="84"/>
      <c r="V624" s="84"/>
      <c r="W624" s="84"/>
      <c r="X624" s="84"/>
      <c r="Y624" s="84"/>
      <c r="Z624" s="84"/>
    </row>
    <row r="625" spans="1:26" ht="15">
      <c r="A625" s="83"/>
      <c r="B625" s="84"/>
      <c r="C625" s="84"/>
      <c r="D625" s="84"/>
      <c r="E625" s="84"/>
      <c r="F625" s="84"/>
      <c r="G625" s="84"/>
      <c r="H625" s="84"/>
      <c r="I625" s="84"/>
      <c r="J625" s="84"/>
      <c r="K625" s="84"/>
      <c r="L625" s="84"/>
      <c r="M625" s="84"/>
      <c r="N625" s="84"/>
      <c r="O625" s="84"/>
      <c r="P625" s="84"/>
      <c r="Q625" s="84"/>
      <c r="R625" s="84"/>
      <c r="S625" s="84"/>
      <c r="T625" s="84"/>
      <c r="U625" s="84"/>
      <c r="V625" s="84"/>
      <c r="W625" s="84"/>
      <c r="X625" s="84"/>
      <c r="Y625" s="84"/>
      <c r="Z625" s="84"/>
    </row>
    <row r="626" spans="1:26" ht="15">
      <c r="A626" s="83"/>
      <c r="B626" s="84"/>
      <c r="C626" s="84"/>
      <c r="D626" s="84"/>
      <c r="E626" s="84"/>
      <c r="F626" s="84"/>
      <c r="G626" s="84"/>
      <c r="H626" s="84"/>
      <c r="I626" s="84"/>
      <c r="J626" s="84"/>
      <c r="K626" s="84"/>
      <c r="L626" s="84"/>
      <c r="M626" s="84"/>
      <c r="N626" s="84"/>
      <c r="O626" s="84"/>
      <c r="P626" s="84"/>
      <c r="Q626" s="84"/>
      <c r="R626" s="84"/>
      <c r="S626" s="84"/>
      <c r="T626" s="84"/>
      <c r="U626" s="84"/>
      <c r="V626" s="84"/>
      <c r="W626" s="84"/>
      <c r="X626" s="84"/>
      <c r="Y626" s="84"/>
      <c r="Z626" s="84"/>
    </row>
    <row r="627" spans="1:26" ht="15">
      <c r="A627" s="83"/>
      <c r="B627" s="84"/>
      <c r="C627" s="84"/>
      <c r="D627" s="84"/>
      <c r="E627" s="84"/>
      <c r="F627" s="84"/>
      <c r="G627" s="84"/>
      <c r="H627" s="84"/>
      <c r="I627" s="84"/>
      <c r="J627" s="84"/>
      <c r="K627" s="84"/>
      <c r="L627" s="84"/>
      <c r="M627" s="84"/>
      <c r="N627" s="84"/>
      <c r="O627" s="84"/>
      <c r="P627" s="84"/>
      <c r="Q627" s="84"/>
      <c r="R627" s="84"/>
      <c r="S627" s="84"/>
      <c r="T627" s="84"/>
      <c r="U627" s="84"/>
      <c r="V627" s="84"/>
      <c r="W627" s="84"/>
      <c r="X627" s="84"/>
      <c r="Y627" s="84"/>
      <c r="Z627" s="84"/>
    </row>
    <row r="628" spans="1:26" ht="15">
      <c r="A628" s="83"/>
      <c r="B628" s="84"/>
      <c r="C628" s="84"/>
      <c r="D628" s="84"/>
      <c r="E628" s="84"/>
      <c r="F628" s="84"/>
      <c r="G628" s="84"/>
      <c r="H628" s="84"/>
      <c r="I628" s="84"/>
      <c r="J628" s="84"/>
      <c r="K628" s="84"/>
      <c r="L628" s="84"/>
      <c r="M628" s="84"/>
      <c r="N628" s="84"/>
      <c r="O628" s="84"/>
      <c r="P628" s="84"/>
      <c r="Q628" s="84"/>
      <c r="R628" s="84"/>
      <c r="S628" s="84"/>
      <c r="T628" s="84"/>
      <c r="U628" s="84"/>
      <c r="V628" s="84"/>
      <c r="W628" s="84"/>
      <c r="X628" s="84"/>
      <c r="Y628" s="84"/>
      <c r="Z628" s="84"/>
    </row>
    <row r="629" spans="1:26" ht="15">
      <c r="A629" s="83"/>
      <c r="B629" s="84"/>
      <c r="C629" s="84"/>
      <c r="D629" s="84"/>
      <c r="E629" s="84"/>
      <c r="F629" s="84"/>
      <c r="G629" s="84"/>
      <c r="H629" s="84"/>
      <c r="I629" s="84"/>
      <c r="J629" s="84"/>
      <c r="K629" s="84"/>
      <c r="L629" s="84"/>
      <c r="M629" s="84"/>
      <c r="N629" s="84"/>
      <c r="O629" s="84"/>
      <c r="P629" s="84"/>
      <c r="Q629" s="84"/>
      <c r="R629" s="84"/>
      <c r="S629" s="84"/>
      <c r="T629" s="84"/>
      <c r="U629" s="84"/>
      <c r="V629" s="84"/>
      <c r="W629" s="84"/>
      <c r="X629" s="84"/>
      <c r="Y629" s="84"/>
      <c r="Z629" s="84"/>
    </row>
    <row r="630" spans="1:26" ht="15">
      <c r="A630" s="83"/>
      <c r="B630" s="84"/>
      <c r="C630" s="84"/>
      <c r="D630" s="84"/>
      <c r="E630" s="84"/>
      <c r="F630" s="84"/>
      <c r="G630" s="84"/>
      <c r="H630" s="84"/>
      <c r="I630" s="84"/>
      <c r="J630" s="84"/>
      <c r="K630" s="84"/>
      <c r="L630" s="84"/>
      <c r="M630" s="84"/>
      <c r="N630" s="84"/>
      <c r="O630" s="84"/>
      <c r="P630" s="84"/>
      <c r="Q630" s="84"/>
      <c r="R630" s="84"/>
      <c r="S630" s="84"/>
      <c r="T630" s="84"/>
      <c r="U630" s="84"/>
      <c r="V630" s="84"/>
      <c r="W630" s="84"/>
      <c r="X630" s="84"/>
      <c r="Y630" s="84"/>
      <c r="Z630" s="84"/>
    </row>
    <row r="631" spans="1:26" ht="15">
      <c r="A631" s="83"/>
      <c r="B631" s="84"/>
      <c r="C631" s="84"/>
      <c r="D631" s="84"/>
      <c r="E631" s="84"/>
      <c r="F631" s="84"/>
      <c r="G631" s="84"/>
      <c r="H631" s="84"/>
      <c r="I631" s="84"/>
      <c r="J631" s="84"/>
      <c r="K631" s="84"/>
      <c r="L631" s="84"/>
      <c r="M631" s="84"/>
      <c r="N631" s="84"/>
      <c r="O631" s="84"/>
      <c r="P631" s="84"/>
      <c r="Q631" s="84"/>
      <c r="R631" s="84"/>
      <c r="S631" s="84"/>
      <c r="T631" s="84"/>
      <c r="U631" s="84"/>
      <c r="V631" s="84"/>
      <c r="W631" s="84"/>
      <c r="X631" s="84"/>
      <c r="Y631" s="84"/>
      <c r="Z631" s="84"/>
    </row>
    <row r="632" spans="1:26" ht="15">
      <c r="A632" s="83"/>
      <c r="B632" s="84"/>
      <c r="C632" s="84"/>
      <c r="D632" s="84"/>
      <c r="E632" s="84"/>
      <c r="F632" s="84"/>
      <c r="G632" s="84"/>
      <c r="H632" s="84"/>
      <c r="I632" s="84"/>
      <c r="J632" s="84"/>
      <c r="K632" s="84"/>
      <c r="L632" s="84"/>
      <c r="M632" s="84"/>
      <c r="N632" s="84"/>
      <c r="O632" s="84"/>
      <c r="P632" s="84"/>
      <c r="Q632" s="84"/>
      <c r="R632" s="84"/>
      <c r="S632" s="84"/>
      <c r="T632" s="84"/>
      <c r="U632" s="84"/>
      <c r="V632" s="84"/>
      <c r="W632" s="84"/>
      <c r="X632" s="84"/>
      <c r="Y632" s="84"/>
      <c r="Z632" s="84"/>
    </row>
    <row r="633" spans="1:26" ht="15">
      <c r="A633" s="83"/>
      <c r="B633" s="84"/>
      <c r="C633" s="84"/>
      <c r="D633" s="84"/>
      <c r="E633" s="84"/>
      <c r="F633" s="84"/>
      <c r="G633" s="84"/>
      <c r="H633" s="84"/>
      <c r="I633" s="84"/>
      <c r="J633" s="84"/>
      <c r="K633" s="84"/>
      <c r="L633" s="84"/>
      <c r="M633" s="84"/>
      <c r="N633" s="84"/>
      <c r="O633" s="84"/>
      <c r="P633" s="84"/>
      <c r="Q633" s="84"/>
      <c r="R633" s="84"/>
      <c r="S633" s="84"/>
      <c r="T633" s="84"/>
      <c r="U633" s="84"/>
      <c r="V633" s="84"/>
      <c r="W633" s="84"/>
      <c r="X633" s="84"/>
      <c r="Y633" s="84"/>
      <c r="Z633" s="84"/>
    </row>
    <row r="634" spans="1:26" ht="15">
      <c r="A634" s="83"/>
      <c r="B634" s="84"/>
      <c r="C634" s="84"/>
      <c r="D634" s="84"/>
      <c r="E634" s="84"/>
      <c r="F634" s="84"/>
      <c r="G634" s="84"/>
      <c r="H634" s="84"/>
      <c r="I634" s="84"/>
      <c r="J634" s="84"/>
      <c r="K634" s="84"/>
      <c r="L634" s="84"/>
      <c r="M634" s="84"/>
      <c r="N634" s="84"/>
      <c r="O634" s="84"/>
      <c r="P634" s="84"/>
      <c r="Q634" s="84"/>
      <c r="R634" s="84"/>
      <c r="S634" s="84"/>
      <c r="T634" s="84"/>
      <c r="U634" s="84"/>
      <c r="V634" s="84"/>
      <c r="W634" s="84"/>
      <c r="X634" s="84"/>
      <c r="Y634" s="84"/>
      <c r="Z634" s="84"/>
    </row>
    <row r="635" spans="1:26" ht="15">
      <c r="A635" s="83"/>
      <c r="B635" s="84"/>
      <c r="C635" s="84"/>
      <c r="D635" s="84"/>
      <c r="E635" s="84"/>
      <c r="F635" s="84"/>
      <c r="G635" s="84"/>
      <c r="H635" s="84"/>
      <c r="I635" s="84"/>
      <c r="J635" s="84"/>
      <c r="K635" s="84"/>
      <c r="L635" s="84"/>
      <c r="M635" s="84"/>
      <c r="N635" s="84"/>
      <c r="O635" s="84"/>
      <c r="P635" s="84"/>
      <c r="Q635" s="84"/>
      <c r="R635" s="84"/>
      <c r="S635" s="84"/>
      <c r="T635" s="84"/>
      <c r="U635" s="84"/>
      <c r="V635" s="84"/>
      <c r="W635" s="84"/>
      <c r="X635" s="84"/>
      <c r="Y635" s="84"/>
      <c r="Z635" s="84"/>
    </row>
    <row r="636" spans="1:26" ht="15">
      <c r="A636" s="83"/>
      <c r="B636" s="84"/>
      <c r="C636" s="84"/>
      <c r="D636" s="84"/>
      <c r="E636" s="84"/>
      <c r="F636" s="84"/>
      <c r="G636" s="84"/>
      <c r="H636" s="84"/>
      <c r="I636" s="84"/>
      <c r="J636" s="84"/>
      <c r="K636" s="84"/>
      <c r="L636" s="84"/>
      <c r="M636" s="84"/>
      <c r="N636" s="84"/>
      <c r="O636" s="84"/>
      <c r="P636" s="84"/>
      <c r="Q636" s="84"/>
      <c r="R636" s="84"/>
      <c r="S636" s="84"/>
      <c r="T636" s="84"/>
      <c r="U636" s="84"/>
      <c r="V636" s="84"/>
      <c r="W636" s="84"/>
      <c r="X636" s="84"/>
      <c r="Y636" s="84"/>
      <c r="Z636" s="84"/>
    </row>
    <row r="637" spans="1:26" ht="15">
      <c r="A637" s="83"/>
      <c r="B637" s="84"/>
      <c r="C637" s="84"/>
      <c r="D637" s="84"/>
      <c r="E637" s="84"/>
      <c r="F637" s="84"/>
      <c r="G637" s="84"/>
      <c r="H637" s="84"/>
      <c r="I637" s="84"/>
      <c r="J637" s="84"/>
      <c r="K637" s="84"/>
      <c r="L637" s="84"/>
      <c r="M637" s="84"/>
      <c r="N637" s="84"/>
      <c r="O637" s="84"/>
      <c r="P637" s="84"/>
      <c r="Q637" s="84"/>
      <c r="R637" s="84"/>
      <c r="S637" s="84"/>
      <c r="T637" s="84"/>
      <c r="U637" s="84"/>
      <c r="V637" s="84"/>
      <c r="W637" s="84"/>
      <c r="X637" s="84"/>
      <c r="Y637" s="84"/>
      <c r="Z637" s="84"/>
    </row>
    <row r="638" spans="1:26" ht="15">
      <c r="A638" s="83"/>
      <c r="B638" s="84"/>
      <c r="C638" s="84"/>
      <c r="D638" s="84"/>
      <c r="E638" s="84"/>
      <c r="F638" s="84"/>
      <c r="G638" s="84"/>
      <c r="H638" s="84"/>
      <c r="I638" s="84"/>
      <c r="J638" s="84"/>
      <c r="K638" s="84"/>
      <c r="L638" s="84"/>
      <c r="M638" s="84"/>
      <c r="N638" s="84"/>
      <c r="O638" s="84"/>
      <c r="P638" s="84"/>
      <c r="Q638" s="84"/>
      <c r="R638" s="84"/>
      <c r="S638" s="84"/>
      <c r="T638" s="84"/>
      <c r="U638" s="84"/>
      <c r="V638" s="84"/>
      <c r="W638" s="84"/>
      <c r="X638" s="84"/>
      <c r="Y638" s="84"/>
      <c r="Z638" s="84"/>
    </row>
    <row r="639" spans="1:26" ht="15">
      <c r="A639" s="83"/>
      <c r="B639" s="84"/>
      <c r="C639" s="84"/>
      <c r="D639" s="84"/>
      <c r="E639" s="84"/>
      <c r="F639" s="84"/>
      <c r="G639" s="84"/>
      <c r="H639" s="84"/>
      <c r="I639" s="84"/>
      <c r="J639" s="84"/>
      <c r="K639" s="84"/>
      <c r="L639" s="84"/>
      <c r="M639" s="84"/>
      <c r="N639" s="84"/>
      <c r="O639" s="84"/>
      <c r="P639" s="84"/>
      <c r="Q639" s="84"/>
      <c r="R639" s="84"/>
      <c r="S639" s="84"/>
      <c r="T639" s="84"/>
      <c r="U639" s="84"/>
      <c r="V639" s="84"/>
      <c r="W639" s="84"/>
      <c r="X639" s="84"/>
      <c r="Y639" s="84"/>
      <c r="Z639" s="84"/>
    </row>
    <row r="640" spans="1:26" ht="15">
      <c r="A640" s="83"/>
      <c r="B640" s="84"/>
      <c r="C640" s="84"/>
      <c r="D640" s="84"/>
      <c r="E640" s="84"/>
      <c r="F640" s="84"/>
      <c r="G640" s="84"/>
      <c r="H640" s="84"/>
      <c r="I640" s="84"/>
      <c r="J640" s="84"/>
      <c r="K640" s="84"/>
      <c r="L640" s="84"/>
      <c r="M640" s="84"/>
      <c r="N640" s="84"/>
      <c r="O640" s="84"/>
      <c r="P640" s="84"/>
      <c r="Q640" s="84"/>
      <c r="R640" s="84"/>
      <c r="S640" s="84"/>
      <c r="T640" s="84"/>
      <c r="U640" s="84"/>
      <c r="V640" s="84"/>
      <c r="W640" s="84"/>
      <c r="X640" s="84"/>
      <c r="Y640" s="84"/>
      <c r="Z640" s="84"/>
    </row>
    <row r="641" spans="1:26" ht="15">
      <c r="A641" s="83"/>
      <c r="B641" s="84"/>
      <c r="C641" s="84"/>
      <c r="D641" s="84"/>
      <c r="E641" s="84"/>
      <c r="F641" s="84"/>
      <c r="G641" s="84"/>
      <c r="H641" s="84"/>
      <c r="I641" s="84"/>
      <c r="J641" s="84"/>
      <c r="K641" s="84"/>
      <c r="L641" s="84"/>
      <c r="M641" s="84"/>
      <c r="N641" s="84"/>
      <c r="O641" s="84"/>
      <c r="P641" s="84"/>
      <c r="Q641" s="84"/>
      <c r="R641" s="84"/>
      <c r="S641" s="84"/>
      <c r="T641" s="84"/>
      <c r="U641" s="84"/>
      <c r="V641" s="84"/>
      <c r="W641" s="84"/>
      <c r="X641" s="84"/>
      <c r="Y641" s="84"/>
      <c r="Z641" s="84"/>
    </row>
    <row r="642" spans="1:26" ht="15">
      <c r="A642" s="83"/>
      <c r="B642" s="84"/>
      <c r="C642" s="84"/>
      <c r="D642" s="84"/>
      <c r="E642" s="84"/>
      <c r="F642" s="84"/>
      <c r="G642" s="84"/>
      <c r="H642" s="84"/>
      <c r="I642" s="84"/>
      <c r="J642" s="84"/>
      <c r="K642" s="84"/>
      <c r="L642" s="84"/>
      <c r="M642" s="84"/>
      <c r="N642" s="84"/>
      <c r="O642" s="84"/>
      <c r="P642" s="84"/>
      <c r="Q642" s="84"/>
      <c r="R642" s="84"/>
      <c r="S642" s="84"/>
      <c r="T642" s="84"/>
      <c r="U642" s="84"/>
      <c r="V642" s="84"/>
      <c r="W642" s="84"/>
      <c r="X642" s="84"/>
      <c r="Y642" s="84"/>
      <c r="Z642" s="84"/>
    </row>
    <row r="643" spans="1:26" ht="15">
      <c r="A643" s="83"/>
      <c r="B643" s="84"/>
      <c r="C643" s="84"/>
      <c r="D643" s="84"/>
      <c r="E643" s="84"/>
      <c r="F643" s="84"/>
      <c r="G643" s="84"/>
      <c r="H643" s="84"/>
      <c r="I643" s="84"/>
      <c r="J643" s="84"/>
      <c r="K643" s="84"/>
      <c r="L643" s="84"/>
      <c r="M643" s="84"/>
      <c r="N643" s="84"/>
      <c r="O643" s="84"/>
      <c r="P643" s="84"/>
      <c r="Q643" s="84"/>
      <c r="R643" s="84"/>
      <c r="S643" s="84"/>
      <c r="T643" s="84"/>
      <c r="U643" s="84"/>
      <c r="V643" s="84"/>
      <c r="W643" s="84"/>
      <c r="X643" s="84"/>
      <c r="Y643" s="84"/>
      <c r="Z643" s="84"/>
    </row>
    <row r="644" spans="1:26" ht="15">
      <c r="A644" s="83"/>
      <c r="B644" s="84"/>
      <c r="C644" s="84"/>
      <c r="D644" s="84"/>
      <c r="E644" s="84"/>
      <c r="F644" s="84"/>
      <c r="G644" s="84"/>
      <c r="H644" s="84"/>
      <c r="I644" s="84"/>
      <c r="J644" s="84"/>
      <c r="K644" s="84"/>
      <c r="L644" s="84"/>
      <c r="M644" s="84"/>
      <c r="N644" s="84"/>
      <c r="O644" s="84"/>
      <c r="P644" s="84"/>
      <c r="Q644" s="84"/>
      <c r="R644" s="84"/>
      <c r="S644" s="84"/>
      <c r="T644" s="84"/>
      <c r="U644" s="84"/>
      <c r="V644" s="84"/>
      <c r="W644" s="84"/>
      <c r="X644" s="84"/>
      <c r="Y644" s="84"/>
      <c r="Z644" s="84"/>
    </row>
    <row r="645" spans="1:26" ht="15">
      <c r="A645" s="83"/>
      <c r="B645" s="84"/>
      <c r="C645" s="84"/>
      <c r="D645" s="84"/>
      <c r="E645" s="84"/>
      <c r="F645" s="84"/>
      <c r="G645" s="84"/>
      <c r="H645" s="84"/>
      <c r="I645" s="84"/>
      <c r="J645" s="84"/>
      <c r="K645" s="84"/>
      <c r="L645" s="84"/>
      <c r="M645" s="84"/>
      <c r="N645" s="84"/>
      <c r="O645" s="84"/>
      <c r="P645" s="84"/>
      <c r="Q645" s="84"/>
      <c r="R645" s="84"/>
      <c r="S645" s="84"/>
      <c r="T645" s="84"/>
      <c r="U645" s="84"/>
      <c r="V645" s="84"/>
      <c r="W645" s="84"/>
      <c r="X645" s="84"/>
      <c r="Y645" s="84"/>
      <c r="Z645" s="84"/>
    </row>
    <row r="646" spans="1:26" ht="15">
      <c r="A646" s="83"/>
      <c r="B646" s="84"/>
      <c r="C646" s="84"/>
      <c r="D646" s="84"/>
      <c r="E646" s="84"/>
      <c r="F646" s="84"/>
      <c r="G646" s="84"/>
      <c r="H646" s="84"/>
      <c r="I646" s="84"/>
      <c r="J646" s="84"/>
      <c r="K646" s="84"/>
      <c r="L646" s="84"/>
      <c r="M646" s="84"/>
      <c r="N646" s="84"/>
      <c r="O646" s="84"/>
      <c r="P646" s="84"/>
      <c r="Q646" s="84"/>
      <c r="R646" s="84"/>
      <c r="S646" s="84"/>
      <c r="T646" s="84"/>
      <c r="U646" s="84"/>
      <c r="V646" s="84"/>
      <c r="W646" s="84"/>
      <c r="X646" s="84"/>
      <c r="Y646" s="84"/>
      <c r="Z646" s="84"/>
    </row>
    <row r="647" spans="1:26" ht="15">
      <c r="A647" s="83"/>
      <c r="B647" s="84"/>
      <c r="C647" s="84"/>
      <c r="D647" s="84"/>
      <c r="E647" s="84"/>
      <c r="F647" s="84"/>
      <c r="G647" s="84"/>
      <c r="H647" s="84"/>
      <c r="I647" s="84"/>
      <c r="J647" s="84"/>
      <c r="K647" s="84"/>
      <c r="L647" s="84"/>
      <c r="M647" s="84"/>
      <c r="N647" s="84"/>
      <c r="O647" s="84"/>
      <c r="P647" s="84"/>
      <c r="Q647" s="84"/>
      <c r="R647" s="84"/>
      <c r="S647" s="84"/>
      <c r="T647" s="84"/>
      <c r="U647" s="84"/>
      <c r="V647" s="84"/>
      <c r="W647" s="84"/>
      <c r="X647" s="84"/>
      <c r="Y647" s="84"/>
      <c r="Z647" s="84"/>
    </row>
    <row r="648" spans="1:26" ht="15">
      <c r="A648" s="83"/>
      <c r="B648" s="84"/>
      <c r="C648" s="84"/>
      <c r="D648" s="84"/>
      <c r="E648" s="84"/>
      <c r="F648" s="84"/>
      <c r="G648" s="84"/>
      <c r="H648" s="84"/>
      <c r="I648" s="84"/>
      <c r="J648" s="84"/>
      <c r="K648" s="84"/>
      <c r="L648" s="84"/>
      <c r="M648" s="84"/>
      <c r="N648" s="84"/>
      <c r="O648" s="84"/>
      <c r="P648" s="84"/>
      <c r="Q648" s="84"/>
      <c r="R648" s="84"/>
      <c r="S648" s="84"/>
      <c r="T648" s="84"/>
      <c r="U648" s="84"/>
      <c r="V648" s="84"/>
      <c r="W648" s="84"/>
      <c r="X648" s="84"/>
      <c r="Y648" s="84"/>
      <c r="Z648" s="84"/>
    </row>
    <row r="649" spans="1:26" ht="15">
      <c r="A649" s="83"/>
      <c r="B649" s="84"/>
      <c r="C649" s="84"/>
      <c r="D649" s="84"/>
      <c r="E649" s="84"/>
      <c r="F649" s="84"/>
      <c r="G649" s="84"/>
      <c r="H649" s="84"/>
      <c r="I649" s="84"/>
      <c r="J649" s="84"/>
      <c r="K649" s="84"/>
      <c r="L649" s="84"/>
      <c r="M649" s="84"/>
      <c r="N649" s="84"/>
      <c r="O649" s="84"/>
      <c r="P649" s="84"/>
      <c r="Q649" s="84"/>
      <c r="R649" s="84"/>
      <c r="S649" s="84"/>
      <c r="T649" s="84"/>
      <c r="U649" s="84"/>
      <c r="V649" s="84"/>
      <c r="W649" s="84"/>
      <c r="X649" s="84"/>
      <c r="Y649" s="84"/>
      <c r="Z649" s="84"/>
    </row>
    <row r="650" spans="1:26" ht="15">
      <c r="A650" s="83"/>
      <c r="B650" s="84"/>
      <c r="C650" s="84"/>
      <c r="D650" s="84"/>
      <c r="E650" s="84"/>
      <c r="F650" s="84"/>
      <c r="G650" s="84"/>
      <c r="H650" s="84"/>
      <c r="I650" s="84"/>
      <c r="J650" s="84"/>
      <c r="K650" s="84"/>
      <c r="L650" s="84"/>
      <c r="M650" s="84"/>
      <c r="N650" s="84"/>
      <c r="O650" s="84"/>
      <c r="P650" s="84"/>
      <c r="Q650" s="84"/>
      <c r="R650" s="84"/>
      <c r="S650" s="84"/>
      <c r="T650" s="84"/>
      <c r="U650" s="84"/>
      <c r="V650" s="84"/>
      <c r="W650" s="84"/>
      <c r="X650" s="84"/>
      <c r="Y650" s="84"/>
      <c r="Z650" s="84"/>
    </row>
    <row r="651" spans="1:26" ht="15">
      <c r="A651" s="83"/>
      <c r="B651" s="84"/>
      <c r="C651" s="84"/>
      <c r="D651" s="84"/>
      <c r="E651" s="84"/>
      <c r="F651" s="84"/>
      <c r="G651" s="84"/>
      <c r="H651" s="84"/>
      <c r="I651" s="84"/>
      <c r="J651" s="84"/>
      <c r="K651" s="84"/>
      <c r="L651" s="84"/>
      <c r="M651" s="84"/>
      <c r="N651" s="84"/>
      <c r="O651" s="84"/>
      <c r="P651" s="84"/>
      <c r="Q651" s="84"/>
      <c r="R651" s="84"/>
      <c r="S651" s="84"/>
      <c r="T651" s="84"/>
      <c r="U651" s="84"/>
      <c r="V651" s="84"/>
      <c r="W651" s="84"/>
      <c r="X651" s="84"/>
      <c r="Y651" s="84"/>
      <c r="Z651" s="84"/>
    </row>
    <row r="652" spans="1:26" ht="15">
      <c r="A652" s="83"/>
      <c r="B652" s="84"/>
      <c r="C652" s="84"/>
      <c r="D652" s="84"/>
      <c r="E652" s="84"/>
      <c r="F652" s="84"/>
      <c r="G652" s="84"/>
      <c r="H652" s="84"/>
      <c r="I652" s="84"/>
      <c r="J652" s="84"/>
      <c r="K652" s="84"/>
      <c r="L652" s="84"/>
      <c r="M652" s="84"/>
      <c r="N652" s="84"/>
      <c r="O652" s="84"/>
      <c r="P652" s="84"/>
      <c r="Q652" s="84"/>
      <c r="R652" s="84"/>
      <c r="S652" s="84"/>
      <c r="T652" s="84"/>
      <c r="U652" s="84"/>
      <c r="V652" s="84"/>
      <c r="W652" s="84"/>
      <c r="X652" s="84"/>
      <c r="Y652" s="84"/>
      <c r="Z652" s="84"/>
    </row>
    <row r="653" spans="1:26" ht="15">
      <c r="A653" s="83"/>
      <c r="B653" s="84"/>
      <c r="C653" s="84"/>
      <c r="D653" s="84"/>
      <c r="E653" s="84"/>
      <c r="F653" s="84"/>
      <c r="G653" s="84"/>
      <c r="H653" s="84"/>
      <c r="I653" s="84"/>
      <c r="J653" s="84"/>
      <c r="K653" s="84"/>
      <c r="L653" s="84"/>
      <c r="M653" s="84"/>
      <c r="N653" s="84"/>
      <c r="O653" s="84"/>
      <c r="P653" s="84"/>
      <c r="Q653" s="84"/>
      <c r="R653" s="84"/>
      <c r="S653" s="84"/>
      <c r="T653" s="84"/>
      <c r="U653" s="84"/>
      <c r="V653" s="84"/>
      <c r="W653" s="84"/>
      <c r="X653" s="84"/>
      <c r="Y653" s="84"/>
      <c r="Z653" s="84"/>
    </row>
    <row r="654" spans="1:26" ht="15">
      <c r="A654" s="83"/>
      <c r="B654" s="84"/>
      <c r="C654" s="84"/>
      <c r="D654" s="84"/>
      <c r="E654" s="84"/>
      <c r="F654" s="84"/>
      <c r="G654" s="84"/>
      <c r="H654" s="84"/>
      <c r="I654" s="84"/>
      <c r="J654" s="84"/>
      <c r="K654" s="84"/>
      <c r="L654" s="84"/>
      <c r="M654" s="84"/>
      <c r="N654" s="84"/>
      <c r="O654" s="84"/>
      <c r="P654" s="84"/>
      <c r="Q654" s="84"/>
      <c r="R654" s="84"/>
      <c r="S654" s="84"/>
      <c r="T654" s="84"/>
      <c r="U654" s="84"/>
      <c r="V654" s="84"/>
      <c r="W654" s="84"/>
      <c r="X654" s="84"/>
      <c r="Y654" s="84"/>
      <c r="Z654" s="84"/>
    </row>
    <row r="655" spans="1:26" ht="15">
      <c r="A655" s="83"/>
      <c r="B655" s="84"/>
      <c r="C655" s="84"/>
      <c r="D655" s="84"/>
      <c r="E655" s="84"/>
      <c r="F655" s="84"/>
      <c r="G655" s="84"/>
      <c r="H655" s="84"/>
      <c r="I655" s="84"/>
      <c r="J655" s="84"/>
      <c r="K655" s="84"/>
      <c r="L655" s="84"/>
      <c r="M655" s="84"/>
      <c r="N655" s="84"/>
      <c r="O655" s="84"/>
      <c r="P655" s="84"/>
      <c r="Q655" s="84"/>
      <c r="R655" s="84"/>
      <c r="S655" s="84"/>
      <c r="T655" s="84"/>
      <c r="U655" s="84"/>
      <c r="V655" s="84"/>
      <c r="W655" s="84"/>
      <c r="X655" s="84"/>
      <c r="Y655" s="84"/>
      <c r="Z655" s="84"/>
    </row>
    <row r="656" spans="1:26" ht="15">
      <c r="A656" s="83"/>
      <c r="B656" s="84"/>
      <c r="C656" s="84"/>
      <c r="D656" s="84"/>
      <c r="E656" s="84"/>
      <c r="F656" s="84"/>
      <c r="G656" s="84"/>
      <c r="H656" s="84"/>
      <c r="I656" s="84"/>
      <c r="J656" s="84"/>
      <c r="K656" s="84"/>
      <c r="L656" s="84"/>
      <c r="M656" s="84"/>
      <c r="N656" s="84"/>
      <c r="O656" s="84"/>
      <c r="P656" s="84"/>
      <c r="Q656" s="84"/>
      <c r="R656" s="84"/>
      <c r="S656" s="84"/>
      <c r="T656" s="84"/>
      <c r="U656" s="84"/>
      <c r="V656" s="84"/>
      <c r="W656" s="84"/>
      <c r="X656" s="84"/>
      <c r="Y656" s="84"/>
      <c r="Z656" s="84"/>
    </row>
    <row r="657" spans="1:26" ht="15">
      <c r="A657" s="83"/>
      <c r="B657" s="84"/>
      <c r="C657" s="84"/>
      <c r="D657" s="84"/>
      <c r="E657" s="84"/>
      <c r="F657" s="84"/>
      <c r="G657" s="84"/>
      <c r="H657" s="84"/>
      <c r="I657" s="84"/>
      <c r="J657" s="84"/>
      <c r="K657" s="84"/>
      <c r="L657" s="84"/>
      <c r="M657" s="84"/>
      <c r="N657" s="84"/>
      <c r="O657" s="84"/>
      <c r="P657" s="84"/>
      <c r="Q657" s="84"/>
      <c r="R657" s="84"/>
      <c r="S657" s="84"/>
      <c r="T657" s="84"/>
      <c r="U657" s="84"/>
      <c r="V657" s="84"/>
      <c r="W657" s="84"/>
      <c r="X657" s="84"/>
      <c r="Y657" s="84"/>
      <c r="Z657" s="84"/>
    </row>
    <row r="658" spans="1:26" ht="15">
      <c r="A658" s="83"/>
      <c r="B658" s="84"/>
      <c r="C658" s="84"/>
      <c r="D658" s="84"/>
      <c r="E658" s="84"/>
      <c r="F658" s="84"/>
      <c r="G658" s="84"/>
      <c r="H658" s="84"/>
      <c r="I658" s="84"/>
      <c r="J658" s="84"/>
      <c r="K658" s="84"/>
      <c r="L658" s="84"/>
      <c r="M658" s="84"/>
      <c r="N658" s="84"/>
      <c r="O658" s="84"/>
      <c r="P658" s="84"/>
      <c r="Q658" s="84"/>
      <c r="R658" s="84"/>
      <c r="S658" s="84"/>
      <c r="T658" s="84"/>
      <c r="U658" s="84"/>
      <c r="V658" s="84"/>
      <c r="W658" s="84"/>
      <c r="X658" s="84"/>
      <c r="Y658" s="84"/>
      <c r="Z658" s="84"/>
    </row>
    <row r="659" spans="1:26" ht="15">
      <c r="A659" s="83"/>
      <c r="B659" s="84"/>
      <c r="C659" s="84"/>
      <c r="D659" s="84"/>
      <c r="E659" s="84"/>
      <c r="F659" s="84"/>
      <c r="G659" s="84"/>
      <c r="H659" s="84"/>
      <c r="I659" s="84"/>
      <c r="J659" s="84"/>
      <c r="K659" s="84"/>
      <c r="L659" s="84"/>
      <c r="M659" s="84"/>
      <c r="N659" s="84"/>
      <c r="O659" s="84"/>
      <c r="P659" s="84"/>
      <c r="Q659" s="84"/>
      <c r="R659" s="84"/>
      <c r="S659" s="84"/>
      <c r="T659" s="84"/>
      <c r="U659" s="84"/>
      <c r="V659" s="84"/>
      <c r="W659" s="84"/>
      <c r="X659" s="84"/>
      <c r="Y659" s="84"/>
      <c r="Z659" s="84"/>
    </row>
    <row r="660" spans="1:26" ht="15">
      <c r="A660" s="83"/>
      <c r="B660" s="84"/>
      <c r="C660" s="84"/>
      <c r="D660" s="84"/>
      <c r="E660" s="84"/>
      <c r="F660" s="84"/>
      <c r="G660" s="84"/>
      <c r="H660" s="84"/>
      <c r="I660" s="84"/>
      <c r="J660" s="84"/>
      <c r="K660" s="84"/>
      <c r="L660" s="84"/>
      <c r="M660" s="84"/>
      <c r="N660" s="84"/>
      <c r="O660" s="84"/>
      <c r="P660" s="84"/>
      <c r="Q660" s="84"/>
      <c r="R660" s="84"/>
      <c r="S660" s="84"/>
      <c r="T660" s="84"/>
      <c r="U660" s="84"/>
      <c r="V660" s="84"/>
      <c r="W660" s="84"/>
      <c r="X660" s="84"/>
      <c r="Y660" s="84"/>
      <c r="Z660" s="84"/>
    </row>
    <row r="661" spans="1:26" ht="15">
      <c r="A661" s="83"/>
      <c r="B661" s="84"/>
      <c r="C661" s="84"/>
      <c r="D661" s="84"/>
      <c r="E661" s="84"/>
      <c r="F661" s="84"/>
      <c r="G661" s="84"/>
      <c r="H661" s="84"/>
      <c r="I661" s="84"/>
      <c r="J661" s="84"/>
      <c r="K661" s="84"/>
      <c r="L661" s="84"/>
      <c r="M661" s="84"/>
      <c r="N661" s="84"/>
      <c r="O661" s="84"/>
      <c r="P661" s="84"/>
      <c r="Q661" s="84"/>
      <c r="R661" s="84"/>
      <c r="S661" s="84"/>
      <c r="T661" s="84"/>
      <c r="U661" s="84"/>
      <c r="V661" s="84"/>
      <c r="W661" s="84"/>
      <c r="X661" s="84"/>
      <c r="Y661" s="84"/>
      <c r="Z661" s="84"/>
    </row>
    <row r="662" spans="1:26" ht="15">
      <c r="A662" s="83"/>
      <c r="B662" s="84"/>
      <c r="C662" s="84"/>
      <c r="D662" s="84"/>
      <c r="E662" s="84"/>
      <c r="F662" s="84"/>
      <c r="G662" s="84"/>
      <c r="H662" s="84"/>
      <c r="I662" s="84"/>
      <c r="J662" s="84"/>
      <c r="K662" s="84"/>
      <c r="L662" s="84"/>
      <c r="M662" s="84"/>
      <c r="N662" s="84"/>
      <c r="O662" s="84"/>
      <c r="P662" s="84"/>
      <c r="Q662" s="84"/>
      <c r="R662" s="84"/>
      <c r="S662" s="84"/>
      <c r="T662" s="84"/>
      <c r="U662" s="84"/>
      <c r="V662" s="84"/>
      <c r="W662" s="84"/>
      <c r="X662" s="84"/>
      <c r="Y662" s="84"/>
      <c r="Z662" s="84"/>
    </row>
    <row r="663" spans="1:26" ht="15">
      <c r="A663" s="83"/>
      <c r="B663" s="84"/>
      <c r="C663" s="84"/>
      <c r="D663" s="84"/>
      <c r="E663" s="84"/>
      <c r="F663" s="84"/>
      <c r="G663" s="84"/>
      <c r="H663" s="84"/>
      <c r="I663" s="84"/>
      <c r="J663" s="84"/>
      <c r="K663" s="84"/>
      <c r="L663" s="84"/>
      <c r="M663" s="84"/>
      <c r="N663" s="84"/>
      <c r="O663" s="84"/>
      <c r="P663" s="84"/>
      <c r="Q663" s="84"/>
      <c r="R663" s="84"/>
      <c r="S663" s="84"/>
      <c r="T663" s="84"/>
      <c r="U663" s="84"/>
      <c r="V663" s="84"/>
      <c r="W663" s="84"/>
      <c r="X663" s="84"/>
      <c r="Y663" s="84"/>
      <c r="Z663" s="84"/>
    </row>
    <row r="664" spans="1:26" ht="15">
      <c r="A664" s="83"/>
      <c r="B664" s="84"/>
      <c r="C664" s="84"/>
      <c r="D664" s="84"/>
      <c r="E664" s="84"/>
      <c r="F664" s="84"/>
      <c r="G664" s="84"/>
      <c r="H664" s="84"/>
      <c r="I664" s="84"/>
      <c r="J664" s="84"/>
      <c r="K664" s="84"/>
      <c r="L664" s="84"/>
      <c r="M664" s="84"/>
      <c r="N664" s="84"/>
      <c r="O664" s="84"/>
      <c r="P664" s="84"/>
      <c r="Q664" s="84"/>
      <c r="R664" s="84"/>
      <c r="S664" s="84"/>
      <c r="T664" s="84"/>
      <c r="U664" s="84"/>
      <c r="V664" s="84"/>
      <c r="W664" s="84"/>
      <c r="X664" s="84"/>
      <c r="Y664" s="84"/>
      <c r="Z664" s="84"/>
    </row>
    <row r="665" spans="1:26" ht="15">
      <c r="A665" s="83"/>
      <c r="B665" s="84"/>
      <c r="C665" s="84"/>
      <c r="D665" s="84"/>
      <c r="E665" s="84"/>
      <c r="F665" s="84"/>
      <c r="G665" s="84"/>
      <c r="H665" s="84"/>
      <c r="I665" s="84"/>
      <c r="J665" s="84"/>
      <c r="K665" s="84"/>
      <c r="L665" s="84"/>
      <c r="M665" s="84"/>
      <c r="N665" s="84"/>
      <c r="O665" s="84"/>
      <c r="P665" s="84"/>
      <c r="Q665" s="84"/>
      <c r="R665" s="84"/>
      <c r="S665" s="84"/>
      <c r="T665" s="84"/>
      <c r="U665" s="84"/>
      <c r="V665" s="84"/>
      <c r="W665" s="84"/>
      <c r="X665" s="84"/>
      <c r="Y665" s="84"/>
      <c r="Z665" s="84"/>
    </row>
    <row r="666" spans="1:26" ht="15">
      <c r="A666" s="83"/>
      <c r="B666" s="84"/>
      <c r="C666" s="84"/>
      <c r="D666" s="84"/>
      <c r="E666" s="84"/>
      <c r="F666" s="84"/>
      <c r="G666" s="84"/>
      <c r="H666" s="84"/>
      <c r="I666" s="84"/>
      <c r="J666" s="84"/>
      <c r="K666" s="84"/>
      <c r="L666" s="84"/>
      <c r="M666" s="84"/>
      <c r="N666" s="84"/>
      <c r="O666" s="84"/>
      <c r="P666" s="84"/>
      <c r="Q666" s="84"/>
      <c r="R666" s="84"/>
      <c r="S666" s="84"/>
      <c r="T666" s="84"/>
      <c r="U666" s="84"/>
      <c r="V666" s="84"/>
      <c r="W666" s="84"/>
      <c r="X666" s="84"/>
      <c r="Y666" s="84"/>
      <c r="Z666" s="84"/>
    </row>
    <row r="667" spans="1:26" ht="15">
      <c r="A667" s="83"/>
      <c r="B667" s="84"/>
      <c r="C667" s="84"/>
      <c r="D667" s="84"/>
      <c r="E667" s="84"/>
      <c r="F667" s="84"/>
      <c r="G667" s="84"/>
      <c r="H667" s="84"/>
      <c r="I667" s="84"/>
      <c r="J667" s="84"/>
      <c r="K667" s="84"/>
      <c r="L667" s="84"/>
      <c r="M667" s="84"/>
      <c r="N667" s="84"/>
      <c r="O667" s="84"/>
      <c r="P667" s="84"/>
      <c r="Q667" s="84"/>
      <c r="R667" s="84"/>
      <c r="S667" s="84"/>
      <c r="T667" s="84"/>
      <c r="U667" s="84"/>
      <c r="V667" s="84"/>
      <c r="W667" s="84"/>
      <c r="X667" s="84"/>
      <c r="Y667" s="84"/>
      <c r="Z667" s="84"/>
    </row>
    <row r="668" spans="1:26" ht="15">
      <c r="A668" s="83"/>
      <c r="B668" s="84"/>
      <c r="C668" s="84"/>
      <c r="D668" s="84"/>
      <c r="E668" s="84"/>
      <c r="F668" s="84"/>
      <c r="G668" s="84"/>
      <c r="H668" s="84"/>
      <c r="I668" s="84"/>
      <c r="J668" s="84"/>
      <c r="K668" s="84"/>
      <c r="L668" s="84"/>
      <c r="M668" s="84"/>
      <c r="N668" s="84"/>
      <c r="O668" s="84"/>
      <c r="P668" s="84"/>
      <c r="Q668" s="84"/>
      <c r="R668" s="84"/>
      <c r="S668" s="84"/>
      <c r="T668" s="84"/>
      <c r="U668" s="84"/>
      <c r="V668" s="84"/>
      <c r="W668" s="84"/>
      <c r="X668" s="84"/>
      <c r="Y668" s="84"/>
      <c r="Z668" s="84"/>
    </row>
    <row r="669" spans="1:26" ht="15">
      <c r="A669" s="83"/>
      <c r="B669" s="84"/>
      <c r="C669" s="84"/>
      <c r="D669" s="84"/>
      <c r="E669" s="84"/>
      <c r="F669" s="84"/>
      <c r="G669" s="84"/>
      <c r="H669" s="84"/>
      <c r="I669" s="84"/>
      <c r="J669" s="84"/>
      <c r="K669" s="84"/>
      <c r="L669" s="84"/>
      <c r="M669" s="84"/>
      <c r="N669" s="84"/>
      <c r="O669" s="84"/>
      <c r="P669" s="84"/>
      <c r="Q669" s="84"/>
      <c r="R669" s="84"/>
      <c r="S669" s="84"/>
      <c r="T669" s="84"/>
      <c r="U669" s="84"/>
      <c r="V669" s="84"/>
      <c r="W669" s="84"/>
      <c r="X669" s="84"/>
      <c r="Y669" s="84"/>
      <c r="Z669" s="84"/>
    </row>
    <row r="670" spans="1:26" ht="15">
      <c r="A670" s="83"/>
      <c r="B670" s="84"/>
      <c r="C670" s="84"/>
      <c r="D670" s="84"/>
      <c r="E670" s="84"/>
      <c r="F670" s="84"/>
      <c r="G670" s="84"/>
      <c r="H670" s="84"/>
      <c r="I670" s="84"/>
      <c r="J670" s="84"/>
      <c r="K670" s="84"/>
      <c r="L670" s="84"/>
      <c r="M670" s="84"/>
      <c r="N670" s="84"/>
      <c r="O670" s="84"/>
      <c r="P670" s="84"/>
      <c r="Q670" s="84"/>
      <c r="R670" s="84"/>
      <c r="S670" s="84"/>
      <c r="T670" s="84"/>
      <c r="U670" s="84"/>
      <c r="V670" s="84"/>
      <c r="W670" s="84"/>
      <c r="X670" s="84"/>
      <c r="Y670" s="84"/>
      <c r="Z670" s="84"/>
    </row>
    <row r="671" spans="1:26" ht="15">
      <c r="A671" s="83"/>
      <c r="B671" s="84"/>
      <c r="C671" s="84"/>
      <c r="D671" s="84"/>
      <c r="E671" s="84"/>
      <c r="F671" s="84"/>
      <c r="G671" s="84"/>
      <c r="H671" s="84"/>
      <c r="I671" s="84"/>
      <c r="J671" s="84"/>
      <c r="K671" s="84"/>
      <c r="L671" s="84"/>
      <c r="M671" s="84"/>
      <c r="N671" s="84"/>
      <c r="O671" s="84"/>
      <c r="P671" s="84"/>
      <c r="Q671" s="84"/>
      <c r="R671" s="84"/>
      <c r="S671" s="84"/>
      <c r="T671" s="84"/>
      <c r="U671" s="84"/>
      <c r="V671" s="84"/>
      <c r="W671" s="84"/>
      <c r="X671" s="84"/>
      <c r="Y671" s="84"/>
      <c r="Z671" s="84"/>
    </row>
    <row r="672" spans="1:26" ht="15">
      <c r="A672" s="83"/>
      <c r="B672" s="84"/>
      <c r="C672" s="84"/>
      <c r="D672" s="84"/>
      <c r="E672" s="84"/>
      <c r="F672" s="84"/>
      <c r="G672" s="84"/>
      <c r="H672" s="84"/>
      <c r="I672" s="84"/>
      <c r="J672" s="84"/>
      <c r="K672" s="84"/>
      <c r="L672" s="84"/>
      <c r="M672" s="84"/>
      <c r="N672" s="84"/>
      <c r="O672" s="84"/>
      <c r="P672" s="84"/>
      <c r="Q672" s="84"/>
      <c r="R672" s="84"/>
      <c r="S672" s="84"/>
      <c r="T672" s="84"/>
      <c r="U672" s="84"/>
      <c r="V672" s="84"/>
      <c r="W672" s="84"/>
      <c r="X672" s="84"/>
      <c r="Y672" s="84"/>
      <c r="Z672" s="84"/>
    </row>
    <row r="673" spans="1:26" ht="15">
      <c r="A673" s="83"/>
      <c r="B673" s="84"/>
      <c r="C673" s="84"/>
      <c r="D673" s="84"/>
      <c r="E673" s="84"/>
      <c r="F673" s="84"/>
      <c r="G673" s="84"/>
      <c r="H673" s="84"/>
      <c r="I673" s="84"/>
      <c r="J673" s="84"/>
      <c r="K673" s="84"/>
      <c r="L673" s="84"/>
      <c r="M673" s="84"/>
      <c r="N673" s="84"/>
      <c r="O673" s="84"/>
      <c r="P673" s="84"/>
      <c r="Q673" s="84"/>
      <c r="R673" s="84"/>
      <c r="S673" s="84"/>
      <c r="T673" s="84"/>
      <c r="U673" s="84"/>
      <c r="V673" s="84"/>
      <c r="W673" s="84"/>
      <c r="X673" s="84"/>
      <c r="Y673" s="84"/>
      <c r="Z673" s="84"/>
    </row>
    <row r="674" spans="1:26" ht="15">
      <c r="A674" s="83"/>
      <c r="B674" s="84"/>
      <c r="C674" s="84"/>
      <c r="D674" s="84"/>
      <c r="E674" s="84"/>
      <c r="F674" s="84"/>
      <c r="G674" s="84"/>
      <c r="H674" s="84"/>
      <c r="I674" s="84"/>
      <c r="J674" s="84"/>
      <c r="K674" s="84"/>
      <c r="L674" s="84"/>
      <c r="M674" s="84"/>
      <c r="N674" s="84"/>
      <c r="O674" s="84"/>
      <c r="P674" s="84"/>
      <c r="Q674" s="84"/>
      <c r="R674" s="84"/>
      <c r="S674" s="84"/>
      <c r="T674" s="84"/>
      <c r="U674" s="84"/>
      <c r="V674" s="84"/>
      <c r="W674" s="84"/>
      <c r="X674" s="84"/>
      <c r="Y674" s="84"/>
      <c r="Z674" s="84"/>
    </row>
    <row r="675" spans="1:26" ht="15">
      <c r="A675" s="83"/>
      <c r="B675" s="84"/>
      <c r="C675" s="84"/>
      <c r="D675" s="84"/>
      <c r="E675" s="84"/>
      <c r="F675" s="84"/>
      <c r="G675" s="84"/>
      <c r="H675" s="84"/>
      <c r="I675" s="84"/>
      <c r="J675" s="84"/>
      <c r="K675" s="84"/>
      <c r="L675" s="84"/>
      <c r="M675" s="84"/>
      <c r="N675" s="84"/>
      <c r="O675" s="84"/>
      <c r="P675" s="84"/>
      <c r="Q675" s="84"/>
      <c r="R675" s="84"/>
      <c r="S675" s="84"/>
      <c r="T675" s="84"/>
      <c r="U675" s="84"/>
      <c r="V675" s="84"/>
      <c r="W675" s="84"/>
      <c r="X675" s="84"/>
      <c r="Y675" s="84"/>
      <c r="Z675" s="84"/>
    </row>
    <row r="676" spans="1:26" ht="15">
      <c r="A676" s="83"/>
      <c r="B676" s="84"/>
      <c r="C676" s="84"/>
      <c r="D676" s="84"/>
      <c r="E676" s="84"/>
      <c r="F676" s="84"/>
      <c r="G676" s="84"/>
      <c r="H676" s="84"/>
      <c r="I676" s="84"/>
      <c r="J676" s="84"/>
      <c r="K676" s="84"/>
      <c r="L676" s="84"/>
      <c r="M676" s="84"/>
      <c r="N676" s="84"/>
      <c r="O676" s="84"/>
      <c r="P676" s="84"/>
      <c r="Q676" s="84"/>
      <c r="R676" s="84"/>
      <c r="S676" s="84"/>
      <c r="T676" s="84"/>
      <c r="U676" s="84"/>
      <c r="V676" s="84"/>
      <c r="W676" s="84"/>
      <c r="X676" s="84"/>
      <c r="Y676" s="84"/>
      <c r="Z676" s="84"/>
    </row>
    <row r="677" spans="1:26" ht="15">
      <c r="A677" s="83"/>
      <c r="B677" s="84"/>
      <c r="C677" s="84"/>
      <c r="D677" s="84"/>
      <c r="E677" s="84"/>
      <c r="F677" s="84"/>
      <c r="G677" s="84"/>
      <c r="H677" s="84"/>
      <c r="I677" s="84"/>
      <c r="J677" s="84"/>
      <c r="K677" s="84"/>
      <c r="L677" s="84"/>
      <c r="M677" s="84"/>
      <c r="N677" s="84"/>
      <c r="O677" s="84"/>
      <c r="P677" s="84"/>
      <c r="Q677" s="84"/>
      <c r="R677" s="84"/>
      <c r="S677" s="84"/>
      <c r="T677" s="84"/>
      <c r="U677" s="84"/>
      <c r="V677" s="84"/>
      <c r="W677" s="84"/>
      <c r="X677" s="84"/>
      <c r="Y677" s="84"/>
      <c r="Z677" s="84"/>
    </row>
    <row r="678" spans="1:26" ht="15">
      <c r="A678" s="83"/>
      <c r="B678" s="84"/>
      <c r="C678" s="84"/>
      <c r="D678" s="84"/>
      <c r="E678" s="84"/>
      <c r="F678" s="84"/>
      <c r="G678" s="84"/>
      <c r="H678" s="84"/>
      <c r="I678" s="84"/>
      <c r="J678" s="84"/>
      <c r="K678" s="84"/>
      <c r="L678" s="84"/>
      <c r="M678" s="84"/>
      <c r="N678" s="84"/>
      <c r="O678" s="84"/>
      <c r="P678" s="84"/>
      <c r="Q678" s="84"/>
      <c r="R678" s="84"/>
      <c r="S678" s="84"/>
      <c r="T678" s="84"/>
      <c r="U678" s="84"/>
      <c r="V678" s="84"/>
      <c r="W678" s="84"/>
      <c r="X678" s="84"/>
      <c r="Y678" s="84"/>
      <c r="Z678" s="84"/>
    </row>
    <row r="679" spans="1:26" ht="15">
      <c r="A679" s="83"/>
      <c r="B679" s="84"/>
      <c r="C679" s="84"/>
      <c r="D679" s="84"/>
      <c r="E679" s="84"/>
      <c r="F679" s="84"/>
      <c r="G679" s="84"/>
      <c r="H679" s="84"/>
      <c r="I679" s="84"/>
      <c r="J679" s="84"/>
      <c r="K679" s="84"/>
      <c r="L679" s="84"/>
      <c r="M679" s="84"/>
      <c r="N679" s="84"/>
      <c r="O679" s="84"/>
      <c r="P679" s="84"/>
      <c r="Q679" s="84"/>
      <c r="R679" s="84"/>
      <c r="S679" s="84"/>
      <c r="T679" s="84"/>
      <c r="U679" s="84"/>
      <c r="V679" s="84"/>
      <c r="W679" s="84"/>
      <c r="X679" s="84"/>
      <c r="Y679" s="84"/>
      <c r="Z679" s="84"/>
    </row>
    <row r="680" spans="1:26" ht="15">
      <c r="A680" s="83"/>
      <c r="B680" s="84"/>
      <c r="C680" s="84"/>
      <c r="D680" s="84"/>
      <c r="E680" s="84"/>
      <c r="F680" s="84"/>
      <c r="G680" s="84"/>
      <c r="H680" s="84"/>
      <c r="I680" s="84"/>
      <c r="J680" s="84"/>
      <c r="K680" s="84"/>
      <c r="L680" s="84"/>
      <c r="M680" s="84"/>
      <c r="N680" s="84"/>
      <c r="O680" s="84"/>
      <c r="P680" s="84"/>
      <c r="Q680" s="84"/>
      <c r="R680" s="84"/>
      <c r="S680" s="84"/>
      <c r="T680" s="84"/>
      <c r="U680" s="84"/>
      <c r="V680" s="84"/>
      <c r="W680" s="84"/>
      <c r="X680" s="84"/>
      <c r="Y680" s="84"/>
      <c r="Z680" s="84"/>
    </row>
    <row r="681" spans="1:26" ht="15">
      <c r="A681" s="83"/>
      <c r="B681" s="84"/>
      <c r="C681" s="84"/>
      <c r="D681" s="84"/>
      <c r="E681" s="84"/>
      <c r="F681" s="84"/>
      <c r="G681" s="84"/>
      <c r="H681" s="84"/>
      <c r="I681" s="84"/>
      <c r="J681" s="84"/>
      <c r="K681" s="84"/>
      <c r="L681" s="84"/>
      <c r="M681" s="84"/>
      <c r="N681" s="84"/>
      <c r="O681" s="84"/>
      <c r="P681" s="84"/>
      <c r="Q681" s="84"/>
      <c r="R681" s="84"/>
      <c r="S681" s="84"/>
      <c r="T681" s="84"/>
      <c r="U681" s="84"/>
      <c r="V681" s="84"/>
      <c r="W681" s="84"/>
      <c r="X681" s="84"/>
      <c r="Y681" s="84"/>
      <c r="Z681" s="84"/>
    </row>
    <row r="682" spans="1:26" ht="15">
      <c r="A682" s="83"/>
      <c r="B682" s="84"/>
      <c r="C682" s="84"/>
      <c r="D682" s="84"/>
      <c r="E682" s="84"/>
      <c r="F682" s="84"/>
      <c r="G682" s="84"/>
      <c r="H682" s="84"/>
      <c r="I682" s="84"/>
      <c r="J682" s="84"/>
      <c r="K682" s="84"/>
      <c r="L682" s="84"/>
      <c r="M682" s="84"/>
      <c r="N682" s="84"/>
      <c r="O682" s="84"/>
      <c r="P682" s="84"/>
      <c r="Q682" s="84"/>
      <c r="R682" s="84"/>
      <c r="S682" s="84"/>
      <c r="T682" s="84"/>
      <c r="U682" s="84"/>
      <c r="V682" s="84"/>
      <c r="W682" s="84"/>
      <c r="X682" s="84"/>
      <c r="Y682" s="84"/>
      <c r="Z682" s="84"/>
    </row>
    <row r="683" spans="1:26" ht="15">
      <c r="A683" s="83"/>
      <c r="B683" s="84"/>
      <c r="C683" s="84"/>
      <c r="D683" s="84"/>
      <c r="E683" s="84"/>
      <c r="F683" s="84"/>
      <c r="G683" s="84"/>
      <c r="H683" s="84"/>
      <c r="I683" s="84"/>
      <c r="J683" s="84"/>
      <c r="K683" s="84"/>
      <c r="L683" s="84"/>
      <c r="M683" s="84"/>
      <c r="N683" s="84"/>
      <c r="O683" s="84"/>
      <c r="P683" s="84"/>
      <c r="Q683" s="84"/>
      <c r="R683" s="84"/>
      <c r="S683" s="84"/>
      <c r="T683" s="84"/>
      <c r="U683" s="84"/>
      <c r="V683" s="84"/>
      <c r="W683" s="84"/>
      <c r="X683" s="84"/>
      <c r="Y683" s="84"/>
      <c r="Z683" s="84"/>
    </row>
    <row r="684" spans="1:26" ht="15">
      <c r="A684" s="83"/>
      <c r="B684" s="84"/>
      <c r="C684" s="84"/>
      <c r="D684" s="84"/>
      <c r="E684" s="84"/>
      <c r="F684" s="84"/>
      <c r="G684" s="84"/>
      <c r="H684" s="84"/>
      <c r="I684" s="84"/>
      <c r="J684" s="84"/>
      <c r="K684" s="84"/>
      <c r="L684" s="84"/>
      <c r="M684" s="84"/>
      <c r="N684" s="84"/>
      <c r="O684" s="84"/>
      <c r="P684" s="84"/>
      <c r="Q684" s="84"/>
      <c r="R684" s="84"/>
      <c r="S684" s="84"/>
      <c r="T684" s="84"/>
      <c r="U684" s="84"/>
      <c r="V684" s="84"/>
      <c r="W684" s="84"/>
      <c r="X684" s="84"/>
      <c r="Y684" s="84"/>
      <c r="Z684" s="84"/>
    </row>
    <row r="685" spans="1:26" ht="15">
      <c r="A685" s="83"/>
      <c r="B685" s="84"/>
      <c r="C685" s="84"/>
      <c r="D685" s="84"/>
      <c r="E685" s="84"/>
      <c r="F685" s="84"/>
      <c r="G685" s="84"/>
      <c r="H685" s="84"/>
      <c r="I685" s="84"/>
      <c r="J685" s="84"/>
      <c r="K685" s="84"/>
      <c r="L685" s="84"/>
      <c r="M685" s="84"/>
      <c r="N685" s="84"/>
      <c r="O685" s="84"/>
      <c r="P685" s="84"/>
      <c r="Q685" s="84"/>
      <c r="R685" s="84"/>
      <c r="S685" s="84"/>
      <c r="T685" s="84"/>
      <c r="U685" s="84"/>
      <c r="V685" s="84"/>
      <c r="W685" s="84"/>
      <c r="X685" s="84"/>
      <c r="Y685" s="84"/>
      <c r="Z685" s="84"/>
    </row>
    <row r="686" spans="1:26" ht="15">
      <c r="A686" s="83"/>
      <c r="B686" s="84"/>
      <c r="C686" s="84"/>
      <c r="D686" s="84"/>
      <c r="E686" s="84"/>
      <c r="F686" s="84"/>
      <c r="G686" s="84"/>
      <c r="H686" s="84"/>
      <c r="I686" s="84"/>
      <c r="J686" s="84"/>
      <c r="K686" s="84"/>
      <c r="L686" s="84"/>
      <c r="M686" s="84"/>
      <c r="N686" s="84"/>
      <c r="O686" s="84"/>
      <c r="P686" s="84"/>
      <c r="Q686" s="84"/>
      <c r="R686" s="84"/>
      <c r="S686" s="84"/>
      <c r="T686" s="84"/>
      <c r="U686" s="84"/>
      <c r="V686" s="84"/>
      <c r="W686" s="84"/>
      <c r="X686" s="84"/>
      <c r="Y686" s="84"/>
      <c r="Z686" s="84"/>
    </row>
    <row r="687" spans="1:26" ht="15">
      <c r="A687" s="83"/>
      <c r="B687" s="84"/>
      <c r="C687" s="84"/>
      <c r="D687" s="84"/>
      <c r="E687" s="84"/>
      <c r="F687" s="84"/>
      <c r="G687" s="84"/>
      <c r="H687" s="84"/>
      <c r="I687" s="84"/>
      <c r="J687" s="84"/>
      <c r="K687" s="84"/>
      <c r="L687" s="84"/>
      <c r="M687" s="84"/>
      <c r="N687" s="84"/>
      <c r="O687" s="84"/>
      <c r="P687" s="84"/>
      <c r="Q687" s="84"/>
      <c r="R687" s="84"/>
      <c r="S687" s="84"/>
      <c r="T687" s="84"/>
      <c r="U687" s="84"/>
      <c r="V687" s="84"/>
      <c r="W687" s="84"/>
      <c r="X687" s="84"/>
      <c r="Y687" s="84"/>
      <c r="Z687" s="84"/>
    </row>
    <row r="688" spans="1:26" ht="15">
      <c r="A688" s="83"/>
      <c r="B688" s="84"/>
      <c r="C688" s="84"/>
      <c r="D688" s="84"/>
      <c r="E688" s="84"/>
      <c r="F688" s="84"/>
      <c r="G688" s="84"/>
      <c r="H688" s="84"/>
      <c r="I688" s="84"/>
      <c r="J688" s="84"/>
      <c r="K688" s="84"/>
      <c r="L688" s="84"/>
      <c r="M688" s="84"/>
      <c r="N688" s="84"/>
      <c r="O688" s="84"/>
      <c r="P688" s="84"/>
      <c r="Q688" s="84"/>
      <c r="R688" s="84"/>
      <c r="S688" s="84"/>
      <c r="T688" s="84"/>
      <c r="U688" s="84"/>
      <c r="V688" s="84"/>
      <c r="W688" s="84"/>
      <c r="X688" s="84"/>
      <c r="Y688" s="84"/>
      <c r="Z688" s="84"/>
    </row>
    <row r="689" spans="1:26" ht="15">
      <c r="A689" s="83"/>
      <c r="B689" s="84"/>
      <c r="C689" s="84"/>
      <c r="D689" s="84"/>
      <c r="E689" s="84"/>
      <c r="F689" s="84"/>
      <c r="G689" s="84"/>
      <c r="H689" s="84"/>
      <c r="I689" s="84"/>
      <c r="J689" s="84"/>
      <c r="K689" s="84"/>
      <c r="L689" s="84"/>
      <c r="M689" s="84"/>
      <c r="N689" s="84"/>
      <c r="O689" s="84"/>
      <c r="P689" s="84"/>
      <c r="Q689" s="84"/>
      <c r="R689" s="84"/>
      <c r="S689" s="84"/>
      <c r="T689" s="84"/>
      <c r="U689" s="84"/>
      <c r="V689" s="84"/>
      <c r="W689" s="84"/>
      <c r="X689" s="84"/>
      <c r="Y689" s="84"/>
      <c r="Z689" s="84"/>
    </row>
    <row r="690" spans="1:26" ht="15">
      <c r="A690" s="83"/>
      <c r="B690" s="84"/>
      <c r="C690" s="84"/>
      <c r="D690" s="84"/>
      <c r="E690" s="84"/>
      <c r="F690" s="84"/>
      <c r="G690" s="84"/>
      <c r="H690" s="84"/>
      <c r="I690" s="84"/>
      <c r="J690" s="84"/>
      <c r="K690" s="84"/>
      <c r="L690" s="84"/>
      <c r="M690" s="84"/>
      <c r="N690" s="84"/>
      <c r="O690" s="84"/>
      <c r="P690" s="84"/>
      <c r="Q690" s="84"/>
      <c r="R690" s="84"/>
      <c r="S690" s="84"/>
      <c r="T690" s="84"/>
      <c r="U690" s="84"/>
      <c r="V690" s="84"/>
      <c r="W690" s="84"/>
      <c r="X690" s="84"/>
      <c r="Y690" s="84"/>
      <c r="Z690" s="84"/>
    </row>
    <row r="691" spans="1:26" ht="15">
      <c r="A691" s="83"/>
      <c r="B691" s="84"/>
      <c r="C691" s="84"/>
      <c r="D691" s="84"/>
      <c r="E691" s="84"/>
      <c r="F691" s="84"/>
      <c r="G691" s="84"/>
      <c r="H691" s="84"/>
      <c r="I691" s="84"/>
      <c r="J691" s="84"/>
      <c r="K691" s="84"/>
      <c r="L691" s="84"/>
      <c r="M691" s="84"/>
      <c r="N691" s="84"/>
      <c r="O691" s="84"/>
      <c r="P691" s="84"/>
      <c r="Q691" s="84"/>
      <c r="R691" s="84"/>
      <c r="S691" s="84"/>
      <c r="T691" s="84"/>
      <c r="U691" s="84"/>
      <c r="V691" s="84"/>
      <c r="W691" s="84"/>
      <c r="X691" s="84"/>
      <c r="Y691" s="84"/>
      <c r="Z691" s="84"/>
    </row>
    <row r="692" spans="1:26" ht="15">
      <c r="A692" s="83"/>
      <c r="B692" s="84"/>
      <c r="C692" s="84"/>
      <c r="D692" s="84"/>
      <c r="E692" s="84"/>
      <c r="F692" s="84"/>
      <c r="G692" s="84"/>
      <c r="H692" s="84"/>
      <c r="I692" s="84"/>
      <c r="J692" s="84"/>
      <c r="K692" s="84"/>
      <c r="L692" s="84"/>
      <c r="M692" s="84"/>
      <c r="N692" s="84"/>
      <c r="O692" s="84"/>
      <c r="P692" s="84"/>
      <c r="Q692" s="84"/>
      <c r="R692" s="84"/>
      <c r="S692" s="84"/>
      <c r="T692" s="84"/>
      <c r="U692" s="84"/>
      <c r="V692" s="84"/>
      <c r="W692" s="84"/>
      <c r="X692" s="84"/>
      <c r="Y692" s="84"/>
      <c r="Z692" s="84"/>
    </row>
    <row r="693" spans="1:26" ht="15">
      <c r="A693" s="83"/>
      <c r="B693" s="84"/>
      <c r="C693" s="84"/>
      <c r="D693" s="84"/>
      <c r="E693" s="84"/>
      <c r="F693" s="84"/>
      <c r="G693" s="84"/>
      <c r="H693" s="84"/>
      <c r="I693" s="84"/>
      <c r="J693" s="84"/>
      <c r="K693" s="84"/>
      <c r="L693" s="84"/>
      <c r="M693" s="84"/>
      <c r="N693" s="84"/>
      <c r="O693" s="84"/>
      <c r="P693" s="84"/>
      <c r="Q693" s="84"/>
      <c r="R693" s="84"/>
      <c r="S693" s="84"/>
      <c r="T693" s="84"/>
      <c r="U693" s="84"/>
      <c r="V693" s="84"/>
      <c r="W693" s="84"/>
      <c r="X693" s="84"/>
      <c r="Y693" s="84"/>
      <c r="Z693" s="84"/>
    </row>
    <row r="694" spans="1:26" ht="15">
      <c r="A694" s="83"/>
      <c r="B694" s="84"/>
      <c r="C694" s="84"/>
      <c r="D694" s="84"/>
      <c r="E694" s="84"/>
      <c r="F694" s="84"/>
      <c r="G694" s="84"/>
      <c r="H694" s="84"/>
      <c r="I694" s="84"/>
      <c r="J694" s="84"/>
      <c r="K694" s="84"/>
      <c r="L694" s="84"/>
      <c r="M694" s="84"/>
      <c r="N694" s="84"/>
      <c r="O694" s="84"/>
      <c r="P694" s="84"/>
      <c r="Q694" s="84"/>
      <c r="R694" s="84"/>
      <c r="S694" s="84"/>
      <c r="T694" s="84"/>
      <c r="U694" s="84"/>
      <c r="V694" s="84"/>
      <c r="W694" s="84"/>
      <c r="X694" s="84"/>
      <c r="Y694" s="84"/>
      <c r="Z694" s="84"/>
    </row>
    <row r="695" spans="1:26" ht="15">
      <c r="A695" s="83"/>
      <c r="B695" s="84"/>
      <c r="C695" s="84"/>
      <c r="D695" s="84"/>
      <c r="E695" s="84"/>
      <c r="F695" s="84"/>
      <c r="G695" s="84"/>
      <c r="H695" s="84"/>
      <c r="I695" s="84"/>
      <c r="J695" s="84"/>
      <c r="K695" s="84"/>
      <c r="L695" s="84"/>
      <c r="M695" s="84"/>
      <c r="N695" s="84"/>
      <c r="O695" s="84"/>
      <c r="P695" s="84"/>
      <c r="Q695" s="84"/>
      <c r="R695" s="84"/>
      <c r="S695" s="84"/>
      <c r="T695" s="84"/>
      <c r="U695" s="84"/>
      <c r="V695" s="84"/>
      <c r="W695" s="84"/>
      <c r="X695" s="84"/>
      <c r="Y695" s="84"/>
      <c r="Z695" s="84"/>
    </row>
    <row r="696" spans="1:26" ht="15">
      <c r="A696" s="83"/>
      <c r="B696" s="84"/>
      <c r="C696" s="84"/>
      <c r="D696" s="84"/>
      <c r="E696" s="84"/>
      <c r="F696" s="84"/>
      <c r="G696" s="84"/>
      <c r="H696" s="84"/>
      <c r="I696" s="84"/>
      <c r="J696" s="84"/>
      <c r="K696" s="84"/>
      <c r="L696" s="84"/>
      <c r="M696" s="84"/>
      <c r="N696" s="84"/>
      <c r="O696" s="84"/>
      <c r="P696" s="84"/>
      <c r="Q696" s="84"/>
      <c r="R696" s="84"/>
      <c r="S696" s="84"/>
      <c r="T696" s="84"/>
      <c r="U696" s="84"/>
      <c r="V696" s="84"/>
      <c r="W696" s="84"/>
      <c r="X696" s="84"/>
      <c r="Y696" s="84"/>
      <c r="Z696" s="84"/>
    </row>
    <row r="697" spans="1:26" ht="15">
      <c r="A697" s="83"/>
      <c r="B697" s="84"/>
      <c r="C697" s="84"/>
      <c r="D697" s="84"/>
      <c r="E697" s="84"/>
      <c r="F697" s="84"/>
      <c r="G697" s="84"/>
      <c r="H697" s="84"/>
      <c r="I697" s="84"/>
      <c r="J697" s="84"/>
      <c r="K697" s="84"/>
      <c r="L697" s="84"/>
      <c r="M697" s="84"/>
      <c r="N697" s="84"/>
      <c r="O697" s="84"/>
      <c r="P697" s="84"/>
      <c r="Q697" s="84"/>
      <c r="R697" s="84"/>
      <c r="S697" s="84"/>
      <c r="T697" s="84"/>
      <c r="U697" s="84"/>
      <c r="V697" s="84"/>
      <c r="W697" s="84"/>
      <c r="X697" s="84"/>
      <c r="Y697" s="84"/>
      <c r="Z697" s="84"/>
    </row>
    <row r="698" spans="1:26" ht="15">
      <c r="A698" s="83"/>
      <c r="B698" s="84"/>
      <c r="C698" s="84"/>
      <c r="D698" s="84"/>
      <c r="E698" s="84"/>
      <c r="F698" s="84"/>
      <c r="G698" s="84"/>
      <c r="H698" s="84"/>
      <c r="I698" s="84"/>
      <c r="J698" s="84"/>
      <c r="K698" s="84"/>
      <c r="L698" s="84"/>
      <c r="M698" s="84"/>
      <c r="N698" s="84"/>
      <c r="O698" s="84"/>
      <c r="P698" s="84"/>
      <c r="Q698" s="84"/>
      <c r="R698" s="84"/>
      <c r="S698" s="84"/>
      <c r="T698" s="84"/>
      <c r="U698" s="84"/>
      <c r="V698" s="84"/>
      <c r="W698" s="84"/>
      <c r="X698" s="84"/>
      <c r="Y698" s="84"/>
      <c r="Z698" s="84"/>
    </row>
    <row r="699" spans="1:26" ht="15">
      <c r="A699" s="83"/>
      <c r="B699" s="84"/>
      <c r="C699" s="84"/>
      <c r="D699" s="84"/>
      <c r="E699" s="84"/>
      <c r="F699" s="84"/>
      <c r="G699" s="84"/>
      <c r="H699" s="84"/>
      <c r="I699" s="84"/>
      <c r="J699" s="84"/>
      <c r="K699" s="84"/>
      <c r="L699" s="84"/>
      <c r="M699" s="84"/>
      <c r="N699" s="84"/>
      <c r="O699" s="84"/>
      <c r="P699" s="84"/>
      <c r="Q699" s="84"/>
      <c r="R699" s="84"/>
      <c r="S699" s="84"/>
      <c r="T699" s="84"/>
      <c r="U699" s="84"/>
      <c r="V699" s="84"/>
      <c r="W699" s="84"/>
      <c r="X699" s="84"/>
      <c r="Y699" s="84"/>
      <c r="Z699" s="84"/>
    </row>
    <row r="700" spans="1:26" ht="15">
      <c r="A700" s="83"/>
      <c r="B700" s="84"/>
      <c r="C700" s="84"/>
      <c r="D700" s="84"/>
      <c r="E700" s="84"/>
      <c r="F700" s="84"/>
      <c r="G700" s="84"/>
      <c r="H700" s="84"/>
      <c r="I700" s="84"/>
      <c r="J700" s="84"/>
      <c r="K700" s="84"/>
      <c r="L700" s="84"/>
      <c r="M700" s="84"/>
      <c r="N700" s="84"/>
      <c r="O700" s="84"/>
      <c r="P700" s="84"/>
      <c r="Q700" s="84"/>
      <c r="R700" s="84"/>
      <c r="S700" s="84"/>
      <c r="T700" s="84"/>
      <c r="U700" s="84"/>
      <c r="V700" s="84"/>
      <c r="W700" s="84"/>
      <c r="X700" s="84"/>
      <c r="Y700" s="84"/>
      <c r="Z700" s="84"/>
    </row>
    <row r="701" spans="1:26" ht="15">
      <c r="A701" s="83"/>
      <c r="B701" s="84"/>
      <c r="C701" s="84"/>
      <c r="D701" s="84"/>
      <c r="E701" s="84"/>
      <c r="F701" s="84"/>
      <c r="G701" s="84"/>
      <c r="H701" s="84"/>
      <c r="I701" s="84"/>
      <c r="J701" s="84"/>
      <c r="K701" s="84"/>
      <c r="L701" s="84"/>
      <c r="M701" s="84"/>
      <c r="N701" s="84"/>
      <c r="O701" s="84"/>
      <c r="P701" s="84"/>
      <c r="Q701" s="84"/>
      <c r="R701" s="84"/>
      <c r="S701" s="84"/>
      <c r="T701" s="84"/>
      <c r="U701" s="84"/>
      <c r="V701" s="84"/>
      <c r="W701" s="84"/>
      <c r="X701" s="84"/>
      <c r="Y701" s="84"/>
      <c r="Z701" s="84"/>
    </row>
    <row r="702" spans="1:26" ht="15">
      <c r="A702" s="83"/>
      <c r="B702" s="84"/>
      <c r="C702" s="84"/>
      <c r="D702" s="84"/>
      <c r="E702" s="84"/>
      <c r="F702" s="84"/>
      <c r="G702" s="84"/>
      <c r="H702" s="84"/>
      <c r="I702" s="84"/>
      <c r="J702" s="84"/>
      <c r="K702" s="84"/>
      <c r="L702" s="84"/>
      <c r="M702" s="84"/>
      <c r="N702" s="84"/>
      <c r="O702" s="84"/>
      <c r="P702" s="84"/>
      <c r="Q702" s="84"/>
      <c r="R702" s="84"/>
      <c r="S702" s="84"/>
      <c r="T702" s="84"/>
      <c r="U702" s="84"/>
      <c r="V702" s="84"/>
      <c r="W702" s="84"/>
      <c r="X702" s="84"/>
      <c r="Y702" s="84"/>
      <c r="Z702" s="84"/>
    </row>
    <row r="703" spans="1:26" ht="15">
      <c r="A703" s="83"/>
      <c r="B703" s="84"/>
      <c r="C703" s="84"/>
      <c r="D703" s="84"/>
      <c r="E703" s="84"/>
      <c r="F703" s="84"/>
      <c r="G703" s="84"/>
      <c r="H703" s="84"/>
      <c r="I703" s="84"/>
      <c r="J703" s="84"/>
      <c r="K703" s="84"/>
      <c r="L703" s="84"/>
      <c r="M703" s="84"/>
      <c r="N703" s="84"/>
      <c r="O703" s="84"/>
      <c r="P703" s="84"/>
      <c r="Q703" s="84"/>
      <c r="R703" s="84"/>
      <c r="S703" s="84"/>
      <c r="T703" s="84"/>
      <c r="U703" s="84"/>
      <c r="V703" s="84"/>
      <c r="W703" s="84"/>
      <c r="X703" s="84"/>
      <c r="Y703" s="84"/>
      <c r="Z703" s="84"/>
    </row>
    <row r="704" spans="1:26" ht="15">
      <c r="A704" s="83"/>
      <c r="B704" s="84"/>
      <c r="C704" s="84"/>
      <c r="D704" s="84"/>
      <c r="E704" s="84"/>
      <c r="F704" s="84"/>
      <c r="G704" s="84"/>
      <c r="H704" s="84"/>
      <c r="I704" s="84"/>
      <c r="J704" s="84"/>
      <c r="K704" s="84"/>
      <c r="L704" s="84"/>
      <c r="M704" s="84"/>
      <c r="N704" s="84"/>
      <c r="O704" s="84"/>
      <c r="P704" s="84"/>
      <c r="Q704" s="84"/>
      <c r="R704" s="84"/>
      <c r="S704" s="84"/>
      <c r="T704" s="84"/>
      <c r="U704" s="84"/>
      <c r="V704" s="84"/>
      <c r="W704" s="84"/>
      <c r="X704" s="84"/>
      <c r="Y704" s="84"/>
      <c r="Z704" s="84"/>
    </row>
    <row r="705" spans="1:26" ht="15">
      <c r="A705" s="83"/>
      <c r="B705" s="84"/>
      <c r="C705" s="84"/>
      <c r="D705" s="84"/>
      <c r="E705" s="84"/>
      <c r="F705" s="84"/>
      <c r="G705" s="84"/>
      <c r="H705" s="84"/>
      <c r="I705" s="84"/>
      <c r="J705" s="84"/>
      <c r="K705" s="84"/>
      <c r="L705" s="84"/>
      <c r="M705" s="84"/>
      <c r="N705" s="84"/>
      <c r="O705" s="84"/>
      <c r="P705" s="84"/>
      <c r="Q705" s="84"/>
      <c r="R705" s="84"/>
      <c r="S705" s="84"/>
      <c r="T705" s="84"/>
      <c r="U705" s="84"/>
      <c r="V705" s="84"/>
      <c r="W705" s="84"/>
      <c r="X705" s="84"/>
      <c r="Y705" s="84"/>
      <c r="Z705" s="84"/>
    </row>
    <row r="706" spans="1:26" ht="15">
      <c r="A706" s="83"/>
      <c r="B706" s="84"/>
      <c r="C706" s="84"/>
      <c r="D706" s="84"/>
      <c r="E706" s="84"/>
      <c r="F706" s="84"/>
      <c r="G706" s="84"/>
      <c r="H706" s="84"/>
      <c r="I706" s="84"/>
      <c r="J706" s="84"/>
      <c r="K706" s="84"/>
      <c r="L706" s="84"/>
      <c r="M706" s="84"/>
      <c r="N706" s="84"/>
      <c r="O706" s="84"/>
      <c r="P706" s="84"/>
      <c r="Q706" s="84"/>
      <c r="R706" s="84"/>
      <c r="S706" s="84"/>
      <c r="T706" s="84"/>
      <c r="U706" s="84"/>
      <c r="V706" s="84"/>
      <c r="W706" s="84"/>
      <c r="X706" s="84"/>
      <c r="Y706" s="84"/>
      <c r="Z706" s="84"/>
    </row>
    <row r="707" spans="1:26" ht="15">
      <c r="A707" s="83"/>
      <c r="B707" s="84"/>
      <c r="C707" s="84"/>
      <c r="D707" s="84"/>
      <c r="E707" s="84"/>
      <c r="F707" s="84"/>
      <c r="G707" s="84"/>
      <c r="H707" s="84"/>
      <c r="I707" s="84"/>
      <c r="J707" s="84"/>
      <c r="K707" s="84"/>
      <c r="L707" s="84"/>
      <c r="M707" s="84"/>
      <c r="N707" s="84"/>
      <c r="O707" s="84"/>
      <c r="P707" s="84"/>
      <c r="Q707" s="84"/>
      <c r="R707" s="84"/>
      <c r="S707" s="84"/>
      <c r="T707" s="84"/>
      <c r="U707" s="84"/>
      <c r="V707" s="84"/>
      <c r="W707" s="84"/>
      <c r="X707" s="84"/>
      <c r="Y707" s="84"/>
      <c r="Z707" s="84"/>
    </row>
    <row r="708" spans="1:26" ht="15">
      <c r="A708" s="83"/>
      <c r="B708" s="84"/>
      <c r="C708" s="84"/>
      <c r="D708" s="84"/>
      <c r="E708" s="84"/>
      <c r="F708" s="84"/>
      <c r="G708" s="84"/>
      <c r="H708" s="84"/>
      <c r="I708" s="84"/>
      <c r="J708" s="84"/>
      <c r="K708" s="84"/>
      <c r="L708" s="84"/>
      <c r="M708" s="84"/>
      <c r="N708" s="84"/>
      <c r="O708" s="84"/>
      <c r="P708" s="84"/>
      <c r="Q708" s="84"/>
      <c r="R708" s="84"/>
      <c r="S708" s="84"/>
      <c r="T708" s="84"/>
      <c r="U708" s="84"/>
      <c r="V708" s="84"/>
      <c r="W708" s="84"/>
      <c r="X708" s="84"/>
      <c r="Y708" s="84"/>
      <c r="Z708" s="84"/>
    </row>
    <row r="709" spans="1:26" ht="15">
      <c r="A709" s="83"/>
      <c r="B709" s="84"/>
      <c r="C709" s="84"/>
      <c r="D709" s="84"/>
      <c r="E709" s="84"/>
      <c r="F709" s="84"/>
      <c r="G709" s="84"/>
      <c r="H709" s="84"/>
      <c r="I709" s="84"/>
      <c r="J709" s="84"/>
      <c r="K709" s="84"/>
      <c r="L709" s="84"/>
      <c r="M709" s="84"/>
      <c r="N709" s="84"/>
      <c r="O709" s="84"/>
      <c r="P709" s="84"/>
      <c r="Q709" s="84"/>
      <c r="R709" s="84"/>
      <c r="S709" s="84"/>
      <c r="T709" s="84"/>
      <c r="U709" s="84"/>
      <c r="V709" s="84"/>
      <c r="W709" s="84"/>
      <c r="X709" s="84"/>
      <c r="Y709" s="84"/>
      <c r="Z709" s="84"/>
    </row>
    <row r="710" spans="1:26" ht="15">
      <c r="A710" s="83"/>
      <c r="B710" s="84"/>
      <c r="C710" s="84"/>
      <c r="D710" s="84"/>
      <c r="E710" s="84"/>
      <c r="F710" s="84"/>
      <c r="G710" s="84"/>
      <c r="H710" s="84"/>
      <c r="I710" s="84"/>
      <c r="J710" s="84"/>
      <c r="K710" s="84"/>
      <c r="L710" s="84"/>
      <c r="M710" s="84"/>
      <c r="N710" s="84"/>
      <c r="O710" s="84"/>
      <c r="P710" s="84"/>
      <c r="Q710" s="84"/>
      <c r="R710" s="84"/>
      <c r="S710" s="84"/>
      <c r="T710" s="84"/>
      <c r="U710" s="84"/>
      <c r="V710" s="84"/>
      <c r="W710" s="84"/>
      <c r="X710" s="84"/>
      <c r="Y710" s="84"/>
      <c r="Z710" s="84"/>
    </row>
    <row r="711" spans="1:26" ht="15">
      <c r="A711" s="83"/>
      <c r="B711" s="84"/>
      <c r="C711" s="84"/>
      <c r="D711" s="84"/>
      <c r="E711" s="84"/>
      <c r="F711" s="84"/>
      <c r="G711" s="84"/>
      <c r="H711" s="84"/>
      <c r="I711" s="84"/>
      <c r="J711" s="84"/>
      <c r="K711" s="84"/>
      <c r="L711" s="84"/>
      <c r="M711" s="84"/>
      <c r="N711" s="84"/>
      <c r="O711" s="84"/>
      <c r="P711" s="84"/>
      <c r="Q711" s="84"/>
      <c r="R711" s="84"/>
      <c r="S711" s="84"/>
      <c r="T711" s="84"/>
      <c r="U711" s="84"/>
      <c r="V711" s="84"/>
      <c r="W711" s="84"/>
      <c r="X711" s="84"/>
      <c r="Y711" s="84"/>
      <c r="Z711" s="84"/>
    </row>
    <row r="712" spans="1:26" ht="15">
      <c r="A712" s="83"/>
      <c r="B712" s="84"/>
      <c r="C712" s="84"/>
      <c r="D712" s="84"/>
      <c r="E712" s="84"/>
      <c r="F712" s="84"/>
      <c r="G712" s="84"/>
      <c r="H712" s="84"/>
      <c r="I712" s="84"/>
      <c r="J712" s="84"/>
      <c r="K712" s="84"/>
      <c r="L712" s="84"/>
      <c r="M712" s="84"/>
      <c r="N712" s="84"/>
      <c r="O712" s="84"/>
      <c r="P712" s="84"/>
      <c r="Q712" s="84"/>
      <c r="R712" s="84"/>
      <c r="S712" s="84"/>
      <c r="T712" s="84"/>
      <c r="U712" s="84"/>
      <c r="V712" s="84"/>
      <c r="W712" s="84"/>
      <c r="X712" s="84"/>
      <c r="Y712" s="84"/>
      <c r="Z712" s="84"/>
    </row>
    <row r="713" spans="1:26" ht="15">
      <c r="A713" s="83"/>
      <c r="B713" s="84"/>
      <c r="C713" s="84"/>
      <c r="D713" s="84"/>
      <c r="E713" s="84"/>
      <c r="F713" s="84"/>
      <c r="G713" s="84"/>
      <c r="H713" s="84"/>
      <c r="I713" s="84"/>
      <c r="J713" s="84"/>
      <c r="K713" s="84"/>
      <c r="L713" s="84"/>
      <c r="M713" s="84"/>
      <c r="N713" s="84"/>
      <c r="O713" s="84"/>
      <c r="P713" s="84"/>
      <c r="Q713" s="84"/>
      <c r="R713" s="84"/>
      <c r="S713" s="84"/>
      <c r="T713" s="84"/>
      <c r="U713" s="84"/>
      <c r="V713" s="84"/>
      <c r="W713" s="84"/>
      <c r="X713" s="84"/>
      <c r="Y713" s="84"/>
      <c r="Z713" s="84"/>
    </row>
    <row r="714" spans="1:26" ht="15">
      <c r="A714" s="83"/>
      <c r="B714" s="84"/>
      <c r="C714" s="84"/>
      <c r="D714" s="84"/>
      <c r="E714" s="84"/>
      <c r="F714" s="84"/>
      <c r="G714" s="84"/>
      <c r="H714" s="84"/>
      <c r="I714" s="84"/>
      <c r="J714" s="84"/>
      <c r="K714" s="84"/>
      <c r="L714" s="84"/>
      <c r="M714" s="84"/>
      <c r="N714" s="84"/>
      <c r="O714" s="84"/>
      <c r="P714" s="84"/>
      <c r="Q714" s="84"/>
      <c r="R714" s="84"/>
      <c r="S714" s="84"/>
      <c r="T714" s="84"/>
      <c r="U714" s="84"/>
      <c r="V714" s="84"/>
      <c r="W714" s="84"/>
      <c r="X714" s="84"/>
      <c r="Y714" s="84"/>
      <c r="Z714" s="84"/>
    </row>
    <row r="715" spans="1:26" ht="15">
      <c r="A715" s="83"/>
      <c r="B715" s="84"/>
      <c r="C715" s="84"/>
      <c r="D715" s="84"/>
      <c r="E715" s="84"/>
      <c r="F715" s="84"/>
      <c r="G715" s="84"/>
      <c r="H715" s="84"/>
      <c r="I715" s="84"/>
      <c r="J715" s="84"/>
      <c r="K715" s="84"/>
      <c r="L715" s="84"/>
      <c r="M715" s="84"/>
      <c r="N715" s="84"/>
      <c r="O715" s="84"/>
      <c r="P715" s="84"/>
      <c r="Q715" s="84"/>
      <c r="R715" s="84"/>
      <c r="S715" s="84"/>
      <c r="T715" s="84"/>
      <c r="U715" s="84"/>
      <c r="V715" s="84"/>
      <c r="W715" s="84"/>
      <c r="X715" s="84"/>
      <c r="Y715" s="84"/>
      <c r="Z715" s="84"/>
    </row>
    <row r="716" spans="1:26" ht="15">
      <c r="A716" s="83"/>
      <c r="B716" s="84"/>
      <c r="C716" s="84"/>
      <c r="D716" s="84"/>
      <c r="E716" s="84"/>
      <c r="F716" s="84"/>
      <c r="G716" s="84"/>
      <c r="H716" s="84"/>
      <c r="I716" s="84"/>
      <c r="J716" s="84"/>
      <c r="K716" s="84"/>
      <c r="L716" s="84"/>
      <c r="M716" s="84"/>
      <c r="N716" s="84"/>
      <c r="O716" s="84"/>
      <c r="P716" s="84"/>
      <c r="Q716" s="84"/>
      <c r="R716" s="84"/>
      <c r="S716" s="84"/>
      <c r="T716" s="84"/>
      <c r="U716" s="84"/>
      <c r="V716" s="84"/>
      <c r="W716" s="84"/>
      <c r="X716" s="84"/>
      <c r="Y716" s="84"/>
      <c r="Z716" s="84"/>
    </row>
    <row r="717" spans="1:26" ht="15">
      <c r="A717" s="83"/>
      <c r="B717" s="84"/>
      <c r="C717" s="84"/>
      <c r="D717" s="84"/>
      <c r="E717" s="84"/>
      <c r="F717" s="84"/>
      <c r="G717" s="84"/>
      <c r="H717" s="84"/>
      <c r="I717" s="84"/>
      <c r="J717" s="84"/>
      <c r="K717" s="84"/>
      <c r="L717" s="84"/>
      <c r="M717" s="84"/>
      <c r="N717" s="84"/>
      <c r="O717" s="84"/>
      <c r="P717" s="84"/>
      <c r="Q717" s="84"/>
      <c r="R717" s="84"/>
      <c r="S717" s="84"/>
      <c r="T717" s="84"/>
      <c r="U717" s="84"/>
      <c r="V717" s="84"/>
      <c r="W717" s="84"/>
      <c r="X717" s="84"/>
      <c r="Y717" s="84"/>
      <c r="Z717" s="84"/>
    </row>
    <row r="718" spans="1:26" ht="15">
      <c r="A718" s="83"/>
      <c r="B718" s="84"/>
      <c r="C718" s="84"/>
      <c r="D718" s="84"/>
      <c r="E718" s="84"/>
      <c r="F718" s="84"/>
      <c r="G718" s="84"/>
      <c r="H718" s="84"/>
      <c r="I718" s="84"/>
      <c r="J718" s="84"/>
      <c r="K718" s="84"/>
      <c r="L718" s="84"/>
      <c r="M718" s="84"/>
      <c r="N718" s="84"/>
      <c r="O718" s="84"/>
      <c r="P718" s="84"/>
      <c r="Q718" s="84"/>
      <c r="R718" s="84"/>
      <c r="S718" s="84"/>
      <c r="T718" s="84"/>
      <c r="U718" s="84"/>
      <c r="V718" s="84"/>
      <c r="W718" s="84"/>
      <c r="X718" s="84"/>
      <c r="Y718" s="84"/>
      <c r="Z718" s="84"/>
    </row>
    <row r="719" spans="1:26" ht="15">
      <c r="A719" s="83"/>
      <c r="B719" s="84"/>
      <c r="C719" s="84"/>
      <c r="D719" s="84"/>
      <c r="E719" s="84"/>
      <c r="F719" s="84"/>
      <c r="G719" s="84"/>
      <c r="H719" s="84"/>
      <c r="I719" s="84"/>
      <c r="J719" s="84"/>
      <c r="K719" s="84"/>
      <c r="L719" s="84"/>
      <c r="M719" s="84"/>
      <c r="N719" s="84"/>
      <c r="O719" s="84"/>
      <c r="P719" s="84"/>
      <c r="Q719" s="84"/>
      <c r="R719" s="84"/>
      <c r="S719" s="84"/>
      <c r="T719" s="84"/>
      <c r="U719" s="84"/>
      <c r="V719" s="84"/>
      <c r="W719" s="84"/>
      <c r="X719" s="84"/>
      <c r="Y719" s="84"/>
      <c r="Z719" s="84"/>
    </row>
    <row r="720" spans="1:26" ht="15">
      <c r="A720" s="83"/>
      <c r="B720" s="84"/>
      <c r="C720" s="84"/>
      <c r="D720" s="84"/>
      <c r="E720" s="84"/>
      <c r="F720" s="84"/>
      <c r="G720" s="84"/>
      <c r="H720" s="84"/>
      <c r="I720" s="84"/>
      <c r="J720" s="84"/>
      <c r="K720" s="84"/>
      <c r="L720" s="84"/>
      <c r="M720" s="84"/>
      <c r="N720" s="84"/>
      <c r="O720" s="84"/>
      <c r="P720" s="84"/>
      <c r="Q720" s="84"/>
      <c r="R720" s="84"/>
      <c r="S720" s="84"/>
      <c r="T720" s="84"/>
      <c r="U720" s="84"/>
      <c r="V720" s="84"/>
      <c r="W720" s="84"/>
      <c r="X720" s="84"/>
      <c r="Y720" s="84"/>
      <c r="Z720" s="84"/>
    </row>
    <row r="721" spans="1:26" ht="15">
      <c r="A721" s="83"/>
      <c r="B721" s="84"/>
      <c r="C721" s="84"/>
      <c r="D721" s="84"/>
      <c r="E721" s="84"/>
      <c r="F721" s="84"/>
      <c r="G721" s="84"/>
      <c r="H721" s="84"/>
      <c r="I721" s="84"/>
      <c r="J721" s="84"/>
      <c r="K721" s="84"/>
      <c r="L721" s="84"/>
      <c r="M721" s="84"/>
      <c r="N721" s="84"/>
      <c r="O721" s="84"/>
      <c r="P721" s="84"/>
      <c r="Q721" s="84"/>
      <c r="R721" s="84"/>
      <c r="S721" s="84"/>
      <c r="T721" s="84"/>
      <c r="U721" s="84"/>
      <c r="V721" s="84"/>
      <c r="W721" s="84"/>
      <c r="X721" s="84"/>
      <c r="Y721" s="84"/>
      <c r="Z721" s="84"/>
    </row>
    <row r="722" spans="1:26" ht="15">
      <c r="A722" s="83"/>
      <c r="B722" s="84"/>
      <c r="C722" s="84"/>
      <c r="D722" s="84"/>
      <c r="E722" s="84"/>
      <c r="F722" s="84"/>
      <c r="G722" s="84"/>
      <c r="H722" s="84"/>
      <c r="I722" s="84"/>
      <c r="J722" s="84"/>
      <c r="K722" s="84"/>
      <c r="L722" s="84"/>
      <c r="M722" s="84"/>
      <c r="N722" s="84"/>
      <c r="O722" s="84"/>
      <c r="P722" s="84"/>
      <c r="Q722" s="84"/>
      <c r="R722" s="84"/>
      <c r="S722" s="84"/>
      <c r="T722" s="84"/>
      <c r="U722" s="84"/>
      <c r="V722" s="84"/>
      <c r="W722" s="84"/>
      <c r="X722" s="84"/>
      <c r="Y722" s="84"/>
      <c r="Z722" s="84"/>
    </row>
    <row r="723" spans="1:26" ht="15">
      <c r="A723" s="83"/>
      <c r="B723" s="84"/>
      <c r="C723" s="84"/>
      <c r="D723" s="84"/>
      <c r="E723" s="84"/>
      <c r="F723" s="84"/>
      <c r="G723" s="84"/>
      <c r="H723" s="84"/>
      <c r="I723" s="84"/>
      <c r="J723" s="84"/>
      <c r="K723" s="84"/>
      <c r="L723" s="84"/>
      <c r="M723" s="84"/>
      <c r="N723" s="84"/>
      <c r="O723" s="84"/>
      <c r="P723" s="84"/>
      <c r="Q723" s="84"/>
      <c r="R723" s="84"/>
      <c r="S723" s="84"/>
      <c r="T723" s="84"/>
      <c r="U723" s="84"/>
      <c r="V723" s="84"/>
      <c r="W723" s="84"/>
      <c r="X723" s="84"/>
      <c r="Y723" s="84"/>
      <c r="Z723" s="84"/>
    </row>
    <row r="724" spans="1:26" ht="15">
      <c r="A724" s="83"/>
      <c r="B724" s="84"/>
      <c r="C724" s="84"/>
      <c r="D724" s="84"/>
      <c r="E724" s="84"/>
      <c r="F724" s="84"/>
      <c r="G724" s="84"/>
      <c r="H724" s="84"/>
      <c r="I724" s="84"/>
      <c r="J724" s="84"/>
      <c r="K724" s="84"/>
      <c r="L724" s="84"/>
      <c r="M724" s="84"/>
      <c r="N724" s="84"/>
      <c r="O724" s="84"/>
      <c r="P724" s="84"/>
      <c r="Q724" s="84"/>
      <c r="R724" s="84"/>
      <c r="S724" s="84"/>
      <c r="T724" s="84"/>
      <c r="U724" s="84"/>
      <c r="V724" s="84"/>
      <c r="W724" s="84"/>
      <c r="X724" s="84"/>
      <c r="Y724" s="84"/>
      <c r="Z724" s="84"/>
    </row>
    <row r="725" spans="1:26" ht="15">
      <c r="A725" s="83"/>
      <c r="B725" s="84"/>
      <c r="C725" s="84"/>
      <c r="D725" s="84"/>
      <c r="E725" s="84"/>
      <c r="F725" s="84"/>
      <c r="G725" s="84"/>
      <c r="H725" s="84"/>
      <c r="I725" s="84"/>
      <c r="J725" s="84"/>
      <c r="K725" s="84"/>
      <c r="L725" s="84"/>
      <c r="M725" s="84"/>
      <c r="N725" s="84"/>
      <c r="O725" s="84"/>
      <c r="P725" s="84"/>
      <c r="Q725" s="84"/>
      <c r="R725" s="84"/>
      <c r="S725" s="84"/>
      <c r="T725" s="84"/>
      <c r="U725" s="84"/>
      <c r="V725" s="84"/>
      <c r="W725" s="84"/>
      <c r="X725" s="84"/>
      <c r="Y725" s="84"/>
      <c r="Z725" s="84"/>
    </row>
    <row r="726" spans="1:26" ht="15">
      <c r="A726" s="83"/>
      <c r="B726" s="84"/>
      <c r="C726" s="84"/>
      <c r="D726" s="84"/>
      <c r="E726" s="84"/>
      <c r="F726" s="84"/>
      <c r="G726" s="84"/>
      <c r="H726" s="84"/>
      <c r="I726" s="84"/>
      <c r="J726" s="84"/>
      <c r="K726" s="84"/>
      <c r="L726" s="84"/>
      <c r="M726" s="84"/>
      <c r="N726" s="84"/>
      <c r="O726" s="84"/>
      <c r="P726" s="84"/>
      <c r="Q726" s="84"/>
      <c r="R726" s="84"/>
      <c r="S726" s="84"/>
      <c r="T726" s="84"/>
      <c r="U726" s="84"/>
      <c r="V726" s="84"/>
      <c r="W726" s="84"/>
      <c r="X726" s="84"/>
      <c r="Y726" s="84"/>
      <c r="Z726" s="84"/>
    </row>
    <row r="727" spans="1:26" ht="15">
      <c r="A727" s="83"/>
      <c r="B727" s="84"/>
      <c r="C727" s="84"/>
      <c r="D727" s="84"/>
      <c r="E727" s="84"/>
      <c r="F727" s="84"/>
      <c r="G727" s="84"/>
      <c r="H727" s="84"/>
      <c r="I727" s="84"/>
      <c r="J727" s="84"/>
      <c r="K727" s="84"/>
      <c r="L727" s="84"/>
      <c r="M727" s="84"/>
      <c r="N727" s="84"/>
      <c r="O727" s="84"/>
      <c r="P727" s="84"/>
      <c r="Q727" s="84"/>
      <c r="R727" s="84"/>
      <c r="S727" s="84"/>
      <c r="T727" s="84"/>
      <c r="U727" s="84"/>
      <c r="V727" s="84"/>
      <c r="W727" s="84"/>
      <c r="X727" s="84"/>
      <c r="Y727" s="84"/>
      <c r="Z727" s="84"/>
    </row>
    <row r="728" spans="1:26" ht="15">
      <c r="A728" s="83"/>
      <c r="B728" s="84"/>
      <c r="C728" s="84"/>
      <c r="D728" s="84"/>
      <c r="E728" s="84"/>
      <c r="F728" s="84"/>
      <c r="G728" s="84"/>
      <c r="H728" s="84"/>
      <c r="I728" s="84"/>
      <c r="J728" s="84"/>
      <c r="K728" s="84"/>
      <c r="L728" s="84"/>
      <c r="M728" s="84"/>
      <c r="N728" s="84"/>
      <c r="O728" s="84"/>
      <c r="P728" s="84"/>
      <c r="Q728" s="84"/>
      <c r="R728" s="84"/>
      <c r="S728" s="84"/>
      <c r="T728" s="84"/>
      <c r="U728" s="84"/>
      <c r="V728" s="84"/>
      <c r="W728" s="84"/>
      <c r="X728" s="84"/>
      <c r="Y728" s="84"/>
      <c r="Z728" s="84"/>
    </row>
    <row r="729" spans="1:26" ht="15">
      <c r="A729" s="83"/>
      <c r="B729" s="84"/>
      <c r="C729" s="84"/>
      <c r="D729" s="84"/>
      <c r="E729" s="84"/>
      <c r="F729" s="84"/>
      <c r="G729" s="84"/>
      <c r="H729" s="84"/>
      <c r="I729" s="84"/>
      <c r="J729" s="84"/>
      <c r="K729" s="84"/>
      <c r="L729" s="84"/>
      <c r="M729" s="84"/>
      <c r="N729" s="84"/>
      <c r="O729" s="84"/>
      <c r="P729" s="84"/>
      <c r="Q729" s="84"/>
      <c r="R729" s="84"/>
      <c r="S729" s="84"/>
      <c r="T729" s="84"/>
      <c r="U729" s="84"/>
      <c r="V729" s="84"/>
      <c r="W729" s="84"/>
      <c r="X729" s="84"/>
      <c r="Y729" s="84"/>
      <c r="Z729" s="84"/>
    </row>
    <row r="730" spans="1:26" ht="15">
      <c r="A730" s="83"/>
      <c r="B730" s="84"/>
      <c r="C730" s="84"/>
      <c r="D730" s="84"/>
      <c r="E730" s="84"/>
      <c r="F730" s="84"/>
      <c r="G730" s="84"/>
      <c r="H730" s="84"/>
      <c r="I730" s="84"/>
      <c r="J730" s="84"/>
      <c r="K730" s="84"/>
      <c r="L730" s="84"/>
      <c r="M730" s="84"/>
      <c r="N730" s="84"/>
      <c r="O730" s="84"/>
      <c r="P730" s="84"/>
      <c r="Q730" s="84"/>
      <c r="R730" s="84"/>
      <c r="S730" s="84"/>
      <c r="T730" s="84"/>
      <c r="U730" s="84"/>
      <c r="V730" s="84"/>
      <c r="W730" s="84"/>
      <c r="X730" s="84"/>
      <c r="Y730" s="84"/>
      <c r="Z730" s="84"/>
    </row>
    <row r="731" spans="1:26" ht="15">
      <c r="A731" s="83"/>
      <c r="B731" s="84"/>
      <c r="C731" s="84"/>
      <c r="D731" s="84"/>
      <c r="E731" s="84"/>
      <c r="F731" s="84"/>
      <c r="G731" s="84"/>
      <c r="H731" s="84"/>
      <c r="I731" s="84"/>
      <c r="J731" s="84"/>
      <c r="K731" s="84"/>
      <c r="L731" s="84"/>
      <c r="M731" s="84"/>
      <c r="N731" s="84"/>
      <c r="O731" s="84"/>
      <c r="P731" s="84"/>
      <c r="Q731" s="84"/>
      <c r="R731" s="84"/>
      <c r="S731" s="84"/>
      <c r="T731" s="84"/>
      <c r="U731" s="84"/>
      <c r="V731" s="84"/>
      <c r="W731" s="84"/>
      <c r="X731" s="84"/>
      <c r="Y731" s="84"/>
      <c r="Z731" s="84"/>
    </row>
    <row r="732" spans="1:26" ht="15">
      <c r="A732" s="83"/>
      <c r="B732" s="84"/>
      <c r="C732" s="84"/>
      <c r="D732" s="84"/>
      <c r="E732" s="84"/>
      <c r="F732" s="84"/>
      <c r="G732" s="84"/>
      <c r="H732" s="84"/>
      <c r="I732" s="84"/>
      <c r="J732" s="84"/>
      <c r="K732" s="84"/>
      <c r="L732" s="84"/>
      <c r="M732" s="84"/>
      <c r="N732" s="84"/>
      <c r="O732" s="84"/>
      <c r="P732" s="84"/>
      <c r="Q732" s="84"/>
      <c r="R732" s="84"/>
      <c r="S732" s="84"/>
      <c r="T732" s="84"/>
      <c r="U732" s="84"/>
      <c r="V732" s="84"/>
      <c r="W732" s="84"/>
      <c r="X732" s="84"/>
      <c r="Y732" s="84"/>
      <c r="Z732" s="84"/>
    </row>
    <row r="733" spans="1:26" ht="15">
      <c r="A733" s="83"/>
      <c r="B733" s="84"/>
      <c r="C733" s="84"/>
      <c r="D733" s="84"/>
      <c r="E733" s="84"/>
      <c r="F733" s="84"/>
      <c r="G733" s="84"/>
      <c r="H733" s="84"/>
      <c r="I733" s="84"/>
      <c r="J733" s="84"/>
      <c r="K733" s="84"/>
      <c r="L733" s="84"/>
      <c r="M733" s="84"/>
      <c r="N733" s="84"/>
      <c r="O733" s="84"/>
      <c r="P733" s="84"/>
      <c r="Q733" s="84"/>
      <c r="R733" s="84"/>
      <c r="S733" s="84"/>
      <c r="T733" s="84"/>
      <c r="U733" s="84"/>
      <c r="V733" s="84"/>
      <c r="W733" s="84"/>
      <c r="X733" s="84"/>
      <c r="Y733" s="84"/>
      <c r="Z733" s="84"/>
    </row>
    <row r="734" spans="1:26" ht="15">
      <c r="A734" s="83"/>
      <c r="B734" s="84"/>
      <c r="C734" s="84"/>
      <c r="D734" s="84"/>
      <c r="E734" s="84"/>
      <c r="F734" s="84"/>
      <c r="G734" s="84"/>
      <c r="H734" s="84"/>
      <c r="I734" s="84"/>
      <c r="J734" s="84"/>
      <c r="K734" s="84"/>
      <c r="L734" s="84"/>
      <c r="M734" s="84"/>
      <c r="N734" s="84"/>
      <c r="O734" s="84"/>
      <c r="P734" s="84"/>
      <c r="Q734" s="84"/>
      <c r="R734" s="84"/>
      <c r="S734" s="84"/>
      <c r="T734" s="84"/>
      <c r="U734" s="84"/>
      <c r="V734" s="84"/>
      <c r="W734" s="84"/>
      <c r="X734" s="84"/>
      <c r="Y734" s="84"/>
      <c r="Z734" s="84"/>
    </row>
    <row r="735" spans="1:26" ht="15">
      <c r="A735" s="83"/>
      <c r="B735" s="84"/>
      <c r="C735" s="84"/>
      <c r="D735" s="84"/>
      <c r="E735" s="84"/>
      <c r="F735" s="84"/>
      <c r="G735" s="84"/>
      <c r="H735" s="84"/>
      <c r="I735" s="84"/>
      <c r="J735" s="84"/>
      <c r="K735" s="84"/>
      <c r="L735" s="84"/>
      <c r="M735" s="84"/>
      <c r="N735" s="84"/>
      <c r="O735" s="84"/>
      <c r="P735" s="84"/>
      <c r="Q735" s="84"/>
      <c r="R735" s="84"/>
      <c r="S735" s="84"/>
      <c r="T735" s="84"/>
      <c r="U735" s="84"/>
      <c r="V735" s="84"/>
      <c r="W735" s="84"/>
      <c r="X735" s="84"/>
      <c r="Y735" s="84"/>
      <c r="Z735" s="84"/>
    </row>
    <row r="736" spans="1:26" ht="15">
      <c r="A736" s="83"/>
      <c r="B736" s="84"/>
      <c r="C736" s="84"/>
      <c r="D736" s="84"/>
      <c r="E736" s="84"/>
      <c r="F736" s="84"/>
      <c r="G736" s="84"/>
      <c r="H736" s="84"/>
      <c r="I736" s="84"/>
      <c r="J736" s="84"/>
      <c r="K736" s="84"/>
      <c r="L736" s="84"/>
      <c r="M736" s="84"/>
      <c r="N736" s="84"/>
      <c r="O736" s="84"/>
      <c r="P736" s="84"/>
      <c r="Q736" s="84"/>
      <c r="R736" s="84"/>
      <c r="S736" s="84"/>
      <c r="T736" s="84"/>
      <c r="U736" s="84"/>
      <c r="V736" s="84"/>
      <c r="W736" s="84"/>
      <c r="X736" s="84"/>
      <c r="Y736" s="84"/>
      <c r="Z736" s="84"/>
    </row>
    <row r="737" spans="1:26" ht="15">
      <c r="A737" s="83"/>
      <c r="B737" s="84"/>
      <c r="C737" s="84"/>
      <c r="D737" s="84"/>
      <c r="E737" s="84"/>
      <c r="F737" s="84"/>
      <c r="G737" s="84"/>
      <c r="H737" s="84"/>
      <c r="I737" s="84"/>
      <c r="J737" s="84"/>
      <c r="K737" s="84"/>
      <c r="L737" s="84"/>
      <c r="M737" s="84"/>
      <c r="N737" s="84"/>
      <c r="O737" s="84"/>
      <c r="P737" s="84"/>
      <c r="Q737" s="84"/>
      <c r="R737" s="84"/>
      <c r="S737" s="84"/>
      <c r="T737" s="84"/>
      <c r="U737" s="84"/>
      <c r="V737" s="84"/>
      <c r="W737" s="84"/>
      <c r="X737" s="84"/>
      <c r="Y737" s="84"/>
      <c r="Z737" s="84"/>
    </row>
    <row r="738" spans="1:26" ht="15">
      <c r="A738" s="83"/>
      <c r="B738" s="84"/>
      <c r="C738" s="84"/>
      <c r="D738" s="84"/>
      <c r="E738" s="84"/>
      <c r="F738" s="84"/>
      <c r="G738" s="84"/>
      <c r="H738" s="84"/>
      <c r="I738" s="84"/>
      <c r="J738" s="84"/>
      <c r="K738" s="84"/>
      <c r="L738" s="84"/>
      <c r="M738" s="84"/>
      <c r="N738" s="84"/>
      <c r="O738" s="84"/>
      <c r="P738" s="84"/>
      <c r="Q738" s="84"/>
      <c r="R738" s="84"/>
      <c r="S738" s="84"/>
      <c r="T738" s="84"/>
      <c r="U738" s="84"/>
      <c r="V738" s="84"/>
      <c r="W738" s="84"/>
      <c r="X738" s="84"/>
      <c r="Y738" s="84"/>
      <c r="Z738" s="84"/>
    </row>
    <row r="739" spans="1:26" ht="15">
      <c r="A739" s="83"/>
      <c r="B739" s="84"/>
      <c r="C739" s="84"/>
      <c r="D739" s="84"/>
      <c r="E739" s="84"/>
      <c r="F739" s="84"/>
      <c r="G739" s="84"/>
      <c r="H739" s="84"/>
      <c r="I739" s="84"/>
      <c r="J739" s="84"/>
      <c r="K739" s="84"/>
      <c r="L739" s="84"/>
      <c r="M739" s="84"/>
      <c r="N739" s="84"/>
      <c r="O739" s="84"/>
      <c r="P739" s="84"/>
      <c r="Q739" s="84"/>
      <c r="R739" s="84"/>
      <c r="S739" s="84"/>
      <c r="T739" s="84"/>
      <c r="U739" s="84"/>
      <c r="V739" s="84"/>
      <c r="W739" s="84"/>
      <c r="X739" s="84"/>
      <c r="Y739" s="84"/>
      <c r="Z739" s="84"/>
    </row>
    <row r="740" spans="1:26" ht="15">
      <c r="A740" s="83"/>
      <c r="B740" s="84"/>
      <c r="C740" s="84"/>
      <c r="D740" s="84"/>
      <c r="E740" s="84"/>
      <c r="F740" s="84"/>
      <c r="G740" s="84"/>
      <c r="H740" s="84"/>
      <c r="I740" s="84"/>
      <c r="J740" s="84"/>
      <c r="K740" s="84"/>
      <c r="L740" s="84"/>
      <c r="M740" s="84"/>
      <c r="N740" s="84"/>
      <c r="O740" s="84"/>
      <c r="P740" s="84"/>
      <c r="Q740" s="84"/>
      <c r="R740" s="84"/>
      <c r="S740" s="84"/>
      <c r="T740" s="84"/>
      <c r="U740" s="84"/>
      <c r="V740" s="84"/>
      <c r="W740" s="84"/>
      <c r="X740" s="84"/>
      <c r="Y740" s="84"/>
      <c r="Z740" s="84"/>
    </row>
    <row r="741" spans="1:26" ht="15">
      <c r="A741" s="83"/>
      <c r="B741" s="84"/>
      <c r="C741" s="84"/>
      <c r="D741" s="84"/>
      <c r="E741" s="84"/>
      <c r="F741" s="84"/>
      <c r="G741" s="84"/>
      <c r="H741" s="84"/>
      <c r="I741" s="84"/>
      <c r="J741" s="84"/>
      <c r="K741" s="84"/>
      <c r="L741" s="84"/>
      <c r="M741" s="84"/>
      <c r="N741" s="84"/>
      <c r="O741" s="84"/>
      <c r="P741" s="84"/>
      <c r="Q741" s="84"/>
      <c r="R741" s="84"/>
      <c r="S741" s="84"/>
      <c r="T741" s="84"/>
      <c r="U741" s="84"/>
      <c r="V741" s="84"/>
      <c r="W741" s="84"/>
      <c r="X741" s="84"/>
      <c r="Y741" s="84"/>
      <c r="Z741" s="84"/>
    </row>
    <row r="742" spans="1:26" ht="15">
      <c r="A742" s="83"/>
      <c r="B742" s="84"/>
      <c r="C742" s="84"/>
      <c r="D742" s="84"/>
      <c r="E742" s="84"/>
      <c r="F742" s="84"/>
      <c r="G742" s="84"/>
      <c r="H742" s="84"/>
      <c r="I742" s="84"/>
      <c r="J742" s="84"/>
      <c r="K742" s="84"/>
      <c r="L742" s="84"/>
      <c r="M742" s="84"/>
      <c r="N742" s="84"/>
      <c r="O742" s="84"/>
      <c r="P742" s="84"/>
      <c r="Q742" s="84"/>
      <c r="R742" s="84"/>
      <c r="S742" s="84"/>
      <c r="T742" s="84"/>
      <c r="U742" s="84"/>
      <c r="V742" s="84"/>
      <c r="W742" s="84"/>
      <c r="X742" s="84"/>
      <c r="Y742" s="84"/>
      <c r="Z742" s="84"/>
    </row>
    <row r="743" spans="1:26" ht="15">
      <c r="A743" s="83"/>
      <c r="B743" s="84"/>
      <c r="C743" s="84"/>
      <c r="D743" s="84"/>
      <c r="E743" s="84"/>
      <c r="F743" s="84"/>
      <c r="G743" s="84"/>
      <c r="H743" s="84"/>
      <c r="I743" s="84"/>
      <c r="J743" s="84"/>
      <c r="K743" s="84"/>
      <c r="L743" s="84"/>
      <c r="M743" s="84"/>
      <c r="N743" s="84"/>
      <c r="O743" s="84"/>
      <c r="P743" s="84"/>
      <c r="Q743" s="84"/>
      <c r="R743" s="84"/>
      <c r="S743" s="84"/>
      <c r="T743" s="84"/>
      <c r="U743" s="84"/>
      <c r="V743" s="84"/>
      <c r="W743" s="84"/>
      <c r="X743" s="84"/>
      <c r="Y743" s="84"/>
      <c r="Z743" s="84"/>
    </row>
    <row r="744" spans="1:26" ht="15">
      <c r="A744" s="83"/>
      <c r="B744" s="84"/>
      <c r="C744" s="84"/>
      <c r="D744" s="84"/>
      <c r="E744" s="84"/>
      <c r="F744" s="84"/>
      <c r="G744" s="84"/>
      <c r="H744" s="84"/>
      <c r="I744" s="84"/>
      <c r="J744" s="84"/>
      <c r="K744" s="84"/>
      <c r="L744" s="84"/>
      <c r="M744" s="84"/>
      <c r="N744" s="84"/>
      <c r="O744" s="84"/>
      <c r="P744" s="84"/>
      <c r="Q744" s="84"/>
      <c r="R744" s="84"/>
      <c r="S744" s="84"/>
      <c r="T744" s="84"/>
      <c r="U744" s="84"/>
      <c r="V744" s="84"/>
      <c r="W744" s="84"/>
      <c r="X744" s="84"/>
      <c r="Y744" s="84"/>
      <c r="Z744" s="84"/>
    </row>
    <row r="745" spans="1:26" ht="15">
      <c r="A745" s="83"/>
      <c r="B745" s="84"/>
      <c r="C745" s="84"/>
      <c r="D745" s="84"/>
      <c r="E745" s="84"/>
      <c r="F745" s="84"/>
      <c r="G745" s="84"/>
      <c r="H745" s="84"/>
      <c r="I745" s="84"/>
      <c r="J745" s="84"/>
      <c r="K745" s="84"/>
      <c r="L745" s="84"/>
      <c r="M745" s="84"/>
      <c r="N745" s="84"/>
      <c r="O745" s="84"/>
      <c r="P745" s="84"/>
      <c r="Q745" s="84"/>
      <c r="R745" s="84"/>
      <c r="S745" s="84"/>
      <c r="T745" s="84"/>
      <c r="U745" s="84"/>
      <c r="V745" s="84"/>
      <c r="W745" s="84"/>
      <c r="X745" s="84"/>
      <c r="Y745" s="84"/>
      <c r="Z745" s="84"/>
    </row>
    <row r="746" spans="1:26" ht="15">
      <c r="A746" s="83"/>
      <c r="B746" s="84"/>
      <c r="C746" s="84"/>
      <c r="D746" s="84"/>
      <c r="E746" s="84"/>
      <c r="F746" s="84"/>
      <c r="G746" s="84"/>
      <c r="H746" s="84"/>
      <c r="I746" s="84"/>
      <c r="J746" s="84"/>
      <c r="K746" s="84"/>
      <c r="L746" s="84"/>
      <c r="M746" s="84"/>
      <c r="N746" s="84"/>
      <c r="O746" s="84"/>
      <c r="P746" s="84"/>
      <c r="Q746" s="84"/>
      <c r="R746" s="84"/>
      <c r="S746" s="84"/>
      <c r="T746" s="84"/>
      <c r="U746" s="84"/>
      <c r="V746" s="84"/>
      <c r="W746" s="84"/>
      <c r="X746" s="84"/>
      <c r="Y746" s="84"/>
      <c r="Z746" s="84"/>
    </row>
    <row r="747" spans="1:26" ht="15">
      <c r="A747" s="83"/>
      <c r="B747" s="84"/>
      <c r="C747" s="84"/>
      <c r="D747" s="84"/>
      <c r="E747" s="84"/>
      <c r="F747" s="84"/>
      <c r="G747" s="84"/>
      <c r="H747" s="84"/>
      <c r="I747" s="84"/>
      <c r="J747" s="84"/>
      <c r="K747" s="84"/>
      <c r="L747" s="84"/>
      <c r="M747" s="84"/>
      <c r="N747" s="84"/>
      <c r="O747" s="84"/>
      <c r="P747" s="84"/>
      <c r="Q747" s="84"/>
      <c r="R747" s="84"/>
      <c r="S747" s="84"/>
      <c r="T747" s="84"/>
      <c r="U747" s="84"/>
      <c r="V747" s="84"/>
      <c r="W747" s="84"/>
      <c r="X747" s="84"/>
      <c r="Y747" s="84"/>
      <c r="Z747" s="84"/>
    </row>
    <row r="748" spans="1:26" ht="15">
      <c r="A748" s="83"/>
      <c r="B748" s="84"/>
      <c r="C748" s="84"/>
      <c r="D748" s="84"/>
      <c r="E748" s="84"/>
      <c r="F748" s="84"/>
      <c r="G748" s="84"/>
      <c r="H748" s="84"/>
      <c r="I748" s="84"/>
      <c r="J748" s="84"/>
      <c r="K748" s="84"/>
      <c r="L748" s="84"/>
      <c r="M748" s="84"/>
      <c r="N748" s="84"/>
      <c r="O748" s="84"/>
      <c r="P748" s="84"/>
      <c r="Q748" s="84"/>
      <c r="R748" s="84"/>
      <c r="S748" s="84"/>
      <c r="T748" s="84"/>
      <c r="U748" s="84"/>
      <c r="V748" s="84"/>
      <c r="W748" s="84"/>
      <c r="X748" s="84"/>
      <c r="Y748" s="84"/>
      <c r="Z748" s="84"/>
    </row>
    <row r="749" spans="1:26" ht="15">
      <c r="A749" s="83"/>
      <c r="B749" s="84"/>
      <c r="C749" s="84"/>
      <c r="D749" s="84"/>
      <c r="E749" s="84"/>
      <c r="F749" s="84"/>
      <c r="G749" s="84"/>
      <c r="H749" s="84"/>
      <c r="I749" s="84"/>
      <c r="J749" s="84"/>
      <c r="K749" s="84"/>
      <c r="L749" s="84"/>
      <c r="M749" s="84"/>
      <c r="N749" s="84"/>
      <c r="O749" s="84"/>
      <c r="P749" s="84"/>
      <c r="Q749" s="84"/>
      <c r="R749" s="84"/>
      <c r="S749" s="84"/>
      <c r="T749" s="84"/>
      <c r="U749" s="84"/>
      <c r="V749" s="84"/>
      <c r="W749" s="84"/>
      <c r="X749" s="84"/>
      <c r="Y749" s="84"/>
      <c r="Z749" s="84"/>
    </row>
    <row r="750" spans="1:26" ht="15">
      <c r="A750" s="83"/>
      <c r="B750" s="84"/>
      <c r="C750" s="84"/>
      <c r="D750" s="84"/>
      <c r="E750" s="84"/>
      <c r="F750" s="84"/>
      <c r="G750" s="84"/>
      <c r="H750" s="84"/>
      <c r="I750" s="84"/>
      <c r="J750" s="84"/>
      <c r="K750" s="84"/>
      <c r="L750" s="84"/>
      <c r="M750" s="84"/>
      <c r="N750" s="84"/>
      <c r="O750" s="84"/>
      <c r="P750" s="84"/>
      <c r="Q750" s="84"/>
      <c r="R750" s="84"/>
      <c r="S750" s="84"/>
      <c r="T750" s="84"/>
      <c r="U750" s="84"/>
      <c r="V750" s="84"/>
      <c r="W750" s="84"/>
      <c r="X750" s="84"/>
      <c r="Y750" s="84"/>
      <c r="Z750" s="84"/>
    </row>
    <row r="751" spans="1:26" ht="15">
      <c r="A751" s="83"/>
      <c r="B751" s="84"/>
      <c r="C751" s="84"/>
      <c r="D751" s="84"/>
      <c r="E751" s="84"/>
      <c r="F751" s="84"/>
      <c r="G751" s="84"/>
      <c r="H751" s="84"/>
      <c r="I751" s="84"/>
      <c r="J751" s="84"/>
      <c r="K751" s="84"/>
      <c r="L751" s="84"/>
      <c r="M751" s="84"/>
      <c r="N751" s="84"/>
      <c r="O751" s="84"/>
      <c r="P751" s="84"/>
      <c r="Q751" s="84"/>
      <c r="R751" s="84"/>
      <c r="S751" s="84"/>
      <c r="T751" s="84"/>
      <c r="U751" s="84"/>
      <c r="V751" s="84"/>
      <c r="W751" s="84"/>
      <c r="X751" s="84"/>
      <c r="Y751" s="84"/>
      <c r="Z751" s="84"/>
    </row>
    <row r="752" spans="1:26" ht="15">
      <c r="A752" s="83"/>
      <c r="B752" s="84"/>
      <c r="C752" s="84"/>
      <c r="D752" s="84"/>
      <c r="E752" s="84"/>
      <c r="F752" s="84"/>
      <c r="G752" s="84"/>
      <c r="H752" s="84"/>
      <c r="I752" s="84"/>
      <c r="J752" s="84"/>
      <c r="K752" s="84"/>
      <c r="L752" s="84"/>
      <c r="M752" s="84"/>
      <c r="N752" s="84"/>
      <c r="O752" s="84"/>
      <c r="P752" s="84"/>
      <c r="Q752" s="84"/>
      <c r="R752" s="84"/>
      <c r="S752" s="84"/>
      <c r="T752" s="84"/>
      <c r="U752" s="84"/>
      <c r="V752" s="84"/>
      <c r="W752" s="84"/>
      <c r="X752" s="84"/>
      <c r="Y752" s="84"/>
      <c r="Z752" s="84"/>
    </row>
    <row r="753" spans="1:26" ht="15">
      <c r="A753" s="83"/>
      <c r="B753" s="84"/>
      <c r="C753" s="84"/>
      <c r="D753" s="84"/>
      <c r="E753" s="84"/>
      <c r="F753" s="84"/>
      <c r="G753" s="84"/>
      <c r="H753" s="84"/>
      <c r="I753" s="84"/>
      <c r="J753" s="84"/>
      <c r="K753" s="84"/>
      <c r="L753" s="84"/>
      <c r="M753" s="84"/>
      <c r="N753" s="84"/>
      <c r="O753" s="84"/>
      <c r="P753" s="84"/>
      <c r="Q753" s="84"/>
      <c r="R753" s="84"/>
      <c r="S753" s="84"/>
      <c r="T753" s="84"/>
      <c r="U753" s="84"/>
      <c r="V753" s="84"/>
      <c r="W753" s="84"/>
      <c r="X753" s="84"/>
      <c r="Y753" s="84"/>
      <c r="Z753" s="84"/>
    </row>
    <row r="754" spans="1:26" ht="15">
      <c r="A754" s="83"/>
      <c r="B754" s="84"/>
      <c r="C754" s="84"/>
      <c r="D754" s="84"/>
      <c r="E754" s="84"/>
      <c r="F754" s="84"/>
      <c r="G754" s="84"/>
      <c r="H754" s="84"/>
      <c r="I754" s="84"/>
      <c r="J754" s="84"/>
      <c r="K754" s="84"/>
      <c r="L754" s="84"/>
      <c r="M754" s="84"/>
      <c r="N754" s="84"/>
      <c r="O754" s="84"/>
      <c r="P754" s="84"/>
      <c r="Q754" s="84"/>
      <c r="R754" s="84"/>
      <c r="S754" s="84"/>
      <c r="T754" s="84"/>
      <c r="U754" s="84"/>
      <c r="V754" s="84"/>
      <c r="W754" s="84"/>
      <c r="X754" s="84"/>
      <c r="Y754" s="84"/>
      <c r="Z754" s="84"/>
    </row>
    <row r="755" spans="1:26" ht="15">
      <c r="A755" s="83"/>
      <c r="B755" s="84"/>
      <c r="C755" s="84"/>
      <c r="D755" s="84"/>
      <c r="E755" s="84"/>
      <c r="F755" s="84"/>
      <c r="G755" s="84"/>
      <c r="H755" s="84"/>
      <c r="I755" s="84"/>
      <c r="J755" s="84"/>
      <c r="K755" s="84"/>
      <c r="L755" s="84"/>
      <c r="M755" s="84"/>
      <c r="N755" s="84"/>
      <c r="O755" s="84"/>
      <c r="P755" s="84"/>
      <c r="Q755" s="84"/>
      <c r="R755" s="84"/>
      <c r="S755" s="84"/>
      <c r="T755" s="84"/>
      <c r="U755" s="84"/>
      <c r="V755" s="84"/>
      <c r="W755" s="84"/>
      <c r="X755" s="84"/>
      <c r="Y755" s="84"/>
      <c r="Z755" s="84"/>
    </row>
    <row r="756" spans="1:26" ht="15">
      <c r="A756" s="83"/>
      <c r="B756" s="84"/>
      <c r="C756" s="84"/>
      <c r="D756" s="84"/>
      <c r="E756" s="84"/>
      <c r="F756" s="84"/>
      <c r="G756" s="84"/>
      <c r="H756" s="84"/>
      <c r="I756" s="84"/>
      <c r="J756" s="84"/>
      <c r="K756" s="84"/>
      <c r="L756" s="84"/>
      <c r="M756" s="84"/>
      <c r="N756" s="84"/>
      <c r="O756" s="84"/>
      <c r="P756" s="84"/>
      <c r="Q756" s="84"/>
      <c r="R756" s="84"/>
      <c r="S756" s="84"/>
      <c r="T756" s="84"/>
      <c r="U756" s="84"/>
      <c r="V756" s="84"/>
      <c r="W756" s="84"/>
      <c r="X756" s="84"/>
      <c r="Y756" s="84"/>
      <c r="Z756" s="84"/>
    </row>
    <row r="757" spans="1:26" ht="15">
      <c r="A757" s="83"/>
      <c r="B757" s="84"/>
      <c r="C757" s="84"/>
      <c r="D757" s="84"/>
      <c r="E757" s="84"/>
      <c r="F757" s="84"/>
      <c r="G757" s="84"/>
      <c r="H757" s="84"/>
      <c r="I757" s="84"/>
      <c r="J757" s="84"/>
      <c r="K757" s="84"/>
      <c r="L757" s="84"/>
      <c r="M757" s="84"/>
      <c r="N757" s="84"/>
      <c r="O757" s="84"/>
      <c r="P757" s="84"/>
      <c r="Q757" s="84"/>
      <c r="R757" s="84"/>
      <c r="S757" s="84"/>
      <c r="T757" s="84"/>
      <c r="U757" s="84"/>
      <c r="V757" s="84"/>
      <c r="W757" s="84"/>
      <c r="X757" s="84"/>
      <c r="Y757" s="84"/>
      <c r="Z757" s="84"/>
    </row>
    <row r="758" spans="1:26" ht="15">
      <c r="A758" s="83"/>
      <c r="B758" s="84"/>
      <c r="C758" s="84"/>
      <c r="D758" s="84"/>
      <c r="E758" s="84"/>
      <c r="F758" s="84"/>
      <c r="G758" s="84"/>
      <c r="H758" s="84"/>
      <c r="I758" s="84"/>
      <c r="J758" s="84"/>
      <c r="K758" s="84"/>
      <c r="L758" s="84"/>
      <c r="M758" s="84"/>
      <c r="N758" s="84"/>
      <c r="O758" s="84"/>
      <c r="P758" s="84"/>
      <c r="Q758" s="84"/>
      <c r="R758" s="84"/>
      <c r="S758" s="84"/>
      <c r="T758" s="84"/>
      <c r="U758" s="84"/>
      <c r="V758" s="84"/>
      <c r="W758" s="84"/>
      <c r="X758" s="84"/>
      <c r="Y758" s="84"/>
      <c r="Z758" s="84"/>
    </row>
    <row r="759" spans="1:26" ht="15">
      <c r="A759" s="83"/>
      <c r="B759" s="84"/>
      <c r="C759" s="84"/>
      <c r="D759" s="84"/>
      <c r="E759" s="84"/>
      <c r="F759" s="84"/>
      <c r="G759" s="84"/>
      <c r="H759" s="84"/>
      <c r="I759" s="84"/>
      <c r="J759" s="84"/>
      <c r="K759" s="84"/>
      <c r="L759" s="84"/>
      <c r="M759" s="84"/>
      <c r="N759" s="84"/>
      <c r="O759" s="84"/>
      <c r="P759" s="84"/>
      <c r="Q759" s="84"/>
      <c r="R759" s="84"/>
      <c r="S759" s="84"/>
      <c r="T759" s="84"/>
      <c r="U759" s="84"/>
      <c r="V759" s="84"/>
      <c r="W759" s="84"/>
      <c r="X759" s="84"/>
      <c r="Y759" s="84"/>
      <c r="Z759" s="84"/>
    </row>
    <row r="760" spans="1:26" ht="15">
      <c r="A760" s="83"/>
      <c r="B760" s="84"/>
      <c r="C760" s="84"/>
      <c r="D760" s="84"/>
      <c r="E760" s="84"/>
      <c r="F760" s="84"/>
      <c r="G760" s="84"/>
      <c r="H760" s="84"/>
      <c r="I760" s="84"/>
      <c r="J760" s="84"/>
      <c r="K760" s="84"/>
      <c r="L760" s="84"/>
      <c r="M760" s="84"/>
      <c r="N760" s="84"/>
      <c r="O760" s="84"/>
      <c r="P760" s="84"/>
      <c r="Q760" s="84"/>
      <c r="R760" s="84"/>
      <c r="S760" s="84"/>
      <c r="T760" s="84"/>
      <c r="U760" s="84"/>
      <c r="V760" s="84"/>
      <c r="W760" s="84"/>
      <c r="X760" s="84"/>
      <c r="Y760" s="84"/>
      <c r="Z760" s="84"/>
    </row>
    <row r="761" spans="1:26" ht="15">
      <c r="A761" s="83"/>
      <c r="B761" s="84"/>
      <c r="C761" s="84"/>
      <c r="D761" s="84"/>
      <c r="E761" s="84"/>
      <c r="F761" s="84"/>
      <c r="G761" s="84"/>
      <c r="H761" s="84"/>
      <c r="I761" s="84"/>
      <c r="J761" s="84"/>
      <c r="K761" s="84"/>
      <c r="L761" s="84"/>
      <c r="M761" s="84"/>
      <c r="N761" s="84"/>
      <c r="O761" s="84"/>
      <c r="P761" s="84"/>
      <c r="Q761" s="84"/>
      <c r="R761" s="84"/>
      <c r="S761" s="84"/>
      <c r="T761" s="84"/>
      <c r="U761" s="84"/>
      <c r="V761" s="84"/>
      <c r="W761" s="84"/>
      <c r="X761" s="84"/>
      <c r="Y761" s="84"/>
      <c r="Z761" s="84"/>
    </row>
    <row r="762" spans="1:26" ht="15">
      <c r="A762" s="83"/>
      <c r="B762" s="84"/>
      <c r="C762" s="84"/>
      <c r="D762" s="84"/>
      <c r="E762" s="84"/>
      <c r="F762" s="84"/>
      <c r="G762" s="84"/>
      <c r="H762" s="84"/>
      <c r="I762" s="84"/>
      <c r="J762" s="84"/>
      <c r="K762" s="84"/>
      <c r="L762" s="84"/>
      <c r="M762" s="84"/>
      <c r="N762" s="84"/>
      <c r="O762" s="84"/>
      <c r="P762" s="84"/>
      <c r="Q762" s="84"/>
      <c r="R762" s="84"/>
      <c r="S762" s="84"/>
      <c r="T762" s="84"/>
      <c r="U762" s="84"/>
      <c r="V762" s="84"/>
      <c r="W762" s="84"/>
      <c r="X762" s="84"/>
      <c r="Y762" s="84"/>
      <c r="Z762" s="84"/>
    </row>
    <row r="763" spans="1:26" ht="15">
      <c r="A763" s="83"/>
      <c r="B763" s="84"/>
      <c r="C763" s="84"/>
      <c r="D763" s="84"/>
      <c r="E763" s="84"/>
      <c r="F763" s="84"/>
      <c r="G763" s="84"/>
      <c r="H763" s="84"/>
      <c r="I763" s="84"/>
      <c r="J763" s="84"/>
      <c r="K763" s="84"/>
      <c r="L763" s="84"/>
      <c r="M763" s="84"/>
      <c r="N763" s="84"/>
      <c r="O763" s="84"/>
      <c r="P763" s="84"/>
      <c r="Q763" s="84"/>
      <c r="R763" s="84"/>
      <c r="S763" s="84"/>
      <c r="T763" s="84"/>
      <c r="U763" s="84"/>
      <c r="V763" s="84"/>
      <c r="W763" s="84"/>
      <c r="X763" s="84"/>
      <c r="Y763" s="84"/>
      <c r="Z763" s="84"/>
    </row>
    <row r="764" spans="1:26" ht="15">
      <c r="A764" s="83"/>
      <c r="B764" s="84"/>
      <c r="C764" s="84"/>
      <c r="D764" s="84"/>
      <c r="E764" s="84"/>
      <c r="F764" s="84"/>
      <c r="G764" s="84"/>
      <c r="H764" s="84"/>
      <c r="I764" s="84"/>
      <c r="J764" s="84"/>
      <c r="K764" s="84"/>
      <c r="L764" s="84"/>
      <c r="M764" s="84"/>
      <c r="N764" s="84"/>
      <c r="O764" s="84"/>
      <c r="P764" s="84"/>
      <c r="Q764" s="84"/>
      <c r="R764" s="84"/>
      <c r="S764" s="84"/>
      <c r="T764" s="84"/>
      <c r="U764" s="84"/>
      <c r="V764" s="84"/>
      <c r="W764" s="84"/>
      <c r="X764" s="84"/>
      <c r="Y764" s="84"/>
      <c r="Z764" s="84"/>
    </row>
    <row r="765" spans="1:26" ht="15">
      <c r="A765" s="83"/>
      <c r="B765" s="84"/>
      <c r="C765" s="84"/>
      <c r="D765" s="84"/>
      <c r="E765" s="84"/>
      <c r="F765" s="84"/>
      <c r="G765" s="84"/>
      <c r="H765" s="84"/>
      <c r="I765" s="84"/>
      <c r="J765" s="84"/>
      <c r="K765" s="84"/>
      <c r="L765" s="84"/>
      <c r="M765" s="84"/>
      <c r="N765" s="84"/>
      <c r="O765" s="84"/>
      <c r="P765" s="84"/>
      <c r="Q765" s="84"/>
      <c r="R765" s="84"/>
      <c r="S765" s="84"/>
      <c r="T765" s="84"/>
      <c r="U765" s="84"/>
      <c r="V765" s="84"/>
      <c r="W765" s="84"/>
      <c r="X765" s="84"/>
      <c r="Y765" s="84"/>
      <c r="Z765" s="84"/>
    </row>
    <row r="766" spans="1:26" ht="15">
      <c r="A766" s="83"/>
      <c r="B766" s="84"/>
      <c r="C766" s="84"/>
      <c r="D766" s="84"/>
      <c r="E766" s="84"/>
      <c r="F766" s="84"/>
      <c r="G766" s="84"/>
      <c r="H766" s="84"/>
      <c r="I766" s="84"/>
      <c r="J766" s="84"/>
      <c r="K766" s="84"/>
      <c r="L766" s="84"/>
      <c r="M766" s="84"/>
      <c r="N766" s="84"/>
      <c r="O766" s="84"/>
      <c r="P766" s="84"/>
      <c r="Q766" s="84"/>
      <c r="R766" s="84"/>
      <c r="S766" s="84"/>
      <c r="T766" s="84"/>
      <c r="U766" s="84"/>
      <c r="V766" s="84"/>
      <c r="W766" s="84"/>
      <c r="X766" s="84"/>
      <c r="Y766" s="84"/>
      <c r="Z766" s="84"/>
    </row>
    <row r="767" spans="1:26" ht="15">
      <c r="A767" s="83"/>
      <c r="B767" s="84"/>
      <c r="C767" s="84"/>
      <c r="D767" s="84"/>
      <c r="E767" s="84"/>
      <c r="F767" s="84"/>
      <c r="G767" s="84"/>
      <c r="H767" s="84"/>
      <c r="I767" s="84"/>
      <c r="J767" s="84"/>
      <c r="K767" s="84"/>
      <c r="L767" s="84"/>
      <c r="M767" s="84"/>
      <c r="N767" s="84"/>
      <c r="O767" s="84"/>
      <c r="P767" s="84"/>
      <c r="Q767" s="84"/>
      <c r="R767" s="84"/>
      <c r="S767" s="84"/>
      <c r="T767" s="84"/>
      <c r="U767" s="84"/>
      <c r="V767" s="84"/>
      <c r="W767" s="84"/>
      <c r="X767" s="84"/>
      <c r="Y767" s="84"/>
      <c r="Z767" s="84"/>
    </row>
    <row r="768" spans="1:26" ht="15">
      <c r="A768" s="83"/>
      <c r="B768" s="84"/>
      <c r="C768" s="84"/>
      <c r="D768" s="84"/>
      <c r="E768" s="84"/>
      <c r="F768" s="84"/>
      <c r="G768" s="84"/>
      <c r="H768" s="84"/>
      <c r="I768" s="84"/>
      <c r="J768" s="84"/>
      <c r="K768" s="84"/>
      <c r="L768" s="84"/>
      <c r="M768" s="84"/>
      <c r="N768" s="84"/>
      <c r="O768" s="84"/>
      <c r="P768" s="84"/>
      <c r="Q768" s="84"/>
      <c r="R768" s="84"/>
      <c r="S768" s="84"/>
      <c r="T768" s="84"/>
      <c r="U768" s="84"/>
      <c r="V768" s="84"/>
      <c r="W768" s="84"/>
      <c r="X768" s="84"/>
      <c r="Y768" s="84"/>
      <c r="Z768" s="84"/>
    </row>
    <row r="769" spans="1:26" ht="15">
      <c r="A769" s="83"/>
      <c r="B769" s="84"/>
      <c r="C769" s="84"/>
      <c r="D769" s="84"/>
      <c r="E769" s="84"/>
      <c r="F769" s="84"/>
      <c r="G769" s="84"/>
      <c r="H769" s="84"/>
      <c r="I769" s="84"/>
      <c r="J769" s="84"/>
      <c r="K769" s="84"/>
      <c r="L769" s="84"/>
      <c r="M769" s="84"/>
      <c r="N769" s="84"/>
      <c r="O769" s="84"/>
      <c r="P769" s="84"/>
      <c r="Q769" s="84"/>
      <c r="R769" s="84"/>
      <c r="S769" s="84"/>
      <c r="T769" s="84"/>
      <c r="U769" s="84"/>
      <c r="V769" s="84"/>
      <c r="W769" s="84"/>
      <c r="X769" s="84"/>
      <c r="Y769" s="84"/>
      <c r="Z769" s="84"/>
    </row>
    <row r="770" spans="1:26" ht="15">
      <c r="A770" s="83"/>
      <c r="B770" s="84"/>
      <c r="C770" s="84"/>
      <c r="D770" s="84"/>
      <c r="E770" s="84"/>
      <c r="F770" s="84"/>
      <c r="G770" s="84"/>
      <c r="H770" s="84"/>
      <c r="I770" s="84"/>
      <c r="J770" s="84"/>
      <c r="K770" s="84"/>
      <c r="L770" s="84"/>
      <c r="M770" s="84"/>
      <c r="N770" s="84"/>
      <c r="O770" s="84"/>
      <c r="P770" s="84"/>
      <c r="Q770" s="84"/>
      <c r="R770" s="84"/>
      <c r="S770" s="84"/>
      <c r="T770" s="84"/>
      <c r="U770" s="84"/>
      <c r="V770" s="84"/>
      <c r="W770" s="84"/>
      <c r="X770" s="84"/>
      <c r="Y770" s="84"/>
      <c r="Z770" s="84"/>
    </row>
    <row r="771" spans="1:26" ht="15">
      <c r="A771" s="83"/>
      <c r="B771" s="84"/>
      <c r="C771" s="84"/>
      <c r="D771" s="84"/>
      <c r="E771" s="84"/>
      <c r="F771" s="84"/>
      <c r="G771" s="84"/>
      <c r="H771" s="84"/>
      <c r="I771" s="84"/>
      <c r="J771" s="84"/>
      <c r="K771" s="84"/>
      <c r="L771" s="84"/>
      <c r="M771" s="84"/>
      <c r="N771" s="84"/>
      <c r="O771" s="84"/>
      <c r="P771" s="84"/>
      <c r="Q771" s="84"/>
      <c r="R771" s="84"/>
      <c r="S771" s="84"/>
      <c r="T771" s="84"/>
      <c r="U771" s="84"/>
      <c r="V771" s="84"/>
      <c r="W771" s="84"/>
      <c r="X771" s="84"/>
      <c r="Y771" s="84"/>
      <c r="Z771" s="84"/>
    </row>
    <row r="772" spans="1:26" ht="15">
      <c r="A772" s="83"/>
      <c r="B772" s="84"/>
      <c r="C772" s="84"/>
      <c r="D772" s="84"/>
      <c r="E772" s="84"/>
      <c r="F772" s="84"/>
      <c r="G772" s="84"/>
      <c r="H772" s="84"/>
      <c r="I772" s="84"/>
      <c r="J772" s="84"/>
      <c r="K772" s="84"/>
      <c r="L772" s="84"/>
      <c r="M772" s="84"/>
      <c r="N772" s="84"/>
      <c r="O772" s="84"/>
      <c r="P772" s="84"/>
      <c r="Q772" s="84"/>
      <c r="R772" s="84"/>
      <c r="S772" s="84"/>
      <c r="T772" s="84"/>
      <c r="U772" s="84"/>
      <c r="V772" s="84"/>
      <c r="W772" s="84"/>
      <c r="X772" s="84"/>
      <c r="Y772" s="84"/>
      <c r="Z772" s="84"/>
    </row>
    <row r="773" spans="1:26" ht="15">
      <c r="A773" s="83"/>
      <c r="B773" s="84"/>
      <c r="C773" s="84"/>
      <c r="D773" s="84"/>
      <c r="E773" s="84"/>
      <c r="F773" s="84"/>
      <c r="G773" s="84"/>
      <c r="H773" s="84"/>
      <c r="I773" s="84"/>
      <c r="J773" s="84"/>
      <c r="K773" s="84"/>
      <c r="L773" s="84"/>
      <c r="M773" s="84"/>
      <c r="N773" s="84"/>
      <c r="O773" s="84"/>
      <c r="P773" s="84"/>
      <c r="Q773" s="84"/>
      <c r="R773" s="84"/>
      <c r="S773" s="84"/>
      <c r="T773" s="84"/>
      <c r="U773" s="84"/>
      <c r="V773" s="84"/>
      <c r="W773" s="84"/>
      <c r="X773" s="84"/>
      <c r="Y773" s="84"/>
      <c r="Z773" s="84"/>
    </row>
    <row r="774" spans="1:26" ht="15">
      <c r="A774" s="83"/>
      <c r="B774" s="84"/>
      <c r="C774" s="84"/>
      <c r="D774" s="84"/>
      <c r="E774" s="84"/>
      <c r="F774" s="84"/>
      <c r="G774" s="84"/>
      <c r="H774" s="84"/>
      <c r="I774" s="84"/>
      <c r="J774" s="84"/>
      <c r="K774" s="84"/>
      <c r="L774" s="84"/>
      <c r="M774" s="84"/>
      <c r="N774" s="84"/>
      <c r="O774" s="84"/>
      <c r="P774" s="84"/>
      <c r="Q774" s="84"/>
      <c r="R774" s="84"/>
      <c r="S774" s="84"/>
      <c r="T774" s="84"/>
      <c r="U774" s="84"/>
      <c r="V774" s="84"/>
      <c r="W774" s="84"/>
      <c r="X774" s="84"/>
      <c r="Y774" s="84"/>
      <c r="Z774" s="84"/>
    </row>
    <row r="775" spans="1:26" ht="15">
      <c r="A775" s="83"/>
      <c r="B775" s="84"/>
      <c r="C775" s="84"/>
      <c r="D775" s="84"/>
      <c r="E775" s="84"/>
      <c r="F775" s="84"/>
      <c r="G775" s="84"/>
      <c r="H775" s="84"/>
      <c r="I775" s="84"/>
      <c r="J775" s="84"/>
      <c r="K775" s="84"/>
      <c r="L775" s="84"/>
      <c r="M775" s="84"/>
      <c r="N775" s="84"/>
      <c r="O775" s="84"/>
      <c r="P775" s="84"/>
      <c r="Q775" s="84"/>
      <c r="R775" s="84"/>
      <c r="S775" s="84"/>
      <c r="T775" s="84"/>
      <c r="U775" s="84"/>
      <c r="V775" s="84"/>
      <c r="W775" s="84"/>
      <c r="X775" s="84"/>
      <c r="Y775" s="84"/>
      <c r="Z775" s="84"/>
    </row>
    <row r="776" spans="1:26" ht="15">
      <c r="A776" s="83"/>
      <c r="B776" s="84"/>
      <c r="C776" s="84"/>
      <c r="D776" s="84"/>
      <c r="E776" s="84"/>
      <c r="F776" s="84"/>
      <c r="G776" s="84"/>
      <c r="H776" s="84"/>
      <c r="I776" s="84"/>
      <c r="J776" s="84"/>
      <c r="K776" s="84"/>
      <c r="L776" s="84"/>
      <c r="M776" s="84"/>
      <c r="N776" s="84"/>
      <c r="O776" s="84"/>
      <c r="P776" s="84"/>
      <c r="Q776" s="84"/>
      <c r="R776" s="84"/>
      <c r="S776" s="84"/>
      <c r="T776" s="84"/>
      <c r="U776" s="84"/>
      <c r="V776" s="84"/>
      <c r="W776" s="84"/>
      <c r="X776" s="84"/>
      <c r="Y776" s="84"/>
      <c r="Z776" s="84"/>
    </row>
    <row r="777" spans="1:26" ht="15">
      <c r="A777" s="83"/>
      <c r="B777" s="84"/>
      <c r="C777" s="84"/>
      <c r="D777" s="84"/>
      <c r="E777" s="84"/>
      <c r="F777" s="84"/>
      <c r="G777" s="84"/>
      <c r="H777" s="84"/>
      <c r="I777" s="84"/>
      <c r="J777" s="84"/>
      <c r="K777" s="84"/>
      <c r="L777" s="84"/>
      <c r="M777" s="84"/>
      <c r="N777" s="84"/>
      <c r="O777" s="84"/>
      <c r="P777" s="84"/>
      <c r="Q777" s="84"/>
      <c r="R777" s="84"/>
      <c r="S777" s="84"/>
      <c r="T777" s="84"/>
      <c r="U777" s="84"/>
      <c r="V777" s="84"/>
      <c r="W777" s="84"/>
      <c r="X777" s="84"/>
      <c r="Y777" s="84"/>
      <c r="Z777" s="84"/>
    </row>
    <row r="778" spans="1:26" ht="15">
      <c r="A778" s="83"/>
      <c r="B778" s="84"/>
      <c r="C778" s="84"/>
      <c r="D778" s="84"/>
      <c r="E778" s="84"/>
      <c r="F778" s="84"/>
      <c r="G778" s="84"/>
      <c r="H778" s="84"/>
      <c r="I778" s="84"/>
      <c r="J778" s="84"/>
      <c r="K778" s="84"/>
      <c r="L778" s="84"/>
      <c r="M778" s="84"/>
      <c r="N778" s="84"/>
      <c r="O778" s="84"/>
      <c r="P778" s="84"/>
      <c r="Q778" s="84"/>
      <c r="R778" s="84"/>
      <c r="S778" s="84"/>
      <c r="T778" s="84"/>
      <c r="U778" s="84"/>
      <c r="V778" s="84"/>
      <c r="W778" s="84"/>
      <c r="X778" s="84"/>
      <c r="Y778" s="84"/>
      <c r="Z778" s="84"/>
    </row>
    <row r="779" spans="1:26" ht="15">
      <c r="A779" s="83"/>
      <c r="B779" s="84"/>
      <c r="C779" s="84"/>
      <c r="D779" s="84"/>
      <c r="E779" s="84"/>
      <c r="F779" s="84"/>
      <c r="G779" s="84"/>
      <c r="H779" s="84"/>
      <c r="I779" s="84"/>
      <c r="J779" s="84"/>
      <c r="K779" s="84"/>
      <c r="L779" s="84"/>
      <c r="M779" s="84"/>
      <c r="N779" s="84"/>
      <c r="O779" s="84"/>
      <c r="P779" s="84"/>
      <c r="Q779" s="84"/>
      <c r="R779" s="84"/>
      <c r="S779" s="84"/>
      <c r="T779" s="84"/>
      <c r="U779" s="84"/>
      <c r="V779" s="84"/>
      <c r="W779" s="84"/>
      <c r="X779" s="84"/>
      <c r="Y779" s="84"/>
      <c r="Z779" s="84"/>
    </row>
    <row r="780" spans="1:26" ht="15">
      <c r="A780" s="83"/>
      <c r="B780" s="84"/>
      <c r="C780" s="84"/>
      <c r="D780" s="84"/>
      <c r="E780" s="84"/>
      <c r="F780" s="84"/>
      <c r="G780" s="84"/>
      <c r="H780" s="84"/>
      <c r="I780" s="84"/>
      <c r="J780" s="84"/>
      <c r="K780" s="84"/>
      <c r="L780" s="84"/>
      <c r="M780" s="84"/>
      <c r="N780" s="84"/>
      <c r="O780" s="84"/>
      <c r="P780" s="84"/>
      <c r="Q780" s="84"/>
      <c r="R780" s="84"/>
      <c r="S780" s="84"/>
      <c r="T780" s="84"/>
      <c r="U780" s="84"/>
      <c r="V780" s="84"/>
      <c r="W780" s="84"/>
      <c r="X780" s="84"/>
      <c r="Y780" s="84"/>
      <c r="Z780" s="84"/>
    </row>
    <row r="781" spans="1:26" ht="15">
      <c r="A781" s="83"/>
      <c r="B781" s="84"/>
      <c r="C781" s="84"/>
      <c r="D781" s="84"/>
      <c r="E781" s="84"/>
      <c r="F781" s="84"/>
      <c r="G781" s="84"/>
      <c r="H781" s="84"/>
      <c r="I781" s="84"/>
      <c r="J781" s="84"/>
      <c r="K781" s="84"/>
      <c r="L781" s="84"/>
      <c r="M781" s="84"/>
      <c r="N781" s="84"/>
      <c r="O781" s="84"/>
      <c r="P781" s="84"/>
      <c r="Q781" s="84"/>
      <c r="R781" s="84"/>
      <c r="S781" s="84"/>
      <c r="T781" s="84"/>
      <c r="U781" s="84"/>
      <c r="V781" s="84"/>
      <c r="W781" s="84"/>
      <c r="X781" s="84"/>
      <c r="Y781" s="84"/>
      <c r="Z781" s="84"/>
    </row>
    <row r="782" spans="1:26" ht="15">
      <c r="A782" s="83"/>
      <c r="B782" s="84"/>
      <c r="C782" s="84"/>
      <c r="D782" s="84"/>
      <c r="E782" s="84"/>
      <c r="F782" s="84"/>
      <c r="G782" s="84"/>
      <c r="H782" s="84"/>
      <c r="I782" s="84"/>
      <c r="J782" s="84"/>
      <c r="K782" s="84"/>
      <c r="L782" s="84"/>
      <c r="M782" s="84"/>
      <c r="N782" s="84"/>
      <c r="O782" s="84"/>
      <c r="P782" s="84"/>
      <c r="Q782" s="84"/>
      <c r="R782" s="84"/>
      <c r="S782" s="84"/>
      <c r="T782" s="84"/>
      <c r="U782" s="84"/>
      <c r="V782" s="84"/>
      <c r="W782" s="84"/>
      <c r="X782" s="84"/>
      <c r="Y782" s="84"/>
      <c r="Z782" s="84"/>
    </row>
    <row r="783" spans="1:26" ht="15">
      <c r="A783" s="83"/>
      <c r="B783" s="84"/>
      <c r="C783" s="84"/>
      <c r="D783" s="84"/>
      <c r="E783" s="84"/>
      <c r="F783" s="84"/>
      <c r="G783" s="84"/>
      <c r="H783" s="84"/>
      <c r="I783" s="84"/>
      <c r="J783" s="84"/>
      <c r="K783" s="84"/>
      <c r="L783" s="84"/>
      <c r="M783" s="84"/>
      <c r="N783" s="84"/>
      <c r="O783" s="84"/>
      <c r="P783" s="84"/>
      <c r="Q783" s="84"/>
      <c r="R783" s="84"/>
      <c r="S783" s="84"/>
      <c r="T783" s="84"/>
      <c r="U783" s="84"/>
      <c r="V783" s="84"/>
      <c r="W783" s="84"/>
      <c r="X783" s="84"/>
      <c r="Y783" s="84"/>
      <c r="Z783" s="84"/>
    </row>
    <row r="784" spans="1:26" ht="15">
      <c r="A784" s="83"/>
      <c r="B784" s="84"/>
      <c r="C784" s="84"/>
      <c r="D784" s="84"/>
      <c r="E784" s="84"/>
      <c r="F784" s="84"/>
      <c r="G784" s="84"/>
      <c r="H784" s="84"/>
      <c r="I784" s="84"/>
      <c r="J784" s="84"/>
      <c r="K784" s="84"/>
      <c r="L784" s="84"/>
      <c r="M784" s="84"/>
      <c r="N784" s="84"/>
      <c r="O784" s="84"/>
      <c r="P784" s="84"/>
      <c r="Q784" s="84"/>
      <c r="R784" s="84"/>
      <c r="S784" s="84"/>
      <c r="T784" s="84"/>
      <c r="U784" s="84"/>
      <c r="V784" s="84"/>
      <c r="W784" s="84"/>
      <c r="X784" s="84"/>
      <c r="Y784" s="84"/>
      <c r="Z784" s="84"/>
    </row>
    <row r="785" spans="1:26" ht="15">
      <c r="A785" s="83"/>
      <c r="B785" s="84"/>
      <c r="C785" s="84"/>
      <c r="D785" s="84"/>
      <c r="E785" s="84"/>
      <c r="F785" s="84"/>
      <c r="G785" s="84"/>
      <c r="H785" s="84"/>
      <c r="I785" s="84"/>
      <c r="J785" s="84"/>
      <c r="K785" s="84"/>
      <c r="L785" s="84"/>
      <c r="M785" s="84"/>
      <c r="N785" s="84"/>
      <c r="O785" s="84"/>
      <c r="P785" s="84"/>
      <c r="Q785" s="84"/>
      <c r="R785" s="84"/>
      <c r="S785" s="84"/>
      <c r="T785" s="84"/>
      <c r="U785" s="84"/>
      <c r="V785" s="84"/>
      <c r="W785" s="84"/>
      <c r="X785" s="84"/>
      <c r="Y785" s="84"/>
      <c r="Z785" s="84"/>
    </row>
    <row r="786" spans="1:26" ht="15">
      <c r="A786" s="83"/>
      <c r="B786" s="84"/>
      <c r="C786" s="84"/>
      <c r="D786" s="84"/>
      <c r="E786" s="84"/>
      <c r="F786" s="84"/>
      <c r="G786" s="84"/>
      <c r="H786" s="84"/>
      <c r="I786" s="84"/>
      <c r="J786" s="84"/>
      <c r="K786" s="84"/>
      <c r="L786" s="84"/>
      <c r="M786" s="84"/>
      <c r="N786" s="84"/>
      <c r="O786" s="84"/>
      <c r="P786" s="84"/>
      <c r="Q786" s="84"/>
      <c r="R786" s="84"/>
      <c r="S786" s="84"/>
      <c r="T786" s="84"/>
      <c r="U786" s="84"/>
      <c r="V786" s="84"/>
      <c r="W786" s="84"/>
      <c r="X786" s="84"/>
      <c r="Y786" s="84"/>
      <c r="Z786" s="84"/>
    </row>
    <row r="787" spans="1:26" ht="15">
      <c r="A787" s="83"/>
      <c r="B787" s="84"/>
      <c r="C787" s="84"/>
      <c r="D787" s="84"/>
      <c r="E787" s="84"/>
      <c r="F787" s="84"/>
      <c r="G787" s="84"/>
      <c r="H787" s="84"/>
      <c r="I787" s="84"/>
      <c r="J787" s="84"/>
      <c r="K787" s="84"/>
      <c r="L787" s="84"/>
      <c r="M787" s="84"/>
      <c r="N787" s="84"/>
      <c r="O787" s="84"/>
      <c r="P787" s="84"/>
      <c r="Q787" s="84"/>
      <c r="R787" s="84"/>
      <c r="S787" s="84"/>
      <c r="T787" s="84"/>
      <c r="U787" s="84"/>
      <c r="V787" s="84"/>
      <c r="W787" s="84"/>
      <c r="X787" s="84"/>
      <c r="Y787" s="84"/>
      <c r="Z787" s="84"/>
    </row>
    <row r="788" spans="1:26" ht="15">
      <c r="A788" s="83"/>
      <c r="B788" s="84"/>
      <c r="C788" s="84"/>
      <c r="D788" s="84"/>
      <c r="E788" s="84"/>
      <c r="F788" s="84"/>
      <c r="G788" s="84"/>
      <c r="H788" s="84"/>
      <c r="I788" s="84"/>
      <c r="J788" s="84"/>
      <c r="K788" s="84"/>
      <c r="L788" s="84"/>
      <c r="M788" s="84"/>
      <c r="N788" s="84"/>
      <c r="O788" s="84"/>
      <c r="P788" s="84"/>
      <c r="Q788" s="84"/>
      <c r="R788" s="84"/>
      <c r="S788" s="84"/>
      <c r="T788" s="84"/>
      <c r="U788" s="84"/>
      <c r="V788" s="84"/>
      <c r="W788" s="84"/>
      <c r="X788" s="84"/>
      <c r="Y788" s="84"/>
      <c r="Z788" s="84"/>
    </row>
    <row r="789" spans="1:26" ht="15">
      <c r="A789" s="83"/>
      <c r="B789" s="84"/>
      <c r="C789" s="84"/>
      <c r="D789" s="84"/>
      <c r="E789" s="84"/>
      <c r="F789" s="84"/>
      <c r="G789" s="84"/>
      <c r="H789" s="84"/>
      <c r="I789" s="84"/>
      <c r="J789" s="84"/>
      <c r="K789" s="84"/>
      <c r="L789" s="84"/>
      <c r="M789" s="84"/>
      <c r="N789" s="84"/>
      <c r="O789" s="84"/>
      <c r="P789" s="84"/>
      <c r="Q789" s="84"/>
      <c r="R789" s="84"/>
      <c r="S789" s="84"/>
      <c r="T789" s="84"/>
      <c r="U789" s="84"/>
      <c r="V789" s="84"/>
      <c r="W789" s="84"/>
      <c r="X789" s="84"/>
      <c r="Y789" s="84"/>
      <c r="Z789" s="84"/>
    </row>
    <row r="790" spans="1:26" ht="15">
      <c r="A790" s="83"/>
      <c r="B790" s="84"/>
      <c r="C790" s="84"/>
      <c r="D790" s="84"/>
      <c r="E790" s="84"/>
      <c r="F790" s="84"/>
      <c r="G790" s="84"/>
      <c r="H790" s="84"/>
      <c r="I790" s="84"/>
      <c r="J790" s="84"/>
      <c r="K790" s="84"/>
      <c r="L790" s="84"/>
      <c r="M790" s="84"/>
      <c r="N790" s="84"/>
      <c r="O790" s="84"/>
      <c r="P790" s="84"/>
      <c r="Q790" s="84"/>
      <c r="R790" s="84"/>
      <c r="S790" s="84"/>
      <c r="T790" s="84"/>
      <c r="U790" s="84"/>
      <c r="V790" s="84"/>
      <c r="W790" s="84"/>
      <c r="X790" s="84"/>
      <c r="Y790" s="84"/>
      <c r="Z790" s="84"/>
    </row>
    <row r="791" spans="1:26" ht="15">
      <c r="A791" s="83"/>
      <c r="B791" s="84"/>
      <c r="C791" s="84"/>
      <c r="D791" s="84"/>
      <c r="E791" s="84"/>
      <c r="F791" s="84"/>
      <c r="G791" s="84"/>
      <c r="H791" s="84"/>
      <c r="I791" s="84"/>
      <c r="J791" s="84"/>
      <c r="K791" s="84"/>
      <c r="L791" s="84"/>
      <c r="M791" s="84"/>
      <c r="N791" s="84"/>
      <c r="O791" s="84"/>
      <c r="P791" s="84"/>
      <c r="Q791" s="84"/>
      <c r="R791" s="84"/>
      <c r="S791" s="84"/>
      <c r="T791" s="84"/>
      <c r="U791" s="84"/>
      <c r="V791" s="84"/>
      <c r="W791" s="84"/>
      <c r="X791" s="84"/>
      <c r="Y791" s="84"/>
      <c r="Z791" s="84"/>
    </row>
    <row r="792" spans="1:26" ht="15">
      <c r="A792" s="83"/>
      <c r="B792" s="84"/>
      <c r="C792" s="84"/>
      <c r="D792" s="84"/>
      <c r="E792" s="84"/>
      <c r="F792" s="84"/>
      <c r="G792" s="84"/>
      <c r="H792" s="84"/>
      <c r="I792" s="84"/>
      <c r="J792" s="84"/>
      <c r="K792" s="84"/>
      <c r="L792" s="84"/>
      <c r="M792" s="84"/>
      <c r="N792" s="84"/>
      <c r="O792" s="84"/>
      <c r="P792" s="84"/>
      <c r="Q792" s="84"/>
      <c r="R792" s="84"/>
      <c r="S792" s="84"/>
      <c r="T792" s="84"/>
      <c r="U792" s="84"/>
      <c r="V792" s="84"/>
      <c r="W792" s="84"/>
      <c r="X792" s="84"/>
      <c r="Y792" s="84"/>
      <c r="Z792" s="84"/>
    </row>
    <row r="793" spans="1:26" ht="15">
      <c r="A793" s="83"/>
      <c r="B793" s="84"/>
      <c r="C793" s="84"/>
      <c r="D793" s="84"/>
      <c r="E793" s="84"/>
      <c r="F793" s="84"/>
      <c r="G793" s="84"/>
      <c r="H793" s="84"/>
      <c r="I793" s="84"/>
      <c r="J793" s="84"/>
      <c r="K793" s="84"/>
      <c r="L793" s="84"/>
      <c r="M793" s="84"/>
      <c r="N793" s="84"/>
      <c r="O793" s="84"/>
      <c r="P793" s="84"/>
      <c r="Q793" s="84"/>
      <c r="R793" s="84"/>
      <c r="S793" s="84"/>
      <c r="T793" s="84"/>
      <c r="U793" s="84"/>
      <c r="V793" s="84"/>
      <c r="W793" s="84"/>
      <c r="X793" s="84"/>
      <c r="Y793" s="84"/>
      <c r="Z793" s="84"/>
    </row>
    <row r="794" spans="1:26" ht="15">
      <c r="A794" s="83"/>
      <c r="B794" s="84"/>
      <c r="C794" s="84"/>
      <c r="D794" s="84"/>
      <c r="E794" s="84"/>
      <c r="F794" s="84"/>
      <c r="G794" s="84"/>
      <c r="H794" s="84"/>
      <c r="I794" s="84"/>
      <c r="J794" s="84"/>
      <c r="K794" s="84"/>
      <c r="L794" s="84"/>
      <c r="M794" s="84"/>
      <c r="N794" s="84"/>
      <c r="O794" s="84"/>
      <c r="P794" s="84"/>
      <c r="Q794" s="84"/>
      <c r="R794" s="84"/>
      <c r="S794" s="84"/>
      <c r="T794" s="84"/>
      <c r="U794" s="84"/>
      <c r="V794" s="84"/>
      <c r="W794" s="84"/>
      <c r="X794" s="84"/>
      <c r="Y794" s="84"/>
      <c r="Z794" s="84"/>
    </row>
    <row r="795" spans="1:26" ht="15">
      <c r="A795" s="83"/>
      <c r="B795" s="84"/>
      <c r="C795" s="84"/>
      <c r="D795" s="84"/>
      <c r="E795" s="84"/>
      <c r="F795" s="84"/>
      <c r="G795" s="84"/>
      <c r="H795" s="84"/>
      <c r="I795" s="84"/>
      <c r="J795" s="84"/>
      <c r="K795" s="84"/>
      <c r="L795" s="84"/>
      <c r="M795" s="84"/>
      <c r="N795" s="84"/>
      <c r="O795" s="84"/>
      <c r="P795" s="84"/>
      <c r="Q795" s="84"/>
      <c r="R795" s="84"/>
      <c r="S795" s="84"/>
      <c r="T795" s="84"/>
      <c r="U795" s="84"/>
      <c r="V795" s="84"/>
      <c r="W795" s="84"/>
      <c r="X795" s="84"/>
      <c r="Y795" s="84"/>
      <c r="Z795" s="84"/>
    </row>
    <row r="796" spans="1:26" ht="15">
      <c r="A796" s="83"/>
      <c r="B796" s="84"/>
      <c r="C796" s="84"/>
      <c r="D796" s="84"/>
      <c r="E796" s="84"/>
      <c r="F796" s="84"/>
      <c r="G796" s="84"/>
      <c r="H796" s="84"/>
      <c r="I796" s="84"/>
      <c r="J796" s="84"/>
      <c r="K796" s="84"/>
      <c r="L796" s="84"/>
      <c r="M796" s="84"/>
      <c r="N796" s="84"/>
      <c r="O796" s="84"/>
      <c r="P796" s="84"/>
      <c r="Q796" s="84"/>
      <c r="R796" s="84"/>
      <c r="S796" s="84"/>
      <c r="T796" s="84"/>
      <c r="U796" s="84"/>
      <c r="V796" s="84"/>
      <c r="W796" s="84"/>
      <c r="X796" s="84"/>
      <c r="Y796" s="84"/>
      <c r="Z796" s="84"/>
    </row>
    <row r="797" spans="1:26" ht="15">
      <c r="A797" s="83"/>
      <c r="B797" s="84"/>
      <c r="C797" s="84"/>
      <c r="D797" s="84"/>
      <c r="E797" s="84"/>
      <c r="F797" s="84"/>
      <c r="G797" s="84"/>
      <c r="H797" s="84"/>
      <c r="I797" s="84"/>
      <c r="J797" s="84"/>
      <c r="K797" s="84"/>
      <c r="L797" s="84"/>
      <c r="M797" s="84"/>
      <c r="N797" s="84"/>
      <c r="O797" s="84"/>
      <c r="P797" s="84"/>
      <c r="Q797" s="84"/>
      <c r="R797" s="84"/>
      <c r="S797" s="84"/>
      <c r="T797" s="84"/>
      <c r="U797" s="84"/>
      <c r="V797" s="84"/>
      <c r="W797" s="84"/>
      <c r="X797" s="84"/>
      <c r="Y797" s="84"/>
      <c r="Z797" s="84"/>
    </row>
    <row r="798" spans="1:26" ht="15">
      <c r="A798" s="83"/>
      <c r="B798" s="84"/>
      <c r="C798" s="84"/>
      <c r="D798" s="84"/>
      <c r="E798" s="84"/>
      <c r="F798" s="84"/>
      <c r="G798" s="84"/>
      <c r="H798" s="84"/>
      <c r="I798" s="84"/>
      <c r="J798" s="84"/>
      <c r="K798" s="84"/>
      <c r="L798" s="84"/>
      <c r="M798" s="84"/>
      <c r="N798" s="84"/>
      <c r="O798" s="84"/>
      <c r="P798" s="84"/>
      <c r="Q798" s="84"/>
      <c r="R798" s="84"/>
      <c r="S798" s="84"/>
      <c r="T798" s="84"/>
      <c r="U798" s="84"/>
      <c r="V798" s="84"/>
      <c r="W798" s="84"/>
      <c r="X798" s="84"/>
      <c r="Y798" s="84"/>
      <c r="Z798" s="84"/>
    </row>
    <row r="799" spans="1:26" ht="15">
      <c r="A799" s="83"/>
      <c r="B799" s="84"/>
      <c r="C799" s="84"/>
      <c r="D799" s="84"/>
      <c r="E799" s="84"/>
      <c r="F799" s="84"/>
      <c r="G799" s="84"/>
      <c r="H799" s="84"/>
      <c r="I799" s="84"/>
      <c r="J799" s="84"/>
      <c r="K799" s="84"/>
      <c r="L799" s="84"/>
      <c r="M799" s="84"/>
      <c r="N799" s="84"/>
      <c r="O799" s="84"/>
      <c r="P799" s="84"/>
      <c r="Q799" s="84"/>
      <c r="R799" s="84"/>
      <c r="S799" s="84"/>
      <c r="T799" s="84"/>
      <c r="U799" s="84"/>
      <c r="V799" s="84"/>
      <c r="W799" s="84"/>
      <c r="X799" s="84"/>
      <c r="Y799" s="84"/>
      <c r="Z799" s="84"/>
    </row>
    <row r="800" spans="1:26" ht="15">
      <c r="A800" s="83"/>
      <c r="B800" s="84"/>
      <c r="C800" s="84"/>
      <c r="D800" s="84"/>
      <c r="E800" s="84"/>
      <c r="F800" s="84"/>
      <c r="G800" s="84"/>
      <c r="H800" s="84"/>
      <c r="I800" s="84"/>
      <c r="J800" s="84"/>
      <c r="K800" s="84"/>
      <c r="L800" s="84"/>
      <c r="M800" s="84"/>
      <c r="N800" s="84"/>
      <c r="O800" s="84"/>
      <c r="P800" s="84"/>
      <c r="Q800" s="84"/>
      <c r="R800" s="84"/>
      <c r="S800" s="84"/>
      <c r="T800" s="84"/>
      <c r="U800" s="84"/>
      <c r="V800" s="84"/>
      <c r="W800" s="84"/>
      <c r="X800" s="84"/>
      <c r="Y800" s="84"/>
      <c r="Z800" s="84"/>
    </row>
    <row r="801" spans="1:26" ht="15">
      <c r="A801" s="83"/>
      <c r="B801" s="84"/>
      <c r="C801" s="84"/>
      <c r="D801" s="84"/>
      <c r="E801" s="84"/>
      <c r="F801" s="84"/>
      <c r="G801" s="84"/>
      <c r="H801" s="84"/>
      <c r="I801" s="84"/>
      <c r="J801" s="84"/>
      <c r="K801" s="84"/>
      <c r="L801" s="84"/>
      <c r="M801" s="84"/>
      <c r="N801" s="84"/>
      <c r="O801" s="84"/>
      <c r="P801" s="84"/>
      <c r="Q801" s="84"/>
      <c r="R801" s="84"/>
      <c r="S801" s="84"/>
      <c r="T801" s="84"/>
      <c r="U801" s="84"/>
      <c r="V801" s="84"/>
      <c r="W801" s="84"/>
      <c r="X801" s="84"/>
      <c r="Y801" s="84"/>
      <c r="Z801" s="84"/>
    </row>
    <row r="802" spans="1:26" ht="15">
      <c r="A802" s="83"/>
      <c r="B802" s="84"/>
      <c r="C802" s="84"/>
      <c r="D802" s="84"/>
      <c r="E802" s="84"/>
      <c r="F802" s="84"/>
      <c r="G802" s="84"/>
      <c r="H802" s="84"/>
      <c r="I802" s="84"/>
      <c r="J802" s="84"/>
      <c r="K802" s="84"/>
      <c r="L802" s="84"/>
      <c r="M802" s="84"/>
      <c r="N802" s="84"/>
      <c r="O802" s="84"/>
      <c r="P802" s="84"/>
      <c r="Q802" s="84"/>
      <c r="R802" s="84"/>
      <c r="S802" s="84"/>
      <c r="T802" s="84"/>
      <c r="U802" s="84"/>
      <c r="V802" s="84"/>
      <c r="W802" s="84"/>
      <c r="X802" s="84"/>
      <c r="Y802" s="84"/>
      <c r="Z802" s="84"/>
    </row>
    <row r="803" spans="1:26" ht="15">
      <c r="A803" s="83"/>
      <c r="B803" s="84"/>
      <c r="C803" s="84"/>
      <c r="D803" s="84"/>
      <c r="E803" s="84"/>
      <c r="F803" s="84"/>
      <c r="G803" s="84"/>
      <c r="H803" s="84"/>
      <c r="I803" s="84"/>
      <c r="J803" s="84"/>
      <c r="K803" s="84"/>
      <c r="L803" s="84"/>
      <c r="M803" s="84"/>
      <c r="N803" s="84"/>
      <c r="O803" s="84"/>
      <c r="P803" s="84"/>
      <c r="Q803" s="84"/>
      <c r="R803" s="84"/>
      <c r="S803" s="84"/>
      <c r="T803" s="84"/>
      <c r="U803" s="84"/>
      <c r="V803" s="84"/>
      <c r="W803" s="84"/>
      <c r="X803" s="84"/>
      <c r="Y803" s="84"/>
      <c r="Z803" s="84"/>
    </row>
    <row r="804" spans="1:26" ht="15">
      <c r="A804" s="83"/>
      <c r="B804" s="84"/>
      <c r="C804" s="84"/>
      <c r="D804" s="84"/>
      <c r="E804" s="84"/>
      <c r="F804" s="84"/>
      <c r="G804" s="84"/>
      <c r="H804" s="84"/>
      <c r="I804" s="84"/>
      <c r="J804" s="84"/>
      <c r="K804" s="84"/>
      <c r="L804" s="84"/>
      <c r="M804" s="84"/>
      <c r="N804" s="84"/>
      <c r="O804" s="84"/>
      <c r="P804" s="84"/>
      <c r="Q804" s="84"/>
      <c r="R804" s="84"/>
      <c r="S804" s="84"/>
      <c r="T804" s="84"/>
      <c r="U804" s="84"/>
      <c r="V804" s="84"/>
      <c r="W804" s="84"/>
      <c r="X804" s="84"/>
      <c r="Y804" s="84"/>
      <c r="Z804" s="84"/>
    </row>
    <row r="805" spans="1:26" ht="15">
      <c r="A805" s="83"/>
      <c r="B805" s="84"/>
      <c r="C805" s="84"/>
      <c r="D805" s="84"/>
      <c r="E805" s="84"/>
      <c r="F805" s="84"/>
      <c r="G805" s="84"/>
      <c r="H805" s="84"/>
      <c r="I805" s="84"/>
      <c r="J805" s="84"/>
      <c r="K805" s="84"/>
      <c r="L805" s="84"/>
      <c r="M805" s="84"/>
      <c r="N805" s="84"/>
      <c r="O805" s="84"/>
      <c r="P805" s="84"/>
      <c r="Q805" s="84"/>
      <c r="R805" s="84"/>
      <c r="S805" s="84"/>
      <c r="T805" s="84"/>
      <c r="U805" s="84"/>
      <c r="V805" s="84"/>
      <c r="W805" s="84"/>
      <c r="X805" s="84"/>
      <c r="Y805" s="84"/>
      <c r="Z805" s="84"/>
    </row>
    <row r="806" spans="1:26" ht="15">
      <c r="A806" s="83"/>
      <c r="B806" s="84"/>
      <c r="C806" s="84"/>
      <c r="D806" s="84"/>
      <c r="E806" s="84"/>
      <c r="F806" s="84"/>
      <c r="G806" s="84"/>
      <c r="H806" s="84"/>
      <c r="I806" s="84"/>
      <c r="J806" s="84"/>
      <c r="K806" s="84"/>
      <c r="L806" s="84"/>
      <c r="M806" s="84"/>
      <c r="N806" s="84"/>
      <c r="O806" s="84"/>
      <c r="P806" s="84"/>
      <c r="Q806" s="84"/>
      <c r="R806" s="84"/>
      <c r="S806" s="84"/>
      <c r="T806" s="84"/>
      <c r="U806" s="84"/>
      <c r="V806" s="84"/>
      <c r="W806" s="84"/>
      <c r="X806" s="84"/>
      <c r="Y806" s="84"/>
      <c r="Z806" s="84"/>
    </row>
    <row r="807" spans="1:26" ht="15">
      <c r="A807" s="83"/>
      <c r="B807" s="84"/>
      <c r="C807" s="84"/>
      <c r="D807" s="84"/>
      <c r="E807" s="84"/>
      <c r="F807" s="84"/>
      <c r="G807" s="84"/>
      <c r="H807" s="84"/>
      <c r="I807" s="84"/>
      <c r="J807" s="84"/>
      <c r="K807" s="84"/>
      <c r="L807" s="84"/>
      <c r="M807" s="84"/>
      <c r="N807" s="84"/>
      <c r="O807" s="84"/>
      <c r="P807" s="84"/>
      <c r="Q807" s="84"/>
      <c r="R807" s="84"/>
      <c r="S807" s="84"/>
      <c r="T807" s="84"/>
      <c r="U807" s="84"/>
      <c r="V807" s="84"/>
      <c r="W807" s="84"/>
      <c r="X807" s="84"/>
      <c r="Y807" s="84"/>
      <c r="Z807" s="84"/>
    </row>
    <row r="808" spans="1:26" ht="15">
      <c r="A808" s="83"/>
      <c r="B808" s="84"/>
      <c r="C808" s="84"/>
      <c r="D808" s="84"/>
      <c r="E808" s="84"/>
      <c r="F808" s="84"/>
      <c r="G808" s="84"/>
      <c r="H808" s="84"/>
      <c r="I808" s="84"/>
      <c r="J808" s="84"/>
      <c r="K808" s="84"/>
      <c r="L808" s="84"/>
      <c r="M808" s="84"/>
      <c r="N808" s="84"/>
      <c r="O808" s="84"/>
      <c r="P808" s="84"/>
      <c r="Q808" s="84"/>
      <c r="R808" s="84"/>
      <c r="S808" s="84"/>
      <c r="T808" s="84"/>
      <c r="U808" s="84"/>
      <c r="V808" s="84"/>
      <c r="W808" s="84"/>
      <c r="X808" s="84"/>
      <c r="Y808" s="84"/>
      <c r="Z808" s="84"/>
    </row>
    <row r="809" spans="1:26" ht="15">
      <c r="A809" s="83"/>
      <c r="B809" s="84"/>
      <c r="C809" s="84"/>
      <c r="D809" s="84"/>
      <c r="E809" s="84"/>
      <c r="F809" s="84"/>
      <c r="G809" s="84"/>
      <c r="H809" s="84"/>
      <c r="I809" s="84"/>
      <c r="J809" s="84"/>
      <c r="K809" s="84"/>
      <c r="L809" s="84"/>
      <c r="M809" s="84"/>
      <c r="N809" s="84"/>
      <c r="O809" s="84"/>
      <c r="P809" s="84"/>
      <c r="Q809" s="84"/>
      <c r="R809" s="84"/>
      <c r="S809" s="84"/>
      <c r="T809" s="84"/>
      <c r="U809" s="84"/>
      <c r="V809" s="84"/>
      <c r="W809" s="84"/>
      <c r="X809" s="84"/>
      <c r="Y809" s="84"/>
      <c r="Z809" s="84"/>
    </row>
    <row r="810" spans="1:26" ht="15">
      <c r="A810" s="83"/>
      <c r="B810" s="84"/>
      <c r="C810" s="84"/>
      <c r="D810" s="84"/>
      <c r="E810" s="84"/>
      <c r="F810" s="84"/>
      <c r="G810" s="84"/>
      <c r="H810" s="84"/>
      <c r="I810" s="84"/>
      <c r="J810" s="84"/>
      <c r="K810" s="84"/>
      <c r="L810" s="84"/>
      <c r="M810" s="84"/>
      <c r="N810" s="84"/>
      <c r="O810" s="84"/>
      <c r="P810" s="84"/>
      <c r="Q810" s="84"/>
      <c r="R810" s="84"/>
      <c r="S810" s="84"/>
      <c r="T810" s="84"/>
      <c r="U810" s="84"/>
      <c r="V810" s="84"/>
      <c r="W810" s="84"/>
      <c r="X810" s="84"/>
      <c r="Y810" s="84"/>
      <c r="Z810" s="84"/>
    </row>
    <row r="811" spans="1:26" ht="15">
      <c r="A811" s="83"/>
      <c r="B811" s="84"/>
      <c r="C811" s="84"/>
      <c r="D811" s="84"/>
      <c r="E811" s="84"/>
      <c r="F811" s="84"/>
      <c r="G811" s="84"/>
      <c r="H811" s="84"/>
      <c r="I811" s="84"/>
      <c r="J811" s="84"/>
      <c r="K811" s="84"/>
      <c r="L811" s="84"/>
      <c r="M811" s="84"/>
      <c r="N811" s="84"/>
      <c r="O811" s="84"/>
      <c r="P811" s="84"/>
      <c r="Q811" s="84"/>
      <c r="R811" s="84"/>
      <c r="S811" s="84"/>
      <c r="T811" s="84"/>
      <c r="U811" s="84"/>
      <c r="V811" s="84"/>
      <c r="W811" s="84"/>
      <c r="X811" s="84"/>
      <c r="Y811" s="84"/>
      <c r="Z811" s="84"/>
    </row>
    <row r="812" spans="1:26" ht="15">
      <c r="A812" s="83"/>
      <c r="B812" s="84"/>
      <c r="C812" s="84"/>
      <c r="D812" s="84"/>
      <c r="E812" s="84"/>
      <c r="F812" s="84"/>
      <c r="G812" s="84"/>
      <c r="H812" s="84"/>
      <c r="I812" s="84"/>
      <c r="J812" s="84"/>
      <c r="K812" s="84"/>
      <c r="L812" s="84"/>
      <c r="M812" s="84"/>
      <c r="N812" s="84"/>
      <c r="O812" s="84"/>
      <c r="P812" s="84"/>
      <c r="Q812" s="84"/>
      <c r="R812" s="84"/>
      <c r="S812" s="84"/>
      <c r="T812" s="84"/>
      <c r="U812" s="84"/>
      <c r="V812" s="84"/>
      <c r="W812" s="84"/>
      <c r="X812" s="84"/>
      <c r="Y812" s="84"/>
      <c r="Z812" s="84"/>
    </row>
    <row r="813" spans="1:26" ht="15">
      <c r="A813" s="83"/>
      <c r="B813" s="84"/>
      <c r="C813" s="84"/>
      <c r="D813" s="84"/>
      <c r="E813" s="84"/>
      <c r="F813" s="84"/>
      <c r="G813" s="84"/>
      <c r="H813" s="84"/>
      <c r="I813" s="84"/>
      <c r="J813" s="84"/>
      <c r="K813" s="84"/>
      <c r="L813" s="84"/>
      <c r="M813" s="84"/>
      <c r="N813" s="84"/>
      <c r="O813" s="84"/>
      <c r="P813" s="84"/>
      <c r="Q813" s="84"/>
      <c r="R813" s="84"/>
      <c r="S813" s="84"/>
      <c r="T813" s="84"/>
      <c r="U813" s="84"/>
      <c r="V813" s="84"/>
      <c r="W813" s="84"/>
      <c r="X813" s="84"/>
      <c r="Y813" s="84"/>
      <c r="Z813" s="84"/>
    </row>
    <row r="814" spans="1:26" ht="15">
      <c r="A814" s="83"/>
      <c r="B814" s="84"/>
      <c r="C814" s="84"/>
      <c r="D814" s="84"/>
      <c r="E814" s="84"/>
      <c r="F814" s="84"/>
      <c r="G814" s="84"/>
      <c r="H814" s="84"/>
      <c r="I814" s="84"/>
      <c r="J814" s="84"/>
      <c r="K814" s="84"/>
      <c r="L814" s="84"/>
      <c r="M814" s="84"/>
      <c r="N814" s="84"/>
      <c r="O814" s="84"/>
      <c r="P814" s="84"/>
      <c r="Q814" s="84"/>
      <c r="R814" s="84"/>
      <c r="S814" s="84"/>
      <c r="T814" s="84"/>
      <c r="U814" s="84"/>
      <c r="V814" s="84"/>
      <c r="W814" s="84"/>
      <c r="X814" s="84"/>
      <c r="Y814" s="84"/>
      <c r="Z814" s="84"/>
    </row>
    <row r="815" spans="1:26" ht="15">
      <c r="A815" s="83"/>
      <c r="B815" s="84"/>
      <c r="C815" s="84"/>
      <c r="D815" s="84"/>
      <c r="E815" s="84"/>
      <c r="F815" s="84"/>
      <c r="G815" s="84"/>
      <c r="H815" s="84"/>
      <c r="I815" s="84"/>
      <c r="J815" s="84"/>
      <c r="K815" s="84"/>
      <c r="L815" s="84"/>
      <c r="M815" s="84"/>
      <c r="N815" s="84"/>
      <c r="O815" s="84"/>
      <c r="P815" s="84"/>
      <c r="Q815" s="84"/>
      <c r="R815" s="84"/>
      <c r="S815" s="84"/>
      <c r="T815" s="84"/>
      <c r="U815" s="84"/>
      <c r="V815" s="84"/>
      <c r="W815" s="84"/>
      <c r="X815" s="84"/>
      <c r="Y815" s="84"/>
      <c r="Z815" s="84"/>
    </row>
    <row r="816" spans="1:26" ht="15">
      <c r="A816" s="83"/>
      <c r="B816" s="84"/>
      <c r="C816" s="84"/>
      <c r="D816" s="84"/>
      <c r="E816" s="84"/>
      <c r="F816" s="84"/>
      <c r="G816" s="84"/>
      <c r="H816" s="84"/>
      <c r="I816" s="84"/>
      <c r="J816" s="84"/>
      <c r="K816" s="84"/>
      <c r="L816" s="84"/>
      <c r="M816" s="84"/>
      <c r="N816" s="84"/>
      <c r="O816" s="84"/>
      <c r="P816" s="84"/>
      <c r="Q816" s="84"/>
      <c r="R816" s="84"/>
      <c r="S816" s="84"/>
      <c r="T816" s="84"/>
      <c r="U816" s="84"/>
      <c r="V816" s="84"/>
      <c r="W816" s="84"/>
      <c r="X816" s="84"/>
      <c r="Y816" s="84"/>
      <c r="Z816" s="84"/>
    </row>
    <row r="817" spans="1:26" ht="15">
      <c r="A817" s="83"/>
      <c r="B817" s="84"/>
      <c r="C817" s="84"/>
      <c r="D817" s="84"/>
      <c r="E817" s="84"/>
      <c r="F817" s="84"/>
      <c r="G817" s="84"/>
      <c r="H817" s="84"/>
      <c r="I817" s="84"/>
      <c r="J817" s="84"/>
      <c r="K817" s="84"/>
      <c r="L817" s="84"/>
      <c r="M817" s="84"/>
      <c r="N817" s="84"/>
      <c r="O817" s="84"/>
      <c r="P817" s="84"/>
      <c r="Q817" s="84"/>
      <c r="R817" s="84"/>
      <c r="S817" s="84"/>
      <c r="T817" s="84"/>
      <c r="U817" s="84"/>
      <c r="V817" s="84"/>
      <c r="W817" s="84"/>
      <c r="X817" s="84"/>
      <c r="Y817" s="84"/>
      <c r="Z817" s="84"/>
    </row>
    <row r="818" spans="1:26" ht="15">
      <c r="A818" s="83"/>
      <c r="B818" s="84"/>
      <c r="C818" s="84"/>
      <c r="D818" s="84"/>
      <c r="E818" s="84"/>
      <c r="F818" s="84"/>
      <c r="G818" s="84"/>
      <c r="H818" s="84"/>
      <c r="I818" s="84"/>
      <c r="J818" s="84"/>
      <c r="K818" s="84"/>
      <c r="L818" s="84"/>
      <c r="M818" s="84"/>
      <c r="N818" s="84"/>
      <c r="O818" s="84"/>
      <c r="P818" s="84"/>
      <c r="Q818" s="84"/>
      <c r="R818" s="84"/>
      <c r="S818" s="84"/>
      <c r="T818" s="84"/>
      <c r="U818" s="84"/>
      <c r="V818" s="84"/>
      <c r="W818" s="84"/>
      <c r="X818" s="84"/>
      <c r="Y818" s="84"/>
      <c r="Z818" s="84"/>
    </row>
    <row r="819" spans="1:26" ht="15">
      <c r="A819" s="83"/>
      <c r="B819" s="84"/>
      <c r="C819" s="84"/>
      <c r="D819" s="84"/>
      <c r="E819" s="84"/>
      <c r="F819" s="84"/>
      <c r="G819" s="84"/>
      <c r="H819" s="84"/>
      <c r="I819" s="84"/>
      <c r="J819" s="84"/>
      <c r="K819" s="84"/>
      <c r="L819" s="84"/>
      <c r="M819" s="84"/>
      <c r="N819" s="84"/>
      <c r="O819" s="84"/>
      <c r="P819" s="84"/>
      <c r="Q819" s="84"/>
      <c r="R819" s="84"/>
      <c r="S819" s="84"/>
      <c r="T819" s="84"/>
      <c r="U819" s="84"/>
      <c r="V819" s="84"/>
      <c r="W819" s="84"/>
      <c r="X819" s="84"/>
      <c r="Y819" s="84"/>
      <c r="Z819" s="84"/>
    </row>
    <row r="820" spans="1:26" ht="15">
      <c r="A820" s="83"/>
      <c r="B820" s="84"/>
      <c r="C820" s="84"/>
      <c r="D820" s="84"/>
      <c r="E820" s="84"/>
      <c r="F820" s="84"/>
      <c r="G820" s="84"/>
      <c r="H820" s="84"/>
      <c r="I820" s="84"/>
      <c r="J820" s="84"/>
      <c r="K820" s="84"/>
      <c r="L820" s="84"/>
      <c r="M820" s="84"/>
      <c r="N820" s="84"/>
      <c r="O820" s="84"/>
      <c r="P820" s="84"/>
      <c r="Q820" s="84"/>
      <c r="R820" s="84"/>
      <c r="S820" s="84"/>
      <c r="T820" s="84"/>
      <c r="U820" s="84"/>
      <c r="V820" s="84"/>
      <c r="W820" s="84"/>
      <c r="X820" s="84"/>
      <c r="Y820" s="84"/>
      <c r="Z820" s="84"/>
    </row>
    <row r="821" spans="1:26" ht="15">
      <c r="A821" s="83"/>
      <c r="B821" s="84"/>
      <c r="C821" s="84"/>
      <c r="D821" s="84"/>
      <c r="E821" s="84"/>
      <c r="F821" s="84"/>
      <c r="G821" s="84"/>
      <c r="H821" s="84"/>
      <c r="I821" s="84"/>
      <c r="J821" s="84"/>
      <c r="K821" s="84"/>
      <c r="L821" s="84"/>
      <c r="M821" s="84"/>
      <c r="N821" s="84"/>
      <c r="O821" s="84"/>
      <c r="P821" s="84"/>
      <c r="Q821" s="84"/>
      <c r="R821" s="84"/>
      <c r="S821" s="84"/>
      <c r="T821" s="84"/>
      <c r="U821" s="84"/>
      <c r="V821" s="84"/>
      <c r="W821" s="84"/>
      <c r="X821" s="84"/>
      <c r="Y821" s="84"/>
      <c r="Z821" s="84"/>
    </row>
    <row r="822" spans="1:26" ht="15">
      <c r="A822" s="83"/>
      <c r="B822" s="84"/>
      <c r="C822" s="84"/>
      <c r="D822" s="84"/>
      <c r="E822" s="84"/>
      <c r="F822" s="84"/>
      <c r="G822" s="84"/>
      <c r="H822" s="84"/>
      <c r="I822" s="84"/>
      <c r="J822" s="84"/>
      <c r="K822" s="84"/>
      <c r="L822" s="84"/>
      <c r="M822" s="84"/>
      <c r="N822" s="84"/>
      <c r="O822" s="84"/>
      <c r="P822" s="84"/>
      <c r="Q822" s="84"/>
      <c r="R822" s="84"/>
      <c r="S822" s="84"/>
      <c r="T822" s="84"/>
      <c r="U822" s="84"/>
      <c r="V822" s="84"/>
      <c r="W822" s="84"/>
      <c r="X822" s="84"/>
      <c r="Y822" s="84"/>
      <c r="Z822" s="84"/>
    </row>
    <row r="823" spans="1:26" ht="15">
      <c r="A823" s="83"/>
      <c r="B823" s="84"/>
      <c r="C823" s="84"/>
      <c r="D823" s="84"/>
      <c r="E823" s="84"/>
      <c r="F823" s="84"/>
      <c r="G823" s="84"/>
      <c r="H823" s="84"/>
      <c r="I823" s="84"/>
      <c r="J823" s="84"/>
      <c r="K823" s="84"/>
      <c r="L823" s="84"/>
      <c r="M823" s="84"/>
      <c r="N823" s="84"/>
      <c r="O823" s="84"/>
      <c r="P823" s="84"/>
      <c r="Q823" s="84"/>
      <c r="R823" s="84"/>
      <c r="S823" s="84"/>
      <c r="T823" s="84"/>
      <c r="U823" s="84"/>
      <c r="V823" s="84"/>
      <c r="W823" s="84"/>
      <c r="X823" s="84"/>
      <c r="Y823" s="84"/>
      <c r="Z823" s="84"/>
    </row>
    <row r="824" spans="1:26" ht="15">
      <c r="A824" s="83"/>
      <c r="B824" s="84"/>
      <c r="C824" s="84"/>
      <c r="D824" s="84"/>
      <c r="E824" s="84"/>
      <c r="F824" s="84"/>
      <c r="G824" s="84"/>
      <c r="H824" s="84"/>
      <c r="I824" s="84"/>
      <c r="J824" s="84"/>
      <c r="K824" s="84"/>
      <c r="L824" s="84"/>
      <c r="M824" s="84"/>
      <c r="N824" s="84"/>
      <c r="O824" s="84"/>
      <c r="P824" s="84"/>
      <c r="Q824" s="84"/>
      <c r="R824" s="84"/>
      <c r="S824" s="84"/>
      <c r="T824" s="84"/>
      <c r="U824" s="84"/>
      <c r="V824" s="84"/>
      <c r="W824" s="84"/>
      <c r="X824" s="84"/>
      <c r="Y824" s="84"/>
      <c r="Z824" s="84"/>
    </row>
    <row r="825" spans="1:26" ht="15">
      <c r="A825" s="83"/>
      <c r="B825" s="84"/>
      <c r="C825" s="84"/>
      <c r="D825" s="84"/>
      <c r="E825" s="84"/>
      <c r="F825" s="84"/>
      <c r="G825" s="84"/>
      <c r="H825" s="84"/>
      <c r="I825" s="84"/>
      <c r="J825" s="84"/>
      <c r="K825" s="84"/>
      <c r="L825" s="84"/>
      <c r="M825" s="84"/>
      <c r="N825" s="84"/>
      <c r="O825" s="84"/>
      <c r="P825" s="84"/>
      <c r="Q825" s="84"/>
      <c r="R825" s="84"/>
      <c r="S825" s="84"/>
      <c r="T825" s="84"/>
      <c r="U825" s="84"/>
      <c r="V825" s="84"/>
      <c r="W825" s="84"/>
      <c r="X825" s="84"/>
      <c r="Y825" s="84"/>
      <c r="Z825" s="84"/>
    </row>
    <row r="826" spans="1:26" ht="15">
      <c r="A826" s="83"/>
      <c r="B826" s="84"/>
      <c r="C826" s="84"/>
      <c r="D826" s="84"/>
      <c r="E826" s="84"/>
      <c r="F826" s="84"/>
      <c r="G826" s="84"/>
      <c r="H826" s="84"/>
      <c r="I826" s="84"/>
      <c r="J826" s="84"/>
      <c r="K826" s="84"/>
      <c r="L826" s="84"/>
      <c r="M826" s="84"/>
      <c r="N826" s="84"/>
      <c r="O826" s="84"/>
      <c r="P826" s="84"/>
      <c r="Q826" s="84"/>
      <c r="R826" s="84"/>
      <c r="S826" s="84"/>
      <c r="T826" s="84"/>
      <c r="U826" s="84"/>
      <c r="V826" s="84"/>
      <c r="W826" s="84"/>
      <c r="X826" s="84"/>
      <c r="Y826" s="84"/>
      <c r="Z826" s="84"/>
    </row>
    <row r="827" spans="1:26" ht="15">
      <c r="A827" s="83"/>
      <c r="B827" s="84"/>
      <c r="C827" s="84"/>
      <c r="D827" s="84"/>
      <c r="E827" s="84"/>
      <c r="F827" s="84"/>
      <c r="G827" s="84"/>
      <c r="H827" s="84"/>
      <c r="I827" s="84"/>
      <c r="J827" s="84"/>
      <c r="K827" s="84"/>
      <c r="L827" s="84"/>
      <c r="M827" s="84"/>
      <c r="N827" s="84"/>
      <c r="O827" s="84"/>
      <c r="P827" s="84"/>
      <c r="Q827" s="84"/>
      <c r="R827" s="84"/>
      <c r="S827" s="84"/>
      <c r="T827" s="84"/>
      <c r="U827" s="84"/>
      <c r="V827" s="84"/>
      <c r="W827" s="84"/>
      <c r="X827" s="84"/>
      <c r="Y827" s="84"/>
      <c r="Z827" s="84"/>
    </row>
    <row r="828" spans="1:26" ht="15">
      <c r="A828" s="83"/>
      <c r="B828" s="84"/>
      <c r="C828" s="84"/>
      <c r="D828" s="84"/>
      <c r="E828" s="84"/>
      <c r="F828" s="84"/>
      <c r="G828" s="84"/>
      <c r="H828" s="84"/>
      <c r="I828" s="84"/>
      <c r="J828" s="84"/>
      <c r="K828" s="84"/>
      <c r="L828" s="84"/>
      <c r="M828" s="84"/>
      <c r="N828" s="84"/>
      <c r="O828" s="84"/>
      <c r="P828" s="84"/>
      <c r="Q828" s="84"/>
      <c r="R828" s="84"/>
      <c r="S828" s="84"/>
      <c r="T828" s="84"/>
      <c r="U828" s="84"/>
      <c r="V828" s="84"/>
      <c r="W828" s="84"/>
      <c r="X828" s="84"/>
      <c r="Y828" s="84"/>
      <c r="Z828" s="84"/>
    </row>
    <row r="829" spans="1:26" ht="15">
      <c r="A829" s="83"/>
      <c r="B829" s="84"/>
      <c r="C829" s="84"/>
      <c r="D829" s="84"/>
      <c r="E829" s="84"/>
      <c r="F829" s="84"/>
      <c r="G829" s="84"/>
      <c r="H829" s="84"/>
      <c r="I829" s="84"/>
      <c r="J829" s="84"/>
      <c r="K829" s="84"/>
      <c r="L829" s="84"/>
      <c r="M829" s="84"/>
      <c r="N829" s="84"/>
      <c r="O829" s="84"/>
      <c r="P829" s="84"/>
      <c r="Q829" s="84"/>
      <c r="R829" s="84"/>
      <c r="S829" s="84"/>
      <c r="T829" s="84"/>
      <c r="U829" s="84"/>
      <c r="V829" s="84"/>
      <c r="W829" s="84"/>
      <c r="X829" s="84"/>
      <c r="Y829" s="84"/>
      <c r="Z829" s="84"/>
    </row>
    <row r="830" spans="1:26" ht="15">
      <c r="A830" s="83"/>
      <c r="B830" s="84"/>
      <c r="C830" s="84"/>
      <c r="D830" s="84"/>
      <c r="E830" s="84"/>
      <c r="F830" s="84"/>
      <c r="G830" s="84"/>
      <c r="H830" s="84"/>
      <c r="I830" s="84"/>
      <c r="J830" s="84"/>
      <c r="K830" s="84"/>
      <c r="L830" s="84"/>
      <c r="M830" s="84"/>
      <c r="N830" s="84"/>
      <c r="O830" s="84"/>
      <c r="P830" s="84"/>
      <c r="Q830" s="84"/>
      <c r="R830" s="84"/>
      <c r="S830" s="84"/>
      <c r="T830" s="84"/>
      <c r="U830" s="84"/>
      <c r="V830" s="84"/>
      <c r="W830" s="84"/>
      <c r="X830" s="84"/>
      <c r="Y830" s="84"/>
      <c r="Z830" s="84"/>
    </row>
    <row r="831" spans="1:26" ht="15">
      <c r="A831" s="83"/>
      <c r="B831" s="84"/>
      <c r="C831" s="84"/>
      <c r="D831" s="84"/>
      <c r="E831" s="84"/>
      <c r="F831" s="84"/>
      <c r="G831" s="84"/>
      <c r="H831" s="84"/>
      <c r="I831" s="84"/>
      <c r="J831" s="84"/>
      <c r="K831" s="84"/>
      <c r="L831" s="84"/>
      <c r="M831" s="84"/>
      <c r="N831" s="84"/>
      <c r="O831" s="84"/>
      <c r="P831" s="84"/>
      <c r="Q831" s="84"/>
      <c r="R831" s="84"/>
      <c r="S831" s="84"/>
      <c r="T831" s="84"/>
      <c r="U831" s="84"/>
      <c r="V831" s="84"/>
      <c r="W831" s="84"/>
      <c r="X831" s="84"/>
      <c r="Y831" s="84"/>
      <c r="Z831" s="84"/>
    </row>
    <row r="832" spans="1:26" ht="15">
      <c r="A832" s="83"/>
      <c r="B832" s="84"/>
      <c r="C832" s="84"/>
      <c r="D832" s="84"/>
      <c r="E832" s="84"/>
      <c r="F832" s="84"/>
      <c r="G832" s="84"/>
      <c r="H832" s="84"/>
      <c r="I832" s="84"/>
      <c r="J832" s="84"/>
      <c r="K832" s="84"/>
      <c r="L832" s="84"/>
      <c r="M832" s="84"/>
      <c r="N832" s="84"/>
      <c r="O832" s="84"/>
      <c r="P832" s="84"/>
      <c r="Q832" s="84"/>
      <c r="R832" s="84"/>
      <c r="S832" s="84"/>
      <c r="T832" s="84"/>
      <c r="U832" s="84"/>
      <c r="V832" s="84"/>
      <c r="W832" s="84"/>
      <c r="X832" s="84"/>
      <c r="Y832" s="84"/>
      <c r="Z832" s="84"/>
    </row>
    <row r="833" spans="1:26" ht="15">
      <c r="A833" s="83"/>
      <c r="B833" s="84"/>
      <c r="C833" s="84"/>
      <c r="D833" s="84"/>
      <c r="E833" s="84"/>
      <c r="F833" s="84"/>
      <c r="G833" s="84"/>
      <c r="H833" s="84"/>
      <c r="I833" s="84"/>
      <c r="J833" s="84"/>
      <c r="K833" s="84"/>
      <c r="L833" s="84"/>
      <c r="M833" s="84"/>
      <c r="N833" s="84"/>
      <c r="O833" s="84"/>
      <c r="P833" s="84"/>
      <c r="Q833" s="84"/>
      <c r="R833" s="84"/>
      <c r="S833" s="84"/>
      <c r="T833" s="84"/>
      <c r="U833" s="84"/>
      <c r="V833" s="84"/>
      <c r="W833" s="84"/>
      <c r="X833" s="84"/>
      <c r="Y833" s="84"/>
      <c r="Z833" s="84"/>
    </row>
    <row r="834" spans="1:26" ht="15">
      <c r="A834" s="83"/>
      <c r="B834" s="84"/>
      <c r="C834" s="84"/>
      <c r="D834" s="84"/>
      <c r="E834" s="84"/>
      <c r="F834" s="84"/>
      <c r="G834" s="84"/>
      <c r="H834" s="84"/>
      <c r="I834" s="84"/>
      <c r="J834" s="84"/>
      <c r="K834" s="84"/>
      <c r="L834" s="84"/>
      <c r="M834" s="84"/>
      <c r="N834" s="84"/>
      <c r="O834" s="84"/>
      <c r="P834" s="84"/>
      <c r="Q834" s="84"/>
      <c r="R834" s="84"/>
      <c r="S834" s="84"/>
      <c r="T834" s="84"/>
      <c r="U834" s="84"/>
      <c r="V834" s="84"/>
      <c r="W834" s="84"/>
      <c r="X834" s="84"/>
      <c r="Y834" s="84"/>
      <c r="Z834" s="84"/>
    </row>
    <row r="835" spans="1:26" ht="15">
      <c r="A835" s="83"/>
      <c r="B835" s="84"/>
      <c r="C835" s="84"/>
      <c r="D835" s="84"/>
      <c r="E835" s="84"/>
      <c r="F835" s="84"/>
      <c r="G835" s="84"/>
      <c r="H835" s="84"/>
      <c r="I835" s="84"/>
      <c r="J835" s="84"/>
      <c r="K835" s="84"/>
      <c r="L835" s="84"/>
      <c r="M835" s="84"/>
      <c r="N835" s="84"/>
      <c r="O835" s="84"/>
      <c r="P835" s="84"/>
      <c r="Q835" s="84"/>
      <c r="R835" s="84"/>
      <c r="S835" s="84"/>
      <c r="T835" s="84"/>
      <c r="U835" s="84"/>
      <c r="V835" s="84"/>
      <c r="W835" s="84"/>
      <c r="X835" s="84"/>
      <c r="Y835" s="84"/>
      <c r="Z835" s="84"/>
    </row>
    <row r="836" spans="1:26" ht="15">
      <c r="A836" s="83"/>
      <c r="B836" s="84"/>
      <c r="C836" s="84"/>
      <c r="D836" s="84"/>
      <c r="E836" s="84"/>
      <c r="F836" s="84"/>
      <c r="G836" s="84"/>
      <c r="H836" s="84"/>
      <c r="I836" s="84"/>
      <c r="J836" s="84"/>
      <c r="K836" s="84"/>
      <c r="L836" s="84"/>
      <c r="M836" s="84"/>
      <c r="N836" s="84"/>
      <c r="O836" s="84"/>
      <c r="P836" s="84"/>
      <c r="Q836" s="84"/>
      <c r="R836" s="84"/>
      <c r="S836" s="84"/>
      <c r="T836" s="84"/>
      <c r="U836" s="84"/>
      <c r="V836" s="84"/>
      <c r="W836" s="84"/>
      <c r="X836" s="84"/>
      <c r="Y836" s="84"/>
      <c r="Z836" s="84"/>
    </row>
    <row r="837" spans="1:26" ht="15">
      <c r="A837" s="83"/>
      <c r="B837" s="84"/>
      <c r="C837" s="84"/>
      <c r="D837" s="84"/>
      <c r="E837" s="84"/>
      <c r="F837" s="84"/>
      <c r="G837" s="84"/>
      <c r="H837" s="84"/>
      <c r="I837" s="84"/>
      <c r="J837" s="84"/>
      <c r="K837" s="84"/>
      <c r="L837" s="84"/>
      <c r="M837" s="84"/>
      <c r="N837" s="84"/>
      <c r="O837" s="84"/>
      <c r="P837" s="84"/>
      <c r="Q837" s="84"/>
      <c r="R837" s="84"/>
      <c r="S837" s="84"/>
      <c r="T837" s="84"/>
      <c r="U837" s="84"/>
      <c r="V837" s="84"/>
      <c r="W837" s="84"/>
      <c r="X837" s="84"/>
      <c r="Y837" s="84"/>
      <c r="Z837" s="84"/>
    </row>
    <row r="838" spans="1:26" ht="15">
      <c r="A838" s="83"/>
      <c r="B838" s="84"/>
      <c r="C838" s="84"/>
      <c r="D838" s="84"/>
      <c r="E838" s="84"/>
      <c r="F838" s="84"/>
      <c r="G838" s="84"/>
      <c r="H838" s="84"/>
      <c r="I838" s="84"/>
      <c r="J838" s="84"/>
      <c r="K838" s="84"/>
      <c r="L838" s="84"/>
      <c r="M838" s="84"/>
      <c r="N838" s="84"/>
      <c r="O838" s="84"/>
      <c r="P838" s="84"/>
      <c r="Q838" s="84"/>
      <c r="R838" s="84"/>
      <c r="S838" s="84"/>
      <c r="T838" s="84"/>
      <c r="U838" s="84"/>
      <c r="V838" s="84"/>
      <c r="W838" s="84"/>
      <c r="X838" s="84"/>
      <c r="Y838" s="84"/>
      <c r="Z838" s="84"/>
    </row>
    <row r="839" spans="1:26" ht="15">
      <c r="A839" s="83"/>
      <c r="B839" s="84"/>
      <c r="C839" s="84"/>
      <c r="D839" s="84"/>
      <c r="E839" s="84"/>
      <c r="F839" s="84"/>
      <c r="G839" s="84"/>
      <c r="H839" s="84"/>
      <c r="I839" s="84"/>
      <c r="J839" s="84"/>
      <c r="K839" s="84"/>
      <c r="L839" s="84"/>
      <c r="M839" s="84"/>
      <c r="N839" s="84"/>
      <c r="O839" s="84"/>
      <c r="P839" s="84"/>
      <c r="Q839" s="84"/>
      <c r="R839" s="84"/>
      <c r="S839" s="84"/>
      <c r="T839" s="84"/>
      <c r="U839" s="84"/>
      <c r="V839" s="84"/>
      <c r="W839" s="84"/>
      <c r="X839" s="84"/>
      <c r="Y839" s="84"/>
      <c r="Z839" s="84"/>
    </row>
    <row r="840" spans="1:26" ht="15">
      <c r="A840" s="83"/>
      <c r="B840" s="84"/>
      <c r="C840" s="84"/>
      <c r="D840" s="84"/>
      <c r="E840" s="84"/>
      <c r="F840" s="84"/>
      <c r="G840" s="84"/>
      <c r="H840" s="84"/>
      <c r="I840" s="84"/>
      <c r="J840" s="84"/>
      <c r="K840" s="84"/>
      <c r="L840" s="84"/>
      <c r="M840" s="84"/>
      <c r="N840" s="84"/>
      <c r="O840" s="84"/>
      <c r="P840" s="84"/>
      <c r="Q840" s="84"/>
      <c r="R840" s="84"/>
      <c r="S840" s="84"/>
      <c r="T840" s="84"/>
      <c r="U840" s="84"/>
      <c r="V840" s="84"/>
      <c r="W840" s="84"/>
      <c r="X840" s="84"/>
      <c r="Y840" s="84"/>
      <c r="Z840" s="84"/>
    </row>
    <row r="841" spans="1:26" ht="15">
      <c r="A841" s="83"/>
      <c r="B841" s="84"/>
      <c r="C841" s="84"/>
      <c r="D841" s="84"/>
      <c r="E841" s="84"/>
      <c r="F841" s="84"/>
      <c r="G841" s="84"/>
      <c r="H841" s="84"/>
      <c r="I841" s="84"/>
      <c r="J841" s="84"/>
      <c r="K841" s="84"/>
      <c r="L841" s="84"/>
      <c r="M841" s="84"/>
      <c r="N841" s="84"/>
      <c r="O841" s="84"/>
      <c r="P841" s="84"/>
      <c r="Q841" s="84"/>
      <c r="R841" s="84"/>
      <c r="S841" s="84"/>
      <c r="T841" s="84"/>
      <c r="U841" s="84"/>
      <c r="V841" s="84"/>
      <c r="W841" s="84"/>
      <c r="X841" s="84"/>
      <c r="Y841" s="84"/>
      <c r="Z841" s="84"/>
    </row>
    <row r="842" spans="1:26" ht="15">
      <c r="A842" s="83"/>
      <c r="B842" s="84"/>
      <c r="C842" s="84"/>
      <c r="D842" s="84"/>
      <c r="E842" s="84"/>
      <c r="F842" s="84"/>
      <c r="G842" s="84"/>
      <c r="H842" s="84"/>
      <c r="I842" s="84"/>
      <c r="J842" s="84"/>
      <c r="K842" s="84"/>
      <c r="L842" s="84"/>
      <c r="M842" s="84"/>
      <c r="N842" s="84"/>
      <c r="O842" s="84"/>
      <c r="P842" s="84"/>
      <c r="Q842" s="84"/>
      <c r="R842" s="84"/>
      <c r="S842" s="84"/>
      <c r="T842" s="84"/>
      <c r="U842" s="84"/>
      <c r="V842" s="84"/>
      <c r="W842" s="84"/>
      <c r="X842" s="84"/>
      <c r="Y842" s="84"/>
      <c r="Z842" s="84"/>
    </row>
    <row r="843" spans="1:26" ht="15">
      <c r="A843" s="83"/>
      <c r="B843" s="84"/>
      <c r="C843" s="84"/>
      <c r="D843" s="84"/>
      <c r="E843" s="84"/>
      <c r="F843" s="84"/>
      <c r="G843" s="84"/>
      <c r="H843" s="84"/>
      <c r="I843" s="84"/>
      <c r="J843" s="84"/>
      <c r="K843" s="84"/>
      <c r="L843" s="84"/>
      <c r="M843" s="84"/>
      <c r="N843" s="84"/>
      <c r="O843" s="84"/>
      <c r="P843" s="84"/>
      <c r="Q843" s="84"/>
      <c r="R843" s="84"/>
      <c r="S843" s="84"/>
      <c r="T843" s="84"/>
      <c r="U843" s="84"/>
      <c r="V843" s="84"/>
      <c r="W843" s="84"/>
      <c r="X843" s="84"/>
      <c r="Y843" s="84"/>
      <c r="Z843" s="84"/>
    </row>
    <row r="844" spans="1:26" ht="15">
      <c r="A844" s="83"/>
      <c r="B844" s="84"/>
      <c r="C844" s="84"/>
      <c r="D844" s="84"/>
      <c r="E844" s="84"/>
      <c r="F844" s="84"/>
      <c r="G844" s="84"/>
      <c r="H844" s="84"/>
      <c r="I844" s="84"/>
      <c r="J844" s="84"/>
      <c r="K844" s="84"/>
      <c r="L844" s="84"/>
      <c r="M844" s="84"/>
      <c r="N844" s="84"/>
      <c r="O844" s="84"/>
      <c r="P844" s="84"/>
      <c r="Q844" s="84"/>
      <c r="R844" s="84"/>
      <c r="S844" s="84"/>
      <c r="T844" s="84"/>
      <c r="U844" s="84"/>
      <c r="V844" s="84"/>
      <c r="W844" s="84"/>
      <c r="X844" s="84"/>
      <c r="Y844" s="84"/>
      <c r="Z844" s="84"/>
    </row>
    <row r="845" spans="1:26" ht="15">
      <c r="A845" s="83"/>
      <c r="B845" s="84"/>
      <c r="C845" s="84"/>
      <c r="D845" s="84"/>
      <c r="E845" s="84"/>
      <c r="F845" s="84"/>
      <c r="G845" s="84"/>
      <c r="H845" s="84"/>
      <c r="I845" s="84"/>
      <c r="J845" s="84"/>
      <c r="K845" s="84"/>
      <c r="L845" s="84"/>
      <c r="M845" s="84"/>
      <c r="N845" s="84"/>
      <c r="O845" s="84"/>
      <c r="P845" s="84"/>
      <c r="Q845" s="84"/>
      <c r="R845" s="84"/>
      <c r="S845" s="84"/>
      <c r="T845" s="84"/>
      <c r="U845" s="84"/>
      <c r="V845" s="84"/>
      <c r="W845" s="84"/>
      <c r="X845" s="84"/>
      <c r="Y845" s="84"/>
      <c r="Z845" s="84"/>
    </row>
    <row r="846" spans="1:26" ht="15">
      <c r="A846" s="83"/>
      <c r="B846" s="84"/>
      <c r="C846" s="84"/>
      <c r="D846" s="84"/>
      <c r="E846" s="84"/>
      <c r="F846" s="84"/>
      <c r="G846" s="84"/>
      <c r="H846" s="84"/>
      <c r="I846" s="84"/>
      <c r="J846" s="84"/>
      <c r="K846" s="84"/>
      <c r="L846" s="84"/>
      <c r="M846" s="84"/>
      <c r="N846" s="84"/>
      <c r="O846" s="84"/>
      <c r="P846" s="84"/>
      <c r="Q846" s="84"/>
      <c r="R846" s="84"/>
      <c r="S846" s="84"/>
      <c r="T846" s="84"/>
      <c r="U846" s="84"/>
      <c r="V846" s="84"/>
      <c r="W846" s="84"/>
      <c r="X846" s="84"/>
      <c r="Y846" s="84"/>
      <c r="Z846" s="84"/>
    </row>
    <row r="847" spans="1:26" ht="15">
      <c r="A847" s="83"/>
      <c r="B847" s="84"/>
      <c r="C847" s="84"/>
      <c r="D847" s="84"/>
      <c r="E847" s="84"/>
      <c r="F847" s="84"/>
      <c r="G847" s="84"/>
      <c r="H847" s="84"/>
      <c r="I847" s="84"/>
      <c r="J847" s="84"/>
      <c r="K847" s="84"/>
      <c r="L847" s="84"/>
      <c r="M847" s="84"/>
      <c r="N847" s="84"/>
      <c r="O847" s="84"/>
      <c r="P847" s="84"/>
      <c r="Q847" s="84"/>
      <c r="R847" s="84"/>
      <c r="S847" s="84"/>
      <c r="T847" s="84"/>
      <c r="U847" s="84"/>
      <c r="V847" s="84"/>
      <c r="W847" s="84"/>
      <c r="X847" s="84"/>
      <c r="Y847" s="84"/>
      <c r="Z847" s="84"/>
    </row>
    <row r="848" spans="1:26" ht="15">
      <c r="A848" s="83"/>
      <c r="B848" s="84"/>
      <c r="C848" s="84"/>
      <c r="D848" s="84"/>
      <c r="E848" s="84"/>
      <c r="F848" s="84"/>
      <c r="G848" s="84"/>
      <c r="H848" s="84"/>
      <c r="I848" s="84"/>
      <c r="J848" s="84"/>
      <c r="K848" s="84"/>
      <c r="L848" s="84"/>
      <c r="M848" s="84"/>
      <c r="N848" s="84"/>
      <c r="O848" s="84"/>
      <c r="P848" s="84"/>
      <c r="Q848" s="84"/>
      <c r="R848" s="84"/>
      <c r="S848" s="84"/>
      <c r="T848" s="84"/>
      <c r="U848" s="84"/>
      <c r="V848" s="84"/>
      <c r="W848" s="84"/>
      <c r="X848" s="84"/>
      <c r="Y848" s="84"/>
      <c r="Z848" s="84"/>
    </row>
    <row r="849" spans="1:26" ht="15">
      <c r="A849" s="83"/>
      <c r="B849" s="84"/>
      <c r="C849" s="84"/>
      <c r="D849" s="84"/>
      <c r="E849" s="84"/>
      <c r="F849" s="84"/>
      <c r="G849" s="84"/>
      <c r="H849" s="84"/>
      <c r="I849" s="84"/>
      <c r="J849" s="84"/>
      <c r="K849" s="84"/>
      <c r="L849" s="84"/>
      <c r="M849" s="84"/>
      <c r="N849" s="84"/>
      <c r="O849" s="84"/>
      <c r="P849" s="84"/>
      <c r="Q849" s="84"/>
      <c r="R849" s="84"/>
      <c r="S849" s="84"/>
      <c r="T849" s="84"/>
      <c r="U849" s="84"/>
      <c r="V849" s="84"/>
      <c r="W849" s="84"/>
      <c r="X849" s="84"/>
      <c r="Y849" s="84"/>
      <c r="Z849" s="84"/>
    </row>
    <row r="850" spans="1:26" ht="15">
      <c r="A850" s="83"/>
      <c r="B850" s="84"/>
      <c r="C850" s="84"/>
      <c r="D850" s="84"/>
      <c r="E850" s="84"/>
      <c r="F850" s="84"/>
      <c r="G850" s="84"/>
      <c r="H850" s="84"/>
      <c r="I850" s="84"/>
      <c r="J850" s="84"/>
      <c r="K850" s="84"/>
      <c r="L850" s="84"/>
      <c r="M850" s="84"/>
      <c r="N850" s="84"/>
      <c r="O850" s="84"/>
      <c r="P850" s="84"/>
      <c r="Q850" s="84"/>
      <c r="R850" s="84"/>
      <c r="S850" s="84"/>
      <c r="T850" s="84"/>
      <c r="U850" s="84"/>
      <c r="V850" s="84"/>
      <c r="W850" s="84"/>
      <c r="X850" s="84"/>
      <c r="Y850" s="84"/>
      <c r="Z850" s="84"/>
    </row>
    <row r="851" spans="1:26" ht="15">
      <c r="A851" s="83"/>
      <c r="B851" s="84"/>
      <c r="C851" s="84"/>
      <c r="D851" s="84"/>
      <c r="E851" s="84"/>
      <c r="F851" s="84"/>
      <c r="G851" s="84"/>
      <c r="H851" s="84"/>
      <c r="I851" s="84"/>
      <c r="J851" s="84"/>
      <c r="K851" s="84"/>
      <c r="L851" s="84"/>
      <c r="M851" s="84"/>
      <c r="N851" s="84"/>
      <c r="O851" s="84"/>
      <c r="P851" s="84"/>
      <c r="Q851" s="84"/>
      <c r="R851" s="84"/>
      <c r="S851" s="84"/>
      <c r="T851" s="84"/>
      <c r="U851" s="84"/>
      <c r="V851" s="84"/>
      <c r="W851" s="84"/>
      <c r="X851" s="84"/>
      <c r="Y851" s="84"/>
      <c r="Z851" s="84"/>
    </row>
    <row r="852" spans="1:26" ht="15">
      <c r="A852" s="83"/>
      <c r="B852" s="84"/>
      <c r="C852" s="84"/>
      <c r="D852" s="84"/>
      <c r="E852" s="84"/>
      <c r="F852" s="84"/>
      <c r="G852" s="84"/>
      <c r="H852" s="84"/>
      <c r="I852" s="84"/>
      <c r="J852" s="84"/>
      <c r="K852" s="84"/>
      <c r="L852" s="84"/>
      <c r="M852" s="84"/>
      <c r="N852" s="84"/>
      <c r="O852" s="84"/>
      <c r="P852" s="84"/>
      <c r="Q852" s="84"/>
      <c r="R852" s="84"/>
      <c r="S852" s="84"/>
      <c r="T852" s="84"/>
      <c r="U852" s="84"/>
      <c r="V852" s="84"/>
      <c r="W852" s="84"/>
      <c r="X852" s="84"/>
      <c r="Y852" s="84"/>
      <c r="Z852" s="84"/>
    </row>
    <row r="853" spans="1:26" ht="15">
      <c r="A853" s="83"/>
      <c r="B853" s="84"/>
      <c r="C853" s="84"/>
      <c r="D853" s="84"/>
      <c r="E853" s="84"/>
      <c r="F853" s="84"/>
      <c r="G853" s="84"/>
      <c r="H853" s="84"/>
      <c r="I853" s="84"/>
      <c r="J853" s="84"/>
      <c r="K853" s="84"/>
      <c r="L853" s="84"/>
      <c r="M853" s="84"/>
      <c r="N853" s="84"/>
      <c r="O853" s="84"/>
      <c r="P853" s="84"/>
      <c r="Q853" s="84"/>
      <c r="R853" s="84"/>
      <c r="S853" s="84"/>
      <c r="T853" s="84"/>
      <c r="U853" s="84"/>
      <c r="V853" s="84"/>
      <c r="W853" s="84"/>
      <c r="X853" s="84"/>
      <c r="Y853" s="84"/>
      <c r="Z853" s="84"/>
    </row>
    <row r="854" spans="1:26" ht="15">
      <c r="A854" s="83"/>
      <c r="B854" s="84"/>
      <c r="C854" s="84"/>
      <c r="D854" s="84"/>
      <c r="E854" s="84"/>
      <c r="F854" s="84"/>
      <c r="G854" s="84"/>
      <c r="H854" s="84"/>
      <c r="I854" s="84"/>
      <c r="J854" s="84"/>
      <c r="K854" s="84"/>
      <c r="L854" s="84"/>
      <c r="M854" s="84"/>
      <c r="N854" s="84"/>
      <c r="O854" s="84"/>
      <c r="P854" s="84"/>
      <c r="Q854" s="84"/>
      <c r="R854" s="84"/>
      <c r="S854" s="84"/>
      <c r="T854" s="84"/>
      <c r="U854" s="84"/>
      <c r="V854" s="84"/>
      <c r="W854" s="84"/>
      <c r="X854" s="84"/>
      <c r="Y854" s="84"/>
      <c r="Z854" s="84"/>
    </row>
    <row r="855" spans="1:26" ht="15">
      <c r="A855" s="83"/>
      <c r="B855" s="84"/>
      <c r="C855" s="84"/>
      <c r="D855" s="84"/>
      <c r="E855" s="84"/>
      <c r="F855" s="84"/>
      <c r="G855" s="84"/>
      <c r="H855" s="84"/>
      <c r="I855" s="84"/>
      <c r="J855" s="84"/>
      <c r="K855" s="84"/>
      <c r="L855" s="84"/>
      <c r="M855" s="84"/>
      <c r="N855" s="84"/>
      <c r="O855" s="84"/>
      <c r="P855" s="84"/>
      <c r="Q855" s="84"/>
      <c r="R855" s="84"/>
      <c r="S855" s="84"/>
      <c r="T855" s="84"/>
      <c r="U855" s="84"/>
      <c r="V855" s="84"/>
      <c r="W855" s="84"/>
      <c r="X855" s="84"/>
      <c r="Y855" s="84"/>
      <c r="Z855" s="84"/>
    </row>
    <row r="856" spans="1:26" ht="15">
      <c r="A856" s="83"/>
      <c r="B856" s="84"/>
      <c r="C856" s="84"/>
      <c r="D856" s="84"/>
      <c r="E856" s="84"/>
      <c r="F856" s="84"/>
      <c r="G856" s="84"/>
      <c r="H856" s="84"/>
      <c r="I856" s="84"/>
      <c r="J856" s="84"/>
      <c r="K856" s="84"/>
      <c r="L856" s="84"/>
      <c r="M856" s="84"/>
      <c r="N856" s="84"/>
      <c r="O856" s="84"/>
      <c r="P856" s="84"/>
      <c r="Q856" s="84"/>
      <c r="R856" s="84"/>
      <c r="S856" s="84"/>
      <c r="T856" s="84"/>
      <c r="U856" s="84"/>
      <c r="V856" s="84"/>
      <c r="W856" s="84"/>
      <c r="X856" s="84"/>
      <c r="Y856" s="84"/>
      <c r="Z856" s="84"/>
    </row>
    <row r="857" spans="1:26" ht="15">
      <c r="A857" s="83"/>
      <c r="B857" s="84"/>
      <c r="C857" s="84"/>
      <c r="D857" s="84"/>
      <c r="E857" s="84"/>
      <c r="F857" s="84"/>
      <c r="G857" s="84"/>
      <c r="H857" s="84"/>
      <c r="I857" s="84"/>
      <c r="J857" s="84"/>
      <c r="K857" s="84"/>
      <c r="L857" s="84"/>
      <c r="M857" s="84"/>
      <c r="N857" s="84"/>
      <c r="O857" s="84"/>
      <c r="P857" s="84"/>
      <c r="Q857" s="84"/>
      <c r="R857" s="84"/>
      <c r="S857" s="84"/>
      <c r="T857" s="84"/>
      <c r="U857" s="84"/>
      <c r="V857" s="84"/>
      <c r="W857" s="84"/>
      <c r="X857" s="84"/>
      <c r="Y857" s="84"/>
      <c r="Z857" s="84"/>
    </row>
    <row r="858" spans="1:26" ht="15">
      <c r="A858" s="83"/>
      <c r="B858" s="84"/>
      <c r="C858" s="84"/>
      <c r="D858" s="84"/>
      <c r="E858" s="84"/>
      <c r="F858" s="84"/>
      <c r="G858" s="84"/>
      <c r="H858" s="84"/>
      <c r="I858" s="84"/>
      <c r="J858" s="84"/>
      <c r="K858" s="84"/>
      <c r="L858" s="84"/>
      <c r="M858" s="84"/>
      <c r="N858" s="84"/>
      <c r="O858" s="84"/>
      <c r="P858" s="84"/>
      <c r="Q858" s="84"/>
      <c r="R858" s="84"/>
      <c r="S858" s="84"/>
      <c r="T858" s="84"/>
      <c r="U858" s="84"/>
      <c r="V858" s="84"/>
      <c r="W858" s="84"/>
      <c r="X858" s="84"/>
      <c r="Y858" s="84"/>
      <c r="Z858" s="84"/>
    </row>
    <row r="859" spans="1:26" ht="15">
      <c r="A859" s="83"/>
      <c r="B859" s="84"/>
      <c r="C859" s="84"/>
      <c r="D859" s="84"/>
      <c r="E859" s="84"/>
      <c r="F859" s="84"/>
      <c r="G859" s="84"/>
      <c r="H859" s="84"/>
      <c r="I859" s="84"/>
      <c r="J859" s="84"/>
      <c r="K859" s="84"/>
      <c r="L859" s="84"/>
      <c r="M859" s="84"/>
      <c r="N859" s="84"/>
      <c r="O859" s="84"/>
      <c r="P859" s="84"/>
      <c r="Q859" s="84"/>
      <c r="R859" s="84"/>
      <c r="S859" s="84"/>
      <c r="T859" s="84"/>
      <c r="U859" s="84"/>
      <c r="V859" s="84"/>
      <c r="W859" s="84"/>
      <c r="X859" s="84"/>
      <c r="Y859" s="84"/>
      <c r="Z859" s="84"/>
    </row>
    <row r="860" spans="1:26" ht="15">
      <c r="A860" s="83"/>
      <c r="B860" s="84"/>
      <c r="C860" s="84"/>
      <c r="D860" s="84"/>
      <c r="E860" s="84"/>
      <c r="F860" s="84"/>
      <c r="G860" s="84"/>
      <c r="H860" s="84"/>
      <c r="I860" s="84"/>
      <c r="J860" s="84"/>
      <c r="K860" s="84"/>
      <c r="L860" s="84"/>
      <c r="M860" s="84"/>
      <c r="N860" s="84"/>
      <c r="O860" s="84"/>
      <c r="P860" s="84"/>
      <c r="Q860" s="84"/>
      <c r="R860" s="84"/>
      <c r="S860" s="84"/>
      <c r="T860" s="84"/>
      <c r="U860" s="84"/>
      <c r="V860" s="84"/>
      <c r="W860" s="84"/>
      <c r="X860" s="84"/>
      <c r="Y860" s="84"/>
      <c r="Z860" s="84"/>
    </row>
    <row r="861" spans="1:26" ht="15">
      <c r="A861" s="83"/>
      <c r="B861" s="84"/>
      <c r="C861" s="84"/>
      <c r="D861" s="84"/>
      <c r="E861" s="84"/>
      <c r="F861" s="84"/>
      <c r="G861" s="84"/>
      <c r="H861" s="84"/>
      <c r="I861" s="84"/>
      <c r="J861" s="84"/>
      <c r="K861" s="84"/>
      <c r="L861" s="84"/>
      <c r="M861" s="84"/>
      <c r="N861" s="84"/>
      <c r="O861" s="84"/>
      <c r="P861" s="84"/>
      <c r="Q861" s="84"/>
      <c r="R861" s="84"/>
      <c r="S861" s="84"/>
      <c r="T861" s="84"/>
      <c r="U861" s="84"/>
      <c r="V861" s="84"/>
      <c r="W861" s="84"/>
      <c r="X861" s="84"/>
      <c r="Y861" s="84"/>
      <c r="Z861" s="84"/>
    </row>
    <row r="862" spans="1:26" ht="15">
      <c r="A862" s="83"/>
      <c r="B862" s="84"/>
      <c r="C862" s="84"/>
      <c r="D862" s="84"/>
      <c r="E862" s="84"/>
      <c r="F862" s="84"/>
      <c r="G862" s="84"/>
      <c r="H862" s="84"/>
      <c r="I862" s="84"/>
      <c r="J862" s="84"/>
      <c r="K862" s="84"/>
      <c r="L862" s="84"/>
      <c r="M862" s="84"/>
      <c r="N862" s="84"/>
      <c r="O862" s="84"/>
      <c r="P862" s="84"/>
      <c r="Q862" s="84"/>
      <c r="R862" s="84"/>
      <c r="S862" s="84"/>
      <c r="T862" s="84"/>
      <c r="U862" s="84"/>
      <c r="V862" s="84"/>
      <c r="W862" s="84"/>
      <c r="X862" s="84"/>
      <c r="Y862" s="84"/>
      <c r="Z862" s="84"/>
    </row>
    <row r="863" spans="1:26" ht="15">
      <c r="A863" s="83"/>
      <c r="B863" s="84"/>
      <c r="C863" s="84"/>
      <c r="D863" s="84"/>
      <c r="E863" s="84"/>
      <c r="F863" s="84"/>
      <c r="G863" s="84"/>
      <c r="H863" s="84"/>
      <c r="I863" s="84"/>
      <c r="J863" s="84"/>
      <c r="K863" s="84"/>
      <c r="L863" s="84"/>
      <c r="M863" s="84"/>
      <c r="N863" s="84"/>
      <c r="O863" s="84"/>
      <c r="P863" s="84"/>
      <c r="Q863" s="84"/>
      <c r="R863" s="84"/>
      <c r="S863" s="84"/>
      <c r="T863" s="84"/>
      <c r="U863" s="84"/>
      <c r="V863" s="84"/>
      <c r="W863" s="84"/>
      <c r="X863" s="84"/>
      <c r="Y863" s="84"/>
      <c r="Z863" s="84"/>
    </row>
    <row r="864" spans="1:26" ht="15">
      <c r="A864" s="83"/>
      <c r="B864" s="84"/>
      <c r="C864" s="84"/>
      <c r="D864" s="84"/>
      <c r="E864" s="84"/>
      <c r="F864" s="84"/>
      <c r="G864" s="84"/>
      <c r="H864" s="84"/>
      <c r="I864" s="84"/>
      <c r="J864" s="84"/>
      <c r="K864" s="84"/>
      <c r="L864" s="84"/>
      <c r="M864" s="84"/>
      <c r="N864" s="84"/>
      <c r="O864" s="84"/>
      <c r="P864" s="84"/>
      <c r="Q864" s="84"/>
      <c r="R864" s="84"/>
      <c r="S864" s="84"/>
      <c r="T864" s="84"/>
      <c r="U864" s="84"/>
      <c r="V864" s="84"/>
      <c r="W864" s="84"/>
      <c r="X864" s="84"/>
      <c r="Y864" s="84"/>
      <c r="Z864" s="84"/>
    </row>
    <row r="865" spans="1:26" ht="15">
      <c r="A865" s="83"/>
      <c r="B865" s="84"/>
      <c r="C865" s="84"/>
      <c r="D865" s="84"/>
      <c r="E865" s="84"/>
      <c r="F865" s="84"/>
      <c r="G865" s="84"/>
      <c r="H865" s="84"/>
      <c r="I865" s="84"/>
      <c r="J865" s="84"/>
      <c r="K865" s="84"/>
      <c r="L865" s="84"/>
      <c r="M865" s="84"/>
      <c r="N865" s="84"/>
      <c r="O865" s="84"/>
      <c r="P865" s="84"/>
      <c r="Q865" s="84"/>
      <c r="R865" s="84"/>
      <c r="S865" s="84"/>
      <c r="T865" s="84"/>
      <c r="U865" s="84"/>
      <c r="V865" s="84"/>
      <c r="W865" s="84"/>
      <c r="X865" s="84"/>
      <c r="Y865" s="84"/>
      <c r="Z865" s="84"/>
    </row>
    <row r="866" spans="1:26" ht="15">
      <c r="A866" s="83"/>
      <c r="B866" s="84"/>
      <c r="C866" s="84"/>
      <c r="D866" s="84"/>
      <c r="E866" s="84"/>
      <c r="F866" s="84"/>
      <c r="G866" s="84"/>
      <c r="H866" s="84"/>
      <c r="I866" s="84"/>
      <c r="J866" s="84"/>
      <c r="K866" s="84"/>
      <c r="L866" s="84"/>
      <c r="M866" s="84"/>
      <c r="N866" s="84"/>
      <c r="O866" s="84"/>
      <c r="P866" s="84"/>
      <c r="Q866" s="84"/>
      <c r="R866" s="84"/>
      <c r="S866" s="84"/>
      <c r="T866" s="84"/>
      <c r="U866" s="84"/>
      <c r="V866" s="84"/>
      <c r="W866" s="84"/>
      <c r="X866" s="84"/>
      <c r="Y866" s="84"/>
      <c r="Z866" s="84"/>
    </row>
    <row r="867" spans="1:26" ht="15">
      <c r="A867" s="83"/>
      <c r="B867" s="84"/>
      <c r="C867" s="84"/>
      <c r="D867" s="84"/>
      <c r="E867" s="84"/>
      <c r="F867" s="84"/>
      <c r="G867" s="84"/>
      <c r="H867" s="84"/>
      <c r="I867" s="84"/>
      <c r="J867" s="84"/>
      <c r="K867" s="84"/>
      <c r="L867" s="84"/>
      <c r="M867" s="84"/>
      <c r="N867" s="84"/>
      <c r="O867" s="84"/>
      <c r="P867" s="84"/>
      <c r="Q867" s="84"/>
      <c r="R867" s="84"/>
      <c r="S867" s="84"/>
      <c r="T867" s="84"/>
      <c r="U867" s="84"/>
      <c r="V867" s="84"/>
      <c r="W867" s="84"/>
      <c r="X867" s="84"/>
      <c r="Y867" s="84"/>
      <c r="Z867" s="84"/>
    </row>
    <row r="868" spans="1:26" ht="15">
      <c r="A868" s="83"/>
      <c r="B868" s="84"/>
      <c r="C868" s="84"/>
      <c r="D868" s="84"/>
      <c r="E868" s="84"/>
      <c r="F868" s="84"/>
      <c r="G868" s="84"/>
      <c r="H868" s="84"/>
      <c r="I868" s="84"/>
      <c r="J868" s="84"/>
      <c r="K868" s="84"/>
      <c r="L868" s="84"/>
      <c r="M868" s="84"/>
      <c r="N868" s="84"/>
      <c r="O868" s="84"/>
      <c r="P868" s="84"/>
      <c r="Q868" s="84"/>
      <c r="R868" s="84"/>
      <c r="S868" s="84"/>
      <c r="T868" s="84"/>
      <c r="U868" s="84"/>
      <c r="V868" s="84"/>
      <c r="W868" s="84"/>
      <c r="X868" s="84"/>
      <c r="Y868" s="84"/>
      <c r="Z868" s="84"/>
    </row>
    <row r="869" spans="1:26" ht="15">
      <c r="A869" s="83"/>
      <c r="B869" s="84"/>
      <c r="C869" s="84"/>
      <c r="D869" s="84"/>
      <c r="E869" s="84"/>
      <c r="F869" s="84"/>
      <c r="G869" s="84"/>
      <c r="H869" s="84"/>
      <c r="I869" s="84"/>
      <c r="J869" s="84"/>
      <c r="K869" s="84"/>
      <c r="L869" s="84"/>
      <c r="M869" s="84"/>
      <c r="N869" s="84"/>
      <c r="O869" s="84"/>
      <c r="P869" s="84"/>
      <c r="Q869" s="84"/>
      <c r="R869" s="84"/>
      <c r="S869" s="84"/>
      <c r="T869" s="84"/>
      <c r="U869" s="84"/>
      <c r="V869" s="84"/>
      <c r="W869" s="84"/>
      <c r="X869" s="84"/>
      <c r="Y869" s="84"/>
      <c r="Z869" s="84"/>
    </row>
    <row r="870" spans="1:26" ht="15">
      <c r="A870" s="83"/>
      <c r="B870" s="84"/>
      <c r="C870" s="84"/>
      <c r="D870" s="84"/>
      <c r="E870" s="84"/>
      <c r="F870" s="84"/>
      <c r="G870" s="84"/>
      <c r="H870" s="84"/>
      <c r="I870" s="84"/>
      <c r="J870" s="84"/>
      <c r="K870" s="84"/>
      <c r="L870" s="84"/>
      <c r="M870" s="84"/>
      <c r="N870" s="84"/>
      <c r="O870" s="84"/>
      <c r="P870" s="84"/>
      <c r="Q870" s="84"/>
      <c r="R870" s="84"/>
      <c r="S870" s="84"/>
      <c r="T870" s="84"/>
      <c r="U870" s="84"/>
      <c r="V870" s="84"/>
      <c r="W870" s="84"/>
      <c r="X870" s="84"/>
      <c r="Y870" s="84"/>
      <c r="Z870" s="84"/>
    </row>
    <row r="871" spans="1:26" ht="15">
      <c r="A871" s="83"/>
      <c r="B871" s="84"/>
      <c r="C871" s="84"/>
      <c r="D871" s="84"/>
      <c r="E871" s="84"/>
      <c r="F871" s="84"/>
      <c r="G871" s="84"/>
      <c r="H871" s="84"/>
      <c r="I871" s="84"/>
      <c r="J871" s="84"/>
      <c r="K871" s="84"/>
      <c r="L871" s="84"/>
      <c r="M871" s="84"/>
      <c r="N871" s="84"/>
      <c r="O871" s="84"/>
      <c r="P871" s="84"/>
      <c r="Q871" s="84"/>
      <c r="R871" s="84"/>
      <c r="S871" s="84"/>
      <c r="T871" s="84"/>
      <c r="U871" s="84"/>
      <c r="V871" s="84"/>
      <c r="W871" s="84"/>
      <c r="X871" s="84"/>
      <c r="Y871" s="84"/>
      <c r="Z871" s="84"/>
    </row>
    <row r="872" spans="1:26" ht="15">
      <c r="A872" s="83"/>
      <c r="B872" s="84"/>
      <c r="C872" s="84"/>
      <c r="D872" s="84"/>
      <c r="E872" s="84"/>
      <c r="F872" s="84"/>
      <c r="G872" s="84"/>
      <c r="H872" s="84"/>
      <c r="I872" s="84"/>
      <c r="J872" s="84"/>
      <c r="K872" s="84"/>
      <c r="L872" s="84"/>
      <c r="M872" s="84"/>
      <c r="N872" s="84"/>
      <c r="O872" s="84"/>
      <c r="P872" s="84"/>
      <c r="Q872" s="84"/>
      <c r="R872" s="84"/>
      <c r="S872" s="84"/>
      <c r="T872" s="84"/>
      <c r="U872" s="84"/>
      <c r="V872" s="84"/>
      <c r="W872" s="84"/>
      <c r="X872" s="84"/>
      <c r="Y872" s="84"/>
      <c r="Z872" s="84"/>
    </row>
    <row r="873" spans="1:26" ht="15">
      <c r="A873" s="83"/>
      <c r="B873" s="84"/>
      <c r="C873" s="84"/>
      <c r="D873" s="84"/>
      <c r="E873" s="84"/>
      <c r="F873" s="84"/>
      <c r="G873" s="84"/>
      <c r="H873" s="84"/>
      <c r="I873" s="84"/>
      <c r="J873" s="84"/>
      <c r="K873" s="84"/>
      <c r="L873" s="84"/>
      <c r="M873" s="84"/>
      <c r="N873" s="84"/>
      <c r="O873" s="84"/>
      <c r="P873" s="84"/>
      <c r="Q873" s="84"/>
      <c r="R873" s="84"/>
      <c r="S873" s="84"/>
      <c r="T873" s="84"/>
      <c r="U873" s="84"/>
      <c r="V873" s="84"/>
      <c r="W873" s="84"/>
      <c r="X873" s="84"/>
      <c r="Y873" s="84"/>
      <c r="Z873" s="84"/>
    </row>
    <row r="874" spans="1:26" ht="15">
      <c r="A874" s="83"/>
      <c r="B874" s="84"/>
      <c r="C874" s="84"/>
      <c r="D874" s="84"/>
      <c r="E874" s="84"/>
      <c r="F874" s="84"/>
      <c r="G874" s="84"/>
      <c r="H874" s="84"/>
      <c r="I874" s="84"/>
      <c r="J874" s="84"/>
      <c r="K874" s="84"/>
      <c r="L874" s="84"/>
      <c r="M874" s="84"/>
      <c r="N874" s="84"/>
      <c r="O874" s="84"/>
      <c r="P874" s="84"/>
      <c r="Q874" s="84"/>
      <c r="R874" s="84"/>
      <c r="S874" s="84"/>
      <c r="T874" s="84"/>
      <c r="U874" s="84"/>
      <c r="V874" s="84"/>
      <c r="W874" s="84"/>
      <c r="X874" s="84"/>
      <c r="Y874" s="84"/>
      <c r="Z874" s="84"/>
    </row>
    <row r="875" spans="1:26" ht="15">
      <c r="A875" s="83"/>
      <c r="B875" s="84"/>
      <c r="C875" s="84"/>
      <c r="D875" s="84"/>
      <c r="E875" s="84"/>
      <c r="F875" s="84"/>
      <c r="G875" s="84"/>
      <c r="H875" s="84"/>
      <c r="I875" s="84"/>
      <c r="J875" s="84"/>
      <c r="K875" s="84"/>
      <c r="L875" s="84"/>
      <c r="M875" s="84"/>
      <c r="N875" s="84"/>
      <c r="O875" s="84"/>
      <c r="P875" s="84"/>
      <c r="Q875" s="84"/>
      <c r="R875" s="84"/>
      <c r="S875" s="84"/>
      <c r="T875" s="84"/>
      <c r="U875" s="84"/>
      <c r="V875" s="84"/>
      <c r="W875" s="84"/>
      <c r="X875" s="84"/>
      <c r="Y875" s="84"/>
      <c r="Z875" s="84"/>
    </row>
    <row r="876" spans="1:26" ht="15">
      <c r="A876" s="83"/>
      <c r="B876" s="84"/>
      <c r="C876" s="84"/>
      <c r="D876" s="84"/>
      <c r="E876" s="84"/>
      <c r="F876" s="84"/>
      <c r="G876" s="84"/>
      <c r="H876" s="84"/>
      <c r="I876" s="84"/>
      <c r="J876" s="84"/>
      <c r="K876" s="84"/>
      <c r="L876" s="84"/>
      <c r="M876" s="84"/>
      <c r="N876" s="84"/>
      <c r="O876" s="84"/>
      <c r="P876" s="84"/>
      <c r="Q876" s="84"/>
      <c r="R876" s="84"/>
      <c r="S876" s="84"/>
      <c r="T876" s="84"/>
      <c r="U876" s="84"/>
      <c r="V876" s="84"/>
      <c r="W876" s="84"/>
      <c r="X876" s="84"/>
      <c r="Y876" s="84"/>
      <c r="Z876" s="84"/>
    </row>
    <row r="877" spans="1:26" ht="15">
      <c r="A877" s="83"/>
      <c r="B877" s="84"/>
      <c r="C877" s="84"/>
      <c r="D877" s="84"/>
      <c r="E877" s="84"/>
      <c r="F877" s="84"/>
      <c r="G877" s="84"/>
      <c r="H877" s="84"/>
      <c r="I877" s="84"/>
      <c r="J877" s="84"/>
      <c r="K877" s="84"/>
      <c r="L877" s="84"/>
      <c r="M877" s="84"/>
      <c r="N877" s="84"/>
      <c r="O877" s="84"/>
      <c r="P877" s="84"/>
      <c r="Q877" s="84"/>
      <c r="R877" s="84"/>
      <c r="S877" s="84"/>
      <c r="T877" s="84"/>
      <c r="U877" s="84"/>
      <c r="V877" s="84"/>
      <c r="W877" s="84"/>
      <c r="X877" s="84"/>
      <c r="Y877" s="84"/>
      <c r="Z877" s="84"/>
    </row>
    <row r="878" spans="1:26" ht="15">
      <c r="A878" s="83"/>
      <c r="B878" s="84"/>
      <c r="C878" s="84"/>
      <c r="D878" s="84"/>
      <c r="E878" s="84"/>
      <c r="F878" s="84"/>
      <c r="G878" s="84"/>
      <c r="H878" s="84"/>
      <c r="I878" s="84"/>
      <c r="J878" s="84"/>
      <c r="K878" s="84"/>
      <c r="L878" s="84"/>
      <c r="M878" s="84"/>
      <c r="N878" s="84"/>
      <c r="O878" s="84"/>
      <c r="P878" s="84"/>
      <c r="Q878" s="84"/>
      <c r="R878" s="84"/>
      <c r="S878" s="84"/>
      <c r="T878" s="84"/>
      <c r="U878" s="84"/>
      <c r="V878" s="84"/>
      <c r="W878" s="84"/>
      <c r="X878" s="84"/>
      <c r="Y878" s="84"/>
      <c r="Z878" s="84"/>
    </row>
    <row r="879" spans="1:26" ht="15">
      <c r="A879" s="83"/>
      <c r="B879" s="84"/>
      <c r="C879" s="84"/>
      <c r="D879" s="84"/>
      <c r="E879" s="84"/>
      <c r="F879" s="84"/>
      <c r="G879" s="84"/>
      <c r="H879" s="84"/>
      <c r="I879" s="84"/>
      <c r="J879" s="84"/>
      <c r="K879" s="84"/>
      <c r="L879" s="84"/>
      <c r="M879" s="84"/>
      <c r="N879" s="84"/>
      <c r="O879" s="84"/>
      <c r="P879" s="84"/>
      <c r="Q879" s="84"/>
      <c r="R879" s="84"/>
      <c r="S879" s="84"/>
      <c r="T879" s="84"/>
      <c r="U879" s="84"/>
      <c r="V879" s="84"/>
      <c r="W879" s="84"/>
      <c r="X879" s="84"/>
      <c r="Y879" s="84"/>
      <c r="Z879" s="84"/>
    </row>
    <row r="880" spans="1:26" ht="15">
      <c r="A880" s="83"/>
      <c r="B880" s="84"/>
      <c r="C880" s="84"/>
      <c r="D880" s="84"/>
      <c r="E880" s="84"/>
      <c r="F880" s="84"/>
      <c r="G880" s="84"/>
      <c r="H880" s="84"/>
      <c r="I880" s="84"/>
      <c r="J880" s="84"/>
      <c r="K880" s="84"/>
      <c r="L880" s="84"/>
      <c r="M880" s="84"/>
      <c r="N880" s="84"/>
      <c r="O880" s="84"/>
      <c r="P880" s="84"/>
      <c r="Q880" s="84"/>
      <c r="R880" s="84"/>
      <c r="S880" s="84"/>
      <c r="T880" s="84"/>
      <c r="U880" s="84"/>
      <c r="V880" s="84"/>
      <c r="W880" s="84"/>
      <c r="X880" s="84"/>
      <c r="Y880" s="84"/>
      <c r="Z880" s="84"/>
    </row>
    <row r="881" spans="1:26" ht="15">
      <c r="A881" s="83"/>
      <c r="B881" s="84"/>
      <c r="C881" s="84"/>
      <c r="D881" s="84"/>
      <c r="E881" s="84"/>
      <c r="F881" s="84"/>
      <c r="G881" s="84"/>
      <c r="H881" s="84"/>
      <c r="I881" s="84"/>
      <c r="J881" s="84"/>
      <c r="K881" s="84"/>
      <c r="L881" s="84"/>
      <c r="M881" s="84"/>
      <c r="N881" s="84"/>
      <c r="O881" s="84"/>
      <c r="P881" s="84"/>
      <c r="Q881" s="84"/>
      <c r="R881" s="84"/>
      <c r="S881" s="84"/>
      <c r="T881" s="84"/>
      <c r="U881" s="84"/>
      <c r="V881" s="84"/>
      <c r="W881" s="84"/>
      <c r="X881" s="84"/>
      <c r="Y881" s="84"/>
      <c r="Z881" s="84"/>
    </row>
    <row r="882" spans="1:26" ht="15">
      <c r="A882" s="83"/>
      <c r="B882" s="84"/>
      <c r="C882" s="84"/>
      <c r="D882" s="84"/>
      <c r="E882" s="84"/>
      <c r="F882" s="84"/>
      <c r="G882" s="84"/>
      <c r="H882" s="84"/>
      <c r="I882" s="84"/>
      <c r="J882" s="84"/>
      <c r="K882" s="84"/>
      <c r="L882" s="84"/>
      <c r="M882" s="84"/>
      <c r="N882" s="84"/>
      <c r="O882" s="84"/>
      <c r="P882" s="84"/>
      <c r="Q882" s="84"/>
      <c r="R882" s="84"/>
      <c r="S882" s="84"/>
      <c r="T882" s="84"/>
      <c r="U882" s="84"/>
      <c r="V882" s="84"/>
      <c r="W882" s="84"/>
      <c r="X882" s="84"/>
      <c r="Y882" s="84"/>
      <c r="Z882" s="84"/>
    </row>
    <row r="883" spans="1:26" ht="15">
      <c r="A883" s="83"/>
      <c r="B883" s="84"/>
      <c r="C883" s="84"/>
      <c r="D883" s="84"/>
      <c r="E883" s="84"/>
      <c r="F883" s="84"/>
      <c r="G883" s="84"/>
      <c r="H883" s="84"/>
      <c r="I883" s="84"/>
      <c r="J883" s="84"/>
      <c r="K883" s="84"/>
      <c r="L883" s="84"/>
      <c r="M883" s="84"/>
      <c r="N883" s="84"/>
      <c r="O883" s="84"/>
      <c r="P883" s="84"/>
      <c r="Q883" s="84"/>
      <c r="R883" s="84"/>
      <c r="S883" s="84"/>
      <c r="T883" s="84"/>
      <c r="U883" s="84"/>
      <c r="V883" s="84"/>
      <c r="W883" s="84"/>
      <c r="X883" s="84"/>
      <c r="Y883" s="84"/>
      <c r="Z883" s="84"/>
    </row>
    <row r="884" spans="1:26" ht="15">
      <c r="A884" s="83"/>
      <c r="B884" s="84"/>
      <c r="C884" s="84"/>
      <c r="D884" s="84"/>
      <c r="E884" s="84"/>
      <c r="F884" s="84"/>
      <c r="G884" s="84"/>
      <c r="H884" s="84"/>
      <c r="I884" s="84"/>
      <c r="J884" s="84"/>
      <c r="K884" s="84"/>
      <c r="L884" s="84"/>
      <c r="M884" s="84"/>
      <c r="N884" s="84"/>
      <c r="O884" s="84"/>
      <c r="P884" s="84"/>
      <c r="Q884" s="84"/>
      <c r="R884" s="84"/>
      <c r="S884" s="84"/>
      <c r="T884" s="84"/>
      <c r="U884" s="84"/>
      <c r="V884" s="84"/>
      <c r="W884" s="84"/>
      <c r="X884" s="84"/>
      <c r="Y884" s="84"/>
      <c r="Z884" s="84"/>
    </row>
    <row r="885" spans="1:26" ht="15">
      <c r="A885" s="83"/>
      <c r="B885" s="84"/>
      <c r="C885" s="84"/>
      <c r="D885" s="84"/>
      <c r="E885" s="84"/>
      <c r="F885" s="84"/>
      <c r="G885" s="84"/>
      <c r="H885" s="84"/>
      <c r="I885" s="84"/>
      <c r="J885" s="84"/>
      <c r="K885" s="84"/>
      <c r="L885" s="84"/>
      <c r="M885" s="84"/>
      <c r="N885" s="84"/>
      <c r="O885" s="84"/>
      <c r="P885" s="84"/>
      <c r="Q885" s="84"/>
      <c r="R885" s="84"/>
      <c r="S885" s="84"/>
      <c r="T885" s="84"/>
      <c r="U885" s="84"/>
      <c r="V885" s="84"/>
      <c r="W885" s="84"/>
      <c r="X885" s="84"/>
      <c r="Y885" s="84"/>
      <c r="Z885" s="84"/>
    </row>
    <row r="886" spans="1:26" ht="15">
      <c r="A886" s="83"/>
      <c r="B886" s="84"/>
      <c r="C886" s="84"/>
      <c r="D886" s="84"/>
      <c r="E886" s="84"/>
      <c r="F886" s="84"/>
      <c r="G886" s="84"/>
      <c r="H886" s="84"/>
      <c r="I886" s="84"/>
      <c r="J886" s="84"/>
      <c r="K886" s="84"/>
      <c r="L886" s="84"/>
      <c r="M886" s="84"/>
      <c r="N886" s="84"/>
      <c r="O886" s="84"/>
      <c r="P886" s="84"/>
      <c r="Q886" s="84"/>
      <c r="R886" s="84"/>
      <c r="S886" s="84"/>
      <c r="T886" s="84"/>
      <c r="U886" s="84"/>
      <c r="V886" s="84"/>
      <c r="W886" s="84"/>
      <c r="X886" s="84"/>
      <c r="Y886" s="84"/>
      <c r="Z886" s="84"/>
    </row>
    <row r="887" spans="1:26" ht="15">
      <c r="A887" s="83"/>
      <c r="B887" s="84"/>
      <c r="C887" s="84"/>
      <c r="D887" s="84"/>
      <c r="E887" s="84"/>
      <c r="F887" s="84"/>
      <c r="G887" s="84"/>
      <c r="H887" s="84"/>
      <c r="I887" s="84"/>
      <c r="J887" s="84"/>
      <c r="K887" s="84"/>
      <c r="L887" s="84"/>
      <c r="M887" s="84"/>
      <c r="N887" s="84"/>
      <c r="O887" s="84"/>
      <c r="P887" s="84"/>
      <c r="Q887" s="84"/>
      <c r="R887" s="84"/>
      <c r="S887" s="84"/>
      <c r="T887" s="84"/>
      <c r="U887" s="84"/>
      <c r="V887" s="84"/>
      <c r="W887" s="84"/>
      <c r="X887" s="84"/>
      <c r="Y887" s="84"/>
      <c r="Z887" s="84"/>
    </row>
    <row r="888" spans="1:26" ht="15">
      <c r="A888" s="83"/>
      <c r="B888" s="84"/>
      <c r="C888" s="84"/>
      <c r="D888" s="84"/>
      <c r="E888" s="84"/>
      <c r="F888" s="84"/>
      <c r="G888" s="84"/>
      <c r="H888" s="84"/>
      <c r="I888" s="84"/>
      <c r="J888" s="84"/>
      <c r="K888" s="84"/>
      <c r="L888" s="84"/>
      <c r="M888" s="84"/>
      <c r="N888" s="84"/>
      <c r="O888" s="84"/>
      <c r="P888" s="84"/>
      <c r="Q888" s="84"/>
      <c r="R888" s="84"/>
      <c r="S888" s="84"/>
      <c r="T888" s="84"/>
      <c r="U888" s="84"/>
      <c r="V888" s="84"/>
      <c r="W888" s="84"/>
      <c r="X888" s="84"/>
      <c r="Y888" s="84"/>
      <c r="Z888" s="84"/>
    </row>
    <row r="889" spans="1:26" ht="15">
      <c r="A889" s="83"/>
      <c r="B889" s="84"/>
      <c r="C889" s="84"/>
      <c r="D889" s="84"/>
      <c r="E889" s="84"/>
      <c r="F889" s="84"/>
      <c r="G889" s="84"/>
      <c r="H889" s="84"/>
      <c r="I889" s="84"/>
      <c r="J889" s="84"/>
      <c r="K889" s="84"/>
      <c r="L889" s="84"/>
      <c r="M889" s="84"/>
      <c r="N889" s="84"/>
      <c r="O889" s="84"/>
      <c r="P889" s="84"/>
      <c r="Q889" s="84"/>
      <c r="R889" s="84"/>
      <c r="S889" s="84"/>
      <c r="T889" s="84"/>
      <c r="U889" s="84"/>
      <c r="V889" s="84"/>
      <c r="W889" s="84"/>
      <c r="X889" s="84"/>
      <c r="Y889" s="84"/>
      <c r="Z889" s="84"/>
    </row>
    <row r="890" spans="1:26" ht="15">
      <c r="A890" s="83"/>
      <c r="B890" s="84"/>
      <c r="C890" s="84"/>
      <c r="D890" s="84"/>
      <c r="E890" s="84"/>
      <c r="F890" s="84"/>
      <c r="G890" s="84"/>
      <c r="H890" s="84"/>
      <c r="I890" s="84"/>
      <c r="J890" s="84"/>
      <c r="K890" s="84"/>
      <c r="L890" s="84"/>
      <c r="M890" s="84"/>
      <c r="N890" s="84"/>
      <c r="O890" s="84"/>
      <c r="P890" s="84"/>
      <c r="Q890" s="84"/>
      <c r="R890" s="84"/>
      <c r="S890" s="84"/>
      <c r="T890" s="84"/>
      <c r="U890" s="84"/>
      <c r="V890" s="84"/>
      <c r="W890" s="84"/>
      <c r="X890" s="84"/>
      <c r="Y890" s="84"/>
      <c r="Z890" s="84"/>
    </row>
    <row r="891" spans="1:26" ht="15">
      <c r="A891" s="83"/>
      <c r="B891" s="84"/>
      <c r="C891" s="84"/>
      <c r="D891" s="84"/>
      <c r="E891" s="84"/>
      <c r="F891" s="84"/>
      <c r="G891" s="84"/>
      <c r="H891" s="84"/>
      <c r="I891" s="84"/>
      <c r="J891" s="84"/>
      <c r="K891" s="84"/>
      <c r="L891" s="84"/>
      <c r="M891" s="84"/>
      <c r="N891" s="84"/>
      <c r="O891" s="84"/>
      <c r="P891" s="84"/>
      <c r="Q891" s="84"/>
      <c r="R891" s="84"/>
      <c r="S891" s="84"/>
      <c r="T891" s="84"/>
      <c r="U891" s="84"/>
      <c r="V891" s="84"/>
      <c r="W891" s="84"/>
      <c r="X891" s="84"/>
      <c r="Y891" s="84"/>
      <c r="Z891" s="84"/>
    </row>
    <row r="892" spans="1:26" ht="15">
      <c r="A892" s="83"/>
      <c r="B892" s="84"/>
      <c r="C892" s="84"/>
      <c r="D892" s="84"/>
      <c r="E892" s="84"/>
      <c r="F892" s="84"/>
      <c r="G892" s="84"/>
      <c r="H892" s="84"/>
      <c r="I892" s="84"/>
      <c r="J892" s="84"/>
      <c r="K892" s="84"/>
      <c r="L892" s="84"/>
      <c r="M892" s="84"/>
      <c r="N892" s="84"/>
      <c r="O892" s="84"/>
      <c r="P892" s="84"/>
      <c r="Q892" s="84"/>
      <c r="R892" s="84"/>
      <c r="S892" s="84"/>
      <c r="T892" s="84"/>
      <c r="U892" s="84"/>
      <c r="V892" s="84"/>
      <c r="W892" s="84"/>
      <c r="X892" s="84"/>
      <c r="Y892" s="84"/>
      <c r="Z892" s="84"/>
    </row>
    <row r="893" spans="1:26" ht="15">
      <c r="A893" s="83"/>
      <c r="B893" s="84"/>
      <c r="C893" s="84"/>
      <c r="D893" s="84"/>
      <c r="E893" s="84"/>
      <c r="F893" s="84"/>
      <c r="G893" s="84"/>
      <c r="H893" s="84"/>
      <c r="I893" s="84"/>
      <c r="J893" s="84"/>
      <c r="K893" s="84"/>
      <c r="L893" s="84"/>
      <c r="M893" s="84"/>
      <c r="N893" s="84"/>
      <c r="O893" s="84"/>
      <c r="P893" s="84"/>
      <c r="Q893" s="84"/>
      <c r="R893" s="84"/>
      <c r="S893" s="84"/>
      <c r="T893" s="84"/>
      <c r="U893" s="84"/>
      <c r="V893" s="84"/>
      <c r="W893" s="84"/>
      <c r="X893" s="84"/>
      <c r="Y893" s="84"/>
      <c r="Z893" s="84"/>
    </row>
    <row r="894" spans="1:26" ht="15">
      <c r="A894" s="83"/>
      <c r="B894" s="84"/>
      <c r="C894" s="84"/>
      <c r="D894" s="84"/>
      <c r="E894" s="84"/>
      <c r="F894" s="84"/>
      <c r="G894" s="84"/>
      <c r="H894" s="84"/>
      <c r="I894" s="84"/>
      <c r="J894" s="84"/>
      <c r="K894" s="84"/>
      <c r="L894" s="84"/>
      <c r="M894" s="84"/>
      <c r="N894" s="84"/>
      <c r="O894" s="84"/>
      <c r="P894" s="84"/>
      <c r="Q894" s="84"/>
      <c r="R894" s="84"/>
      <c r="S894" s="84"/>
      <c r="T894" s="84"/>
      <c r="U894" s="84"/>
      <c r="V894" s="84"/>
      <c r="W894" s="84"/>
      <c r="X894" s="84"/>
      <c r="Y894" s="84"/>
      <c r="Z894" s="84"/>
    </row>
    <row r="895" spans="1:26" ht="15">
      <c r="A895" s="83"/>
      <c r="B895" s="84"/>
      <c r="C895" s="84"/>
      <c r="D895" s="84"/>
      <c r="E895" s="84"/>
      <c r="F895" s="84"/>
      <c r="G895" s="84"/>
      <c r="H895" s="84"/>
      <c r="I895" s="84"/>
      <c r="J895" s="84"/>
      <c r="K895" s="84"/>
      <c r="L895" s="84"/>
      <c r="M895" s="84"/>
      <c r="N895" s="84"/>
      <c r="O895" s="84"/>
      <c r="P895" s="84"/>
      <c r="Q895" s="84"/>
      <c r="R895" s="84"/>
      <c r="S895" s="84"/>
      <c r="T895" s="84"/>
      <c r="U895" s="84"/>
      <c r="V895" s="84"/>
      <c r="W895" s="84"/>
      <c r="X895" s="84"/>
      <c r="Y895" s="84"/>
      <c r="Z895" s="84"/>
    </row>
    <row r="896" spans="1:26" ht="15">
      <c r="A896" s="83"/>
      <c r="B896" s="84"/>
      <c r="C896" s="84"/>
      <c r="D896" s="84"/>
      <c r="E896" s="84"/>
      <c r="F896" s="84"/>
      <c r="G896" s="84"/>
      <c r="H896" s="84"/>
      <c r="I896" s="84"/>
      <c r="J896" s="84"/>
      <c r="K896" s="84"/>
      <c r="L896" s="84"/>
      <c r="M896" s="84"/>
      <c r="N896" s="84"/>
      <c r="O896" s="84"/>
      <c r="P896" s="84"/>
      <c r="Q896" s="84"/>
      <c r="R896" s="84"/>
      <c r="S896" s="84"/>
      <c r="T896" s="84"/>
      <c r="U896" s="84"/>
      <c r="V896" s="84"/>
      <c r="W896" s="84"/>
      <c r="X896" s="84"/>
      <c r="Y896" s="84"/>
      <c r="Z896" s="84"/>
    </row>
    <row r="897" spans="1:26" ht="15">
      <c r="A897" s="83"/>
      <c r="B897" s="84"/>
      <c r="C897" s="84"/>
      <c r="D897" s="84"/>
      <c r="E897" s="84"/>
      <c r="F897" s="84"/>
      <c r="G897" s="84"/>
      <c r="H897" s="84"/>
      <c r="I897" s="84"/>
      <c r="J897" s="84"/>
      <c r="K897" s="84"/>
      <c r="L897" s="84"/>
      <c r="M897" s="84"/>
      <c r="N897" s="84"/>
      <c r="O897" s="84"/>
      <c r="P897" s="84"/>
      <c r="Q897" s="84"/>
      <c r="R897" s="84"/>
      <c r="S897" s="84"/>
      <c r="T897" s="84"/>
      <c r="U897" s="84"/>
      <c r="V897" s="84"/>
      <c r="W897" s="84"/>
      <c r="X897" s="84"/>
      <c r="Y897" s="84"/>
      <c r="Z897" s="84"/>
    </row>
    <row r="898" spans="1:26" ht="15">
      <c r="A898" s="83"/>
      <c r="B898" s="84"/>
      <c r="C898" s="84"/>
      <c r="D898" s="84"/>
      <c r="E898" s="84"/>
      <c r="F898" s="84"/>
      <c r="G898" s="84"/>
      <c r="H898" s="84"/>
      <c r="I898" s="84"/>
      <c r="J898" s="84"/>
      <c r="K898" s="84"/>
      <c r="L898" s="84"/>
      <c r="M898" s="84"/>
      <c r="N898" s="84"/>
      <c r="O898" s="84"/>
      <c r="P898" s="84"/>
      <c r="Q898" s="84"/>
      <c r="R898" s="84"/>
      <c r="S898" s="84"/>
      <c r="T898" s="84"/>
      <c r="U898" s="84"/>
      <c r="V898" s="84"/>
      <c r="W898" s="84"/>
      <c r="X898" s="84"/>
      <c r="Y898" s="84"/>
      <c r="Z898" s="84"/>
    </row>
    <row r="899" spans="1:26" ht="15">
      <c r="A899" s="83"/>
      <c r="B899" s="84"/>
      <c r="C899" s="84"/>
      <c r="D899" s="84"/>
      <c r="E899" s="84"/>
      <c r="F899" s="84"/>
      <c r="G899" s="84"/>
      <c r="H899" s="84"/>
      <c r="I899" s="84"/>
      <c r="J899" s="84"/>
      <c r="K899" s="84"/>
      <c r="L899" s="84"/>
      <c r="M899" s="84"/>
      <c r="N899" s="84"/>
      <c r="O899" s="84"/>
      <c r="P899" s="84"/>
      <c r="Q899" s="84"/>
      <c r="R899" s="84"/>
      <c r="S899" s="84"/>
      <c r="T899" s="84"/>
      <c r="U899" s="84"/>
      <c r="V899" s="84"/>
      <c r="W899" s="84"/>
      <c r="X899" s="84"/>
      <c r="Y899" s="84"/>
      <c r="Z899" s="84"/>
    </row>
    <row r="900" spans="1:26" ht="15">
      <c r="A900" s="83"/>
      <c r="B900" s="84"/>
      <c r="C900" s="84"/>
      <c r="D900" s="84"/>
      <c r="E900" s="84"/>
      <c r="F900" s="84"/>
      <c r="G900" s="84"/>
      <c r="H900" s="84"/>
      <c r="I900" s="84"/>
      <c r="J900" s="84"/>
      <c r="K900" s="84"/>
      <c r="L900" s="84"/>
      <c r="M900" s="84"/>
      <c r="N900" s="84"/>
      <c r="O900" s="84"/>
      <c r="P900" s="84"/>
      <c r="Q900" s="84"/>
      <c r="R900" s="84"/>
      <c r="S900" s="84"/>
      <c r="T900" s="84"/>
      <c r="U900" s="84"/>
      <c r="V900" s="84"/>
      <c r="W900" s="84"/>
      <c r="X900" s="84"/>
      <c r="Y900" s="84"/>
      <c r="Z900" s="84"/>
    </row>
    <row r="901" spans="1:26" ht="15">
      <c r="A901" s="83"/>
      <c r="B901" s="84"/>
      <c r="C901" s="84"/>
      <c r="D901" s="84"/>
      <c r="E901" s="84"/>
      <c r="F901" s="84"/>
      <c r="G901" s="84"/>
      <c r="H901" s="84"/>
      <c r="I901" s="84"/>
      <c r="J901" s="84"/>
      <c r="K901" s="84"/>
      <c r="L901" s="84"/>
      <c r="M901" s="84"/>
      <c r="N901" s="84"/>
      <c r="O901" s="84"/>
      <c r="P901" s="84"/>
      <c r="Q901" s="84"/>
      <c r="R901" s="84"/>
      <c r="S901" s="84"/>
      <c r="T901" s="84"/>
      <c r="U901" s="84"/>
      <c r="V901" s="84"/>
      <c r="W901" s="84"/>
      <c r="X901" s="84"/>
      <c r="Y901" s="84"/>
      <c r="Z901" s="84"/>
    </row>
    <row r="902" spans="1:26" ht="15">
      <c r="A902" s="83"/>
      <c r="B902" s="84"/>
      <c r="C902" s="84"/>
      <c r="D902" s="84"/>
      <c r="E902" s="84"/>
      <c r="F902" s="84"/>
      <c r="G902" s="84"/>
      <c r="H902" s="84"/>
      <c r="I902" s="84"/>
      <c r="J902" s="84"/>
      <c r="K902" s="84"/>
      <c r="L902" s="84"/>
      <c r="M902" s="84"/>
      <c r="N902" s="84"/>
      <c r="O902" s="84"/>
      <c r="P902" s="84"/>
      <c r="Q902" s="84"/>
      <c r="R902" s="84"/>
      <c r="S902" s="84"/>
      <c r="T902" s="84"/>
      <c r="U902" s="84"/>
      <c r="V902" s="84"/>
      <c r="W902" s="84"/>
      <c r="X902" s="84"/>
      <c r="Y902" s="84"/>
      <c r="Z902" s="84"/>
    </row>
    <row r="903" spans="1:26" ht="15">
      <c r="A903" s="83"/>
      <c r="B903" s="84"/>
      <c r="C903" s="84"/>
      <c r="D903" s="84"/>
      <c r="E903" s="84"/>
      <c r="F903" s="84"/>
      <c r="G903" s="84"/>
      <c r="H903" s="84"/>
      <c r="I903" s="84"/>
      <c r="J903" s="84"/>
      <c r="K903" s="84"/>
      <c r="L903" s="84"/>
      <c r="M903" s="84"/>
      <c r="N903" s="84"/>
      <c r="O903" s="84"/>
      <c r="P903" s="84"/>
      <c r="Q903" s="84"/>
      <c r="R903" s="84"/>
      <c r="S903" s="84"/>
      <c r="T903" s="84"/>
      <c r="U903" s="84"/>
      <c r="V903" s="84"/>
      <c r="W903" s="84"/>
      <c r="X903" s="84"/>
      <c r="Y903" s="84"/>
      <c r="Z903" s="84"/>
    </row>
    <row r="904" spans="1:26" ht="15">
      <c r="A904" s="83"/>
      <c r="B904" s="84"/>
      <c r="C904" s="84"/>
      <c r="D904" s="84"/>
      <c r="E904" s="84"/>
      <c r="F904" s="84"/>
      <c r="G904" s="84"/>
      <c r="H904" s="84"/>
      <c r="I904" s="84"/>
      <c r="J904" s="84"/>
      <c r="K904" s="84"/>
      <c r="L904" s="84"/>
      <c r="M904" s="84"/>
      <c r="N904" s="84"/>
      <c r="O904" s="84"/>
      <c r="P904" s="84"/>
      <c r="Q904" s="84"/>
      <c r="R904" s="84"/>
      <c r="S904" s="84"/>
      <c r="T904" s="84"/>
      <c r="U904" s="84"/>
      <c r="V904" s="84"/>
      <c r="W904" s="84"/>
      <c r="X904" s="84"/>
      <c r="Y904" s="84"/>
      <c r="Z904" s="84"/>
    </row>
    <row r="905" spans="1:26" ht="15">
      <c r="A905" s="83"/>
      <c r="B905" s="84"/>
      <c r="C905" s="84"/>
      <c r="D905" s="84"/>
      <c r="E905" s="84"/>
      <c r="F905" s="84"/>
      <c r="G905" s="84"/>
      <c r="H905" s="84"/>
      <c r="I905" s="84"/>
      <c r="J905" s="84"/>
      <c r="K905" s="84"/>
      <c r="L905" s="84"/>
      <c r="M905" s="84"/>
      <c r="N905" s="84"/>
      <c r="O905" s="84"/>
      <c r="P905" s="84"/>
      <c r="Q905" s="84"/>
      <c r="R905" s="84"/>
      <c r="S905" s="84"/>
      <c r="T905" s="84"/>
      <c r="U905" s="84"/>
      <c r="V905" s="84"/>
      <c r="W905" s="84"/>
      <c r="X905" s="84"/>
      <c r="Y905" s="84"/>
      <c r="Z905" s="84"/>
    </row>
    <row r="906" spans="1:26" ht="15">
      <c r="A906" s="83"/>
      <c r="B906" s="84"/>
      <c r="C906" s="84"/>
      <c r="D906" s="84"/>
      <c r="E906" s="84"/>
      <c r="F906" s="84"/>
      <c r="G906" s="84"/>
      <c r="H906" s="84"/>
      <c r="I906" s="84"/>
      <c r="J906" s="84"/>
      <c r="K906" s="84"/>
      <c r="L906" s="84"/>
      <c r="M906" s="84"/>
      <c r="N906" s="84"/>
      <c r="O906" s="84"/>
      <c r="P906" s="84"/>
      <c r="Q906" s="84"/>
      <c r="R906" s="84"/>
      <c r="S906" s="84"/>
      <c r="T906" s="84"/>
      <c r="U906" s="84"/>
      <c r="V906" s="84"/>
      <c r="W906" s="84"/>
      <c r="X906" s="84"/>
      <c r="Y906" s="84"/>
      <c r="Z906" s="84"/>
    </row>
    <row r="907" spans="1:26" ht="15">
      <c r="A907" s="83"/>
      <c r="B907" s="84"/>
      <c r="C907" s="84"/>
      <c r="D907" s="84"/>
      <c r="E907" s="84"/>
      <c r="F907" s="84"/>
      <c r="G907" s="84"/>
      <c r="H907" s="84"/>
      <c r="I907" s="84"/>
      <c r="J907" s="84"/>
      <c r="K907" s="84"/>
      <c r="L907" s="84"/>
      <c r="M907" s="84"/>
      <c r="N907" s="84"/>
      <c r="O907" s="84"/>
      <c r="P907" s="84"/>
      <c r="Q907" s="84"/>
      <c r="R907" s="84"/>
      <c r="S907" s="84"/>
      <c r="T907" s="84"/>
      <c r="U907" s="84"/>
      <c r="V907" s="84"/>
      <c r="W907" s="84"/>
      <c r="X907" s="84"/>
      <c r="Y907" s="84"/>
      <c r="Z907" s="84"/>
    </row>
    <row r="908" spans="1:26" ht="15">
      <c r="A908" s="83"/>
      <c r="B908" s="84"/>
      <c r="C908" s="84"/>
      <c r="D908" s="84"/>
      <c r="E908" s="84"/>
      <c r="F908" s="84"/>
      <c r="G908" s="84"/>
      <c r="H908" s="84"/>
      <c r="I908" s="84"/>
      <c r="J908" s="84"/>
      <c r="K908" s="84"/>
      <c r="L908" s="84"/>
      <c r="M908" s="84"/>
      <c r="N908" s="84"/>
      <c r="O908" s="84"/>
      <c r="P908" s="84"/>
      <c r="Q908" s="84"/>
      <c r="R908" s="84"/>
      <c r="S908" s="84"/>
      <c r="T908" s="84"/>
      <c r="U908" s="84"/>
      <c r="V908" s="84"/>
      <c r="W908" s="84"/>
      <c r="X908" s="84"/>
      <c r="Y908" s="84"/>
      <c r="Z908" s="84"/>
    </row>
    <row r="909" spans="1:26" ht="15">
      <c r="A909" s="83"/>
      <c r="B909" s="84"/>
      <c r="C909" s="84"/>
      <c r="D909" s="84"/>
      <c r="E909" s="84"/>
      <c r="F909" s="84"/>
      <c r="G909" s="84"/>
      <c r="H909" s="84"/>
      <c r="I909" s="84"/>
      <c r="J909" s="84"/>
      <c r="K909" s="84"/>
      <c r="L909" s="84"/>
      <c r="M909" s="84"/>
      <c r="N909" s="84"/>
      <c r="O909" s="84"/>
      <c r="P909" s="84"/>
      <c r="Q909" s="84"/>
      <c r="R909" s="84"/>
      <c r="S909" s="84"/>
      <c r="T909" s="84"/>
      <c r="U909" s="84"/>
      <c r="V909" s="84"/>
      <c r="W909" s="84"/>
      <c r="X909" s="84"/>
      <c r="Y909" s="84"/>
      <c r="Z909" s="84"/>
    </row>
    <row r="910" spans="1:26" ht="15">
      <c r="A910" s="83"/>
      <c r="B910" s="84"/>
      <c r="C910" s="84"/>
      <c r="D910" s="84"/>
      <c r="E910" s="84"/>
      <c r="F910" s="84"/>
      <c r="G910" s="84"/>
      <c r="H910" s="84"/>
      <c r="I910" s="84"/>
      <c r="J910" s="84"/>
      <c r="K910" s="84"/>
      <c r="L910" s="84"/>
      <c r="M910" s="84"/>
      <c r="N910" s="84"/>
      <c r="O910" s="84"/>
      <c r="P910" s="84"/>
      <c r="Q910" s="84"/>
      <c r="R910" s="84"/>
      <c r="S910" s="84"/>
      <c r="T910" s="84"/>
      <c r="U910" s="84"/>
      <c r="V910" s="84"/>
      <c r="W910" s="84"/>
      <c r="X910" s="84"/>
      <c r="Y910" s="84"/>
      <c r="Z910" s="84"/>
    </row>
    <row r="911" spans="1:26" ht="15">
      <c r="A911" s="83"/>
      <c r="B911" s="84"/>
      <c r="C911" s="84"/>
      <c r="D911" s="84"/>
      <c r="E911" s="84"/>
      <c r="F911" s="84"/>
      <c r="G911" s="84"/>
      <c r="H911" s="84"/>
      <c r="I911" s="84"/>
      <c r="J911" s="84"/>
      <c r="K911" s="84"/>
      <c r="L911" s="84"/>
      <c r="M911" s="84"/>
      <c r="N911" s="84"/>
      <c r="O911" s="84"/>
      <c r="P911" s="84"/>
      <c r="Q911" s="84"/>
      <c r="R911" s="84"/>
      <c r="S911" s="84"/>
      <c r="T911" s="84"/>
      <c r="U911" s="84"/>
      <c r="V911" s="84"/>
      <c r="W911" s="84"/>
      <c r="X911" s="84"/>
      <c r="Y911" s="84"/>
      <c r="Z911" s="84"/>
    </row>
    <row r="912" spans="1:26" ht="15">
      <c r="A912" s="83"/>
      <c r="B912" s="84"/>
      <c r="C912" s="84"/>
      <c r="D912" s="84"/>
      <c r="E912" s="84"/>
      <c r="F912" s="84"/>
      <c r="G912" s="84"/>
      <c r="H912" s="84"/>
      <c r="I912" s="84"/>
      <c r="J912" s="84"/>
      <c r="K912" s="84"/>
      <c r="L912" s="84"/>
      <c r="M912" s="84"/>
      <c r="N912" s="84"/>
      <c r="O912" s="84"/>
      <c r="P912" s="84"/>
      <c r="Q912" s="84"/>
      <c r="R912" s="84"/>
      <c r="S912" s="84"/>
      <c r="T912" s="84"/>
      <c r="U912" s="84"/>
      <c r="V912" s="84"/>
      <c r="W912" s="84"/>
      <c r="X912" s="84"/>
      <c r="Y912" s="84"/>
      <c r="Z912" s="84"/>
    </row>
    <row r="913" spans="1:26" ht="15">
      <c r="A913" s="83"/>
      <c r="B913" s="84"/>
      <c r="C913" s="84"/>
      <c r="D913" s="84"/>
      <c r="E913" s="84"/>
      <c r="F913" s="84"/>
      <c r="G913" s="84"/>
      <c r="H913" s="84"/>
      <c r="I913" s="84"/>
      <c r="J913" s="84"/>
      <c r="K913" s="84"/>
      <c r="L913" s="84"/>
      <c r="M913" s="84"/>
      <c r="N913" s="84"/>
      <c r="O913" s="84"/>
      <c r="P913" s="84"/>
      <c r="Q913" s="84"/>
      <c r="R913" s="84"/>
      <c r="S913" s="84"/>
      <c r="T913" s="84"/>
      <c r="U913" s="84"/>
      <c r="V913" s="84"/>
      <c r="W913" s="84"/>
      <c r="X913" s="84"/>
      <c r="Y913" s="84"/>
      <c r="Z913" s="84"/>
    </row>
    <row r="914" spans="1:26" ht="15">
      <c r="A914" s="83"/>
      <c r="B914" s="84"/>
      <c r="C914" s="84"/>
      <c r="D914" s="84"/>
      <c r="E914" s="84"/>
      <c r="F914" s="84"/>
      <c r="G914" s="84"/>
      <c r="H914" s="84"/>
      <c r="I914" s="84"/>
      <c r="J914" s="84"/>
      <c r="K914" s="84"/>
      <c r="L914" s="84"/>
      <c r="M914" s="84"/>
      <c r="N914" s="84"/>
      <c r="O914" s="84"/>
      <c r="P914" s="84"/>
      <c r="Q914" s="84"/>
      <c r="R914" s="84"/>
      <c r="S914" s="84"/>
      <c r="T914" s="84"/>
      <c r="U914" s="84"/>
      <c r="V914" s="84"/>
      <c r="W914" s="84"/>
      <c r="X914" s="84"/>
      <c r="Y914" s="84"/>
      <c r="Z914" s="84"/>
    </row>
    <row r="915" spans="1:26" ht="15">
      <c r="A915" s="83"/>
      <c r="B915" s="84"/>
      <c r="C915" s="84"/>
      <c r="D915" s="84"/>
      <c r="E915" s="84"/>
      <c r="F915" s="84"/>
      <c r="G915" s="84"/>
      <c r="H915" s="84"/>
      <c r="I915" s="84"/>
      <c r="J915" s="84"/>
      <c r="K915" s="84"/>
      <c r="L915" s="84"/>
      <c r="M915" s="84"/>
      <c r="N915" s="84"/>
      <c r="O915" s="84"/>
      <c r="P915" s="84"/>
      <c r="Q915" s="84"/>
      <c r="R915" s="84"/>
      <c r="S915" s="84"/>
      <c r="T915" s="84"/>
      <c r="U915" s="84"/>
      <c r="V915" s="84"/>
      <c r="W915" s="84"/>
      <c r="X915" s="84"/>
      <c r="Y915" s="84"/>
      <c r="Z915" s="84"/>
    </row>
    <row r="916" spans="1:26" ht="15">
      <c r="A916" s="83"/>
      <c r="B916" s="84"/>
      <c r="C916" s="84"/>
      <c r="D916" s="84"/>
      <c r="E916" s="84"/>
      <c r="F916" s="84"/>
      <c r="G916" s="84"/>
      <c r="H916" s="84"/>
      <c r="I916" s="84"/>
      <c r="J916" s="84"/>
      <c r="K916" s="84"/>
      <c r="L916" s="84"/>
      <c r="M916" s="84"/>
      <c r="N916" s="84"/>
      <c r="O916" s="84"/>
      <c r="P916" s="84"/>
      <c r="Q916" s="84"/>
      <c r="R916" s="84"/>
      <c r="S916" s="84"/>
      <c r="T916" s="84"/>
      <c r="U916" s="84"/>
      <c r="V916" s="84"/>
      <c r="W916" s="84"/>
      <c r="X916" s="84"/>
      <c r="Y916" s="84"/>
      <c r="Z916" s="84"/>
    </row>
    <row r="917" spans="1:26" ht="15">
      <c r="A917" s="83"/>
      <c r="B917" s="84"/>
      <c r="C917" s="84"/>
      <c r="D917" s="84"/>
      <c r="E917" s="84"/>
      <c r="F917" s="84"/>
      <c r="G917" s="84"/>
      <c r="H917" s="84"/>
      <c r="I917" s="84"/>
      <c r="J917" s="84"/>
      <c r="K917" s="84"/>
      <c r="L917" s="84"/>
      <c r="M917" s="84"/>
      <c r="N917" s="84"/>
      <c r="O917" s="84"/>
      <c r="P917" s="84"/>
      <c r="Q917" s="84"/>
      <c r="R917" s="84"/>
      <c r="S917" s="84"/>
      <c r="T917" s="84"/>
      <c r="U917" s="84"/>
      <c r="V917" s="84"/>
      <c r="W917" s="84"/>
      <c r="X917" s="84"/>
      <c r="Y917" s="84"/>
      <c r="Z917" s="84"/>
    </row>
    <row r="918" spans="1:26" ht="15">
      <c r="A918" s="83"/>
      <c r="B918" s="84"/>
      <c r="C918" s="84"/>
      <c r="D918" s="84"/>
      <c r="E918" s="84"/>
      <c r="F918" s="84"/>
      <c r="G918" s="84"/>
      <c r="H918" s="84"/>
      <c r="I918" s="84"/>
      <c r="J918" s="84"/>
      <c r="K918" s="84"/>
      <c r="L918" s="84"/>
      <c r="M918" s="84"/>
      <c r="N918" s="84"/>
      <c r="O918" s="84"/>
      <c r="P918" s="84"/>
      <c r="Q918" s="84"/>
      <c r="R918" s="84"/>
      <c r="S918" s="84"/>
      <c r="T918" s="84"/>
      <c r="U918" s="84"/>
      <c r="V918" s="84"/>
      <c r="W918" s="84"/>
      <c r="X918" s="84"/>
      <c r="Y918" s="84"/>
      <c r="Z918" s="84"/>
    </row>
    <row r="919" spans="1:26" ht="15">
      <c r="A919" s="83"/>
      <c r="B919" s="84"/>
      <c r="C919" s="84"/>
      <c r="D919" s="84"/>
      <c r="E919" s="84"/>
      <c r="F919" s="84"/>
      <c r="G919" s="84"/>
      <c r="H919" s="84"/>
      <c r="I919" s="84"/>
      <c r="J919" s="84"/>
      <c r="K919" s="84"/>
      <c r="L919" s="84"/>
      <c r="M919" s="84"/>
      <c r="N919" s="84"/>
      <c r="O919" s="84"/>
      <c r="P919" s="84"/>
      <c r="Q919" s="84"/>
      <c r="R919" s="84"/>
      <c r="S919" s="84"/>
      <c r="T919" s="84"/>
      <c r="U919" s="84"/>
      <c r="V919" s="84"/>
      <c r="W919" s="84"/>
      <c r="X919" s="84"/>
      <c r="Y919" s="84"/>
      <c r="Z919" s="84"/>
    </row>
    <row r="920" spans="1:26" ht="15">
      <c r="A920" s="83"/>
      <c r="B920" s="84"/>
      <c r="C920" s="84"/>
      <c r="D920" s="84"/>
      <c r="E920" s="84"/>
      <c r="F920" s="84"/>
      <c r="G920" s="84"/>
      <c r="H920" s="84"/>
      <c r="I920" s="84"/>
      <c r="J920" s="84"/>
      <c r="K920" s="84"/>
      <c r="L920" s="84"/>
      <c r="M920" s="84"/>
      <c r="N920" s="84"/>
      <c r="O920" s="84"/>
      <c r="P920" s="84"/>
      <c r="Q920" s="84"/>
      <c r="R920" s="84"/>
      <c r="S920" s="84"/>
      <c r="T920" s="84"/>
      <c r="U920" s="84"/>
      <c r="V920" s="84"/>
      <c r="W920" s="84"/>
      <c r="X920" s="84"/>
      <c r="Y920" s="84"/>
      <c r="Z920" s="84"/>
    </row>
    <row r="921" spans="1:26" ht="15">
      <c r="A921" s="83"/>
      <c r="B921" s="84"/>
      <c r="C921" s="84"/>
      <c r="D921" s="84"/>
      <c r="E921" s="84"/>
      <c r="F921" s="84"/>
      <c r="G921" s="84"/>
      <c r="H921" s="84"/>
      <c r="I921" s="84"/>
      <c r="J921" s="84"/>
      <c r="K921" s="84"/>
      <c r="L921" s="84"/>
      <c r="M921" s="84"/>
      <c r="N921" s="84"/>
      <c r="O921" s="84"/>
      <c r="P921" s="84"/>
      <c r="Q921" s="84"/>
      <c r="R921" s="84"/>
      <c r="S921" s="84"/>
      <c r="T921" s="84"/>
      <c r="U921" s="84"/>
      <c r="V921" s="84"/>
      <c r="W921" s="84"/>
      <c r="X921" s="84"/>
      <c r="Y921" s="84"/>
      <c r="Z921" s="84"/>
    </row>
    <row r="922" spans="1:26" ht="15">
      <c r="A922" s="83"/>
      <c r="B922" s="84"/>
      <c r="C922" s="84"/>
      <c r="D922" s="84"/>
      <c r="E922" s="84"/>
      <c r="F922" s="84"/>
      <c r="G922" s="84"/>
      <c r="H922" s="84"/>
      <c r="I922" s="84"/>
      <c r="J922" s="84"/>
      <c r="K922" s="84"/>
      <c r="L922" s="84"/>
      <c r="M922" s="84"/>
      <c r="N922" s="84"/>
      <c r="O922" s="84"/>
      <c r="P922" s="84"/>
      <c r="Q922" s="84"/>
      <c r="R922" s="84"/>
      <c r="S922" s="84"/>
      <c r="T922" s="84"/>
      <c r="U922" s="84"/>
      <c r="V922" s="84"/>
      <c r="W922" s="84"/>
      <c r="X922" s="84"/>
      <c r="Y922" s="84"/>
      <c r="Z922" s="84"/>
    </row>
    <row r="923" spans="1:26" ht="15">
      <c r="A923" s="83"/>
      <c r="B923" s="84"/>
      <c r="C923" s="84"/>
      <c r="D923" s="84"/>
      <c r="E923" s="84"/>
      <c r="F923" s="84"/>
      <c r="G923" s="84"/>
      <c r="H923" s="84"/>
      <c r="I923" s="84"/>
      <c r="J923" s="84"/>
      <c r="K923" s="84"/>
      <c r="L923" s="84"/>
      <c r="M923" s="84"/>
      <c r="N923" s="84"/>
      <c r="O923" s="84"/>
      <c r="P923" s="84"/>
      <c r="Q923" s="84"/>
      <c r="R923" s="84"/>
      <c r="S923" s="84"/>
      <c r="T923" s="84"/>
      <c r="U923" s="84"/>
      <c r="V923" s="84"/>
      <c r="W923" s="84"/>
      <c r="X923" s="84"/>
      <c r="Y923" s="84"/>
      <c r="Z923" s="84"/>
    </row>
    <row r="924" spans="1:26" ht="15">
      <c r="A924" s="83"/>
      <c r="B924" s="84"/>
      <c r="C924" s="84"/>
      <c r="D924" s="84"/>
      <c r="E924" s="84"/>
      <c r="F924" s="84"/>
      <c r="G924" s="84"/>
      <c r="H924" s="84"/>
      <c r="I924" s="84"/>
      <c r="J924" s="84"/>
      <c r="K924" s="84"/>
      <c r="L924" s="84"/>
      <c r="M924" s="84"/>
      <c r="N924" s="84"/>
      <c r="O924" s="84"/>
      <c r="P924" s="84"/>
      <c r="Q924" s="84"/>
      <c r="R924" s="84"/>
      <c r="S924" s="84"/>
      <c r="T924" s="84"/>
      <c r="U924" s="84"/>
      <c r="V924" s="84"/>
      <c r="W924" s="84"/>
      <c r="X924" s="84"/>
      <c r="Y924" s="84"/>
      <c r="Z924" s="84"/>
    </row>
    <row r="925" spans="1:26" ht="15">
      <c r="A925" s="83"/>
      <c r="B925" s="84"/>
      <c r="C925" s="84"/>
      <c r="D925" s="84"/>
      <c r="E925" s="84"/>
      <c r="F925" s="84"/>
      <c r="G925" s="84"/>
      <c r="H925" s="84"/>
      <c r="I925" s="84"/>
      <c r="J925" s="84"/>
      <c r="K925" s="84"/>
      <c r="L925" s="84"/>
      <c r="M925" s="84"/>
      <c r="N925" s="84"/>
      <c r="O925" s="84"/>
      <c r="P925" s="84"/>
      <c r="Q925" s="84"/>
      <c r="R925" s="84"/>
      <c r="S925" s="84"/>
      <c r="T925" s="84"/>
      <c r="U925" s="84"/>
      <c r="V925" s="84"/>
      <c r="W925" s="84"/>
      <c r="X925" s="84"/>
      <c r="Y925" s="84"/>
      <c r="Z925" s="84"/>
    </row>
    <row r="926" spans="1:26" ht="15">
      <c r="A926" s="83"/>
      <c r="B926" s="84"/>
      <c r="C926" s="84"/>
      <c r="D926" s="84"/>
      <c r="E926" s="84"/>
      <c r="F926" s="84"/>
      <c r="G926" s="84"/>
      <c r="H926" s="84"/>
      <c r="I926" s="84"/>
      <c r="J926" s="84"/>
      <c r="K926" s="84"/>
      <c r="L926" s="84"/>
      <c r="M926" s="84"/>
      <c r="N926" s="84"/>
      <c r="O926" s="84"/>
      <c r="P926" s="84"/>
      <c r="Q926" s="84"/>
      <c r="R926" s="84"/>
      <c r="S926" s="84"/>
      <c r="T926" s="84"/>
      <c r="U926" s="84"/>
      <c r="V926" s="84"/>
      <c r="W926" s="84"/>
      <c r="X926" s="84"/>
      <c r="Y926" s="84"/>
      <c r="Z926" s="84"/>
    </row>
    <row r="927" spans="1:26" ht="15">
      <c r="A927" s="83"/>
      <c r="B927" s="84"/>
      <c r="C927" s="84"/>
      <c r="D927" s="84"/>
      <c r="E927" s="84"/>
      <c r="F927" s="84"/>
      <c r="G927" s="84"/>
      <c r="H927" s="84"/>
      <c r="I927" s="84"/>
      <c r="J927" s="84"/>
      <c r="K927" s="84"/>
      <c r="L927" s="84"/>
      <c r="M927" s="84"/>
      <c r="N927" s="84"/>
      <c r="O927" s="84"/>
      <c r="P927" s="84"/>
      <c r="Q927" s="84"/>
      <c r="R927" s="84"/>
      <c r="S927" s="84"/>
      <c r="T927" s="84"/>
      <c r="U927" s="84"/>
      <c r="V927" s="84"/>
      <c r="W927" s="84"/>
      <c r="X927" s="84"/>
      <c r="Y927" s="84"/>
      <c r="Z927" s="84"/>
    </row>
    <row r="928" spans="1:26" ht="15">
      <c r="A928" s="83"/>
      <c r="B928" s="84"/>
      <c r="C928" s="84"/>
      <c r="D928" s="84"/>
      <c r="E928" s="84"/>
      <c r="F928" s="84"/>
      <c r="G928" s="84"/>
      <c r="H928" s="84"/>
      <c r="I928" s="84"/>
      <c r="J928" s="84"/>
      <c r="K928" s="84"/>
      <c r="L928" s="84"/>
      <c r="M928" s="84"/>
      <c r="N928" s="84"/>
      <c r="O928" s="84"/>
      <c r="P928" s="84"/>
      <c r="Q928" s="84"/>
      <c r="R928" s="84"/>
      <c r="S928" s="84"/>
      <c r="T928" s="84"/>
      <c r="U928" s="84"/>
      <c r="V928" s="84"/>
      <c r="W928" s="84"/>
      <c r="X928" s="84"/>
      <c r="Y928" s="84"/>
      <c r="Z928" s="84"/>
    </row>
    <row r="929" spans="1:26" ht="15">
      <c r="A929" s="83"/>
      <c r="B929" s="84"/>
      <c r="C929" s="84"/>
      <c r="D929" s="84"/>
      <c r="E929" s="84"/>
      <c r="F929" s="84"/>
      <c r="G929" s="84"/>
      <c r="H929" s="84"/>
      <c r="I929" s="84"/>
      <c r="J929" s="84"/>
      <c r="K929" s="84"/>
      <c r="L929" s="84"/>
      <c r="M929" s="84"/>
      <c r="N929" s="84"/>
      <c r="O929" s="84"/>
      <c r="P929" s="84"/>
      <c r="Q929" s="84"/>
      <c r="R929" s="84"/>
      <c r="S929" s="84"/>
      <c r="T929" s="84"/>
      <c r="U929" s="84"/>
      <c r="V929" s="84"/>
      <c r="W929" s="84"/>
      <c r="X929" s="84"/>
      <c r="Y929" s="84"/>
      <c r="Z929" s="84"/>
    </row>
    <row r="930" spans="1:26" ht="15">
      <c r="A930" s="83"/>
      <c r="B930" s="84"/>
      <c r="C930" s="84"/>
      <c r="D930" s="84"/>
      <c r="E930" s="84"/>
      <c r="F930" s="84"/>
      <c r="G930" s="84"/>
      <c r="H930" s="84"/>
      <c r="I930" s="84"/>
      <c r="J930" s="84"/>
      <c r="K930" s="84"/>
      <c r="L930" s="84"/>
      <c r="M930" s="84"/>
      <c r="N930" s="84"/>
      <c r="O930" s="84"/>
      <c r="P930" s="84"/>
      <c r="Q930" s="84"/>
      <c r="R930" s="84"/>
      <c r="S930" s="84"/>
      <c r="T930" s="84"/>
      <c r="U930" s="84"/>
      <c r="V930" s="84"/>
      <c r="W930" s="84"/>
      <c r="X930" s="84"/>
      <c r="Y930" s="84"/>
      <c r="Z930" s="84"/>
    </row>
    <row r="931" spans="1:26" ht="15">
      <c r="A931" s="83"/>
      <c r="B931" s="84"/>
      <c r="C931" s="84"/>
      <c r="D931" s="84"/>
      <c r="E931" s="84"/>
      <c r="F931" s="84"/>
      <c r="G931" s="84"/>
      <c r="H931" s="84"/>
      <c r="I931" s="84"/>
      <c r="J931" s="84"/>
      <c r="K931" s="84"/>
      <c r="L931" s="84"/>
      <c r="M931" s="84"/>
      <c r="N931" s="84"/>
      <c r="O931" s="84"/>
      <c r="P931" s="84"/>
      <c r="Q931" s="84"/>
      <c r="R931" s="84"/>
      <c r="S931" s="84"/>
      <c r="T931" s="84"/>
      <c r="U931" s="84"/>
      <c r="V931" s="84"/>
      <c r="W931" s="84"/>
      <c r="X931" s="84"/>
      <c r="Y931" s="84"/>
      <c r="Z931" s="84"/>
    </row>
    <row r="932" spans="1:26" ht="15">
      <c r="A932" s="83"/>
      <c r="B932" s="84"/>
      <c r="C932" s="84"/>
      <c r="D932" s="84"/>
      <c r="E932" s="84"/>
      <c r="F932" s="84"/>
      <c r="G932" s="84"/>
      <c r="H932" s="84"/>
      <c r="I932" s="84"/>
      <c r="J932" s="84"/>
      <c r="K932" s="84"/>
      <c r="L932" s="84"/>
      <c r="M932" s="84"/>
      <c r="N932" s="84"/>
      <c r="O932" s="84"/>
      <c r="P932" s="84"/>
      <c r="Q932" s="84"/>
      <c r="R932" s="84"/>
      <c r="S932" s="84"/>
      <c r="T932" s="84"/>
      <c r="U932" s="84"/>
      <c r="V932" s="84"/>
      <c r="W932" s="84"/>
      <c r="X932" s="84"/>
      <c r="Y932" s="84"/>
      <c r="Z932" s="84"/>
    </row>
    <row r="933" spans="1:26" ht="15">
      <c r="A933" s="83"/>
      <c r="B933" s="84"/>
      <c r="C933" s="84"/>
      <c r="D933" s="84"/>
      <c r="E933" s="84"/>
      <c r="F933" s="84"/>
      <c r="G933" s="84"/>
      <c r="H933" s="84"/>
      <c r="I933" s="84"/>
      <c r="J933" s="84"/>
      <c r="K933" s="84"/>
      <c r="L933" s="84"/>
      <c r="M933" s="84"/>
      <c r="N933" s="84"/>
      <c r="O933" s="84"/>
      <c r="P933" s="84"/>
      <c r="Q933" s="84"/>
      <c r="R933" s="84"/>
      <c r="S933" s="84"/>
      <c r="T933" s="84"/>
      <c r="U933" s="84"/>
      <c r="V933" s="84"/>
      <c r="W933" s="84"/>
      <c r="X933" s="84"/>
      <c r="Y933" s="84"/>
      <c r="Z933" s="84"/>
    </row>
    <row r="934" spans="1:26" ht="15">
      <c r="A934" s="83"/>
      <c r="B934" s="84"/>
      <c r="C934" s="84"/>
      <c r="D934" s="84"/>
      <c r="E934" s="84"/>
      <c r="F934" s="84"/>
      <c r="G934" s="84"/>
      <c r="H934" s="84"/>
      <c r="I934" s="84"/>
      <c r="J934" s="84"/>
      <c r="K934" s="84"/>
      <c r="L934" s="84"/>
      <c r="M934" s="84"/>
      <c r="N934" s="84"/>
      <c r="O934" s="84"/>
      <c r="P934" s="84"/>
      <c r="Q934" s="84"/>
      <c r="R934" s="84"/>
      <c r="S934" s="84"/>
      <c r="T934" s="84"/>
      <c r="U934" s="84"/>
      <c r="V934" s="84"/>
      <c r="W934" s="84"/>
      <c r="X934" s="84"/>
      <c r="Y934" s="84"/>
      <c r="Z934" s="84"/>
    </row>
    <row r="935" spans="1:26" ht="15">
      <c r="A935" s="83"/>
      <c r="B935" s="84"/>
      <c r="C935" s="84"/>
      <c r="D935" s="84"/>
      <c r="E935" s="84"/>
      <c r="F935" s="84"/>
      <c r="G935" s="84"/>
      <c r="H935" s="84"/>
      <c r="I935" s="84"/>
      <c r="J935" s="84"/>
      <c r="K935" s="84"/>
      <c r="L935" s="84"/>
      <c r="M935" s="84"/>
      <c r="N935" s="84"/>
      <c r="O935" s="84"/>
      <c r="P935" s="84"/>
      <c r="Q935" s="84"/>
      <c r="R935" s="84"/>
      <c r="S935" s="84"/>
      <c r="T935" s="84"/>
      <c r="U935" s="84"/>
      <c r="V935" s="84"/>
      <c r="W935" s="84"/>
      <c r="X935" s="84"/>
      <c r="Y935" s="84"/>
      <c r="Z935" s="84"/>
    </row>
    <row r="936" spans="1:26" ht="15">
      <c r="A936" s="83"/>
      <c r="B936" s="84"/>
      <c r="C936" s="84"/>
      <c r="D936" s="84"/>
      <c r="E936" s="84"/>
      <c r="F936" s="84"/>
      <c r="G936" s="84"/>
      <c r="H936" s="84"/>
      <c r="I936" s="84"/>
      <c r="J936" s="84"/>
      <c r="K936" s="84"/>
      <c r="L936" s="84"/>
      <c r="M936" s="84"/>
      <c r="N936" s="84"/>
      <c r="O936" s="84"/>
      <c r="P936" s="84"/>
      <c r="Q936" s="84"/>
      <c r="R936" s="84"/>
      <c r="S936" s="84"/>
      <c r="T936" s="84"/>
      <c r="U936" s="84"/>
      <c r="V936" s="84"/>
      <c r="W936" s="84"/>
      <c r="X936" s="84"/>
      <c r="Y936" s="84"/>
      <c r="Z936" s="84"/>
    </row>
    <row r="937" spans="1:26" ht="15">
      <c r="A937" s="83"/>
      <c r="B937" s="84"/>
      <c r="C937" s="84"/>
      <c r="D937" s="84"/>
      <c r="E937" s="84"/>
      <c r="F937" s="84"/>
      <c r="G937" s="84"/>
      <c r="H937" s="84"/>
      <c r="I937" s="84"/>
      <c r="J937" s="84"/>
      <c r="K937" s="84"/>
      <c r="L937" s="84"/>
      <c r="M937" s="84"/>
      <c r="N937" s="84"/>
      <c r="O937" s="84"/>
      <c r="P937" s="84"/>
      <c r="Q937" s="84"/>
      <c r="R937" s="84"/>
      <c r="S937" s="84"/>
      <c r="T937" s="84"/>
      <c r="U937" s="84"/>
      <c r="V937" s="84"/>
      <c r="W937" s="84"/>
      <c r="X937" s="84"/>
      <c r="Y937" s="84"/>
      <c r="Z937" s="84"/>
    </row>
    <row r="938" spans="1:26" ht="15">
      <c r="A938" s="83"/>
      <c r="B938" s="84"/>
      <c r="C938" s="84"/>
      <c r="D938" s="84"/>
      <c r="E938" s="84"/>
      <c r="F938" s="84"/>
      <c r="G938" s="84"/>
      <c r="H938" s="84"/>
      <c r="I938" s="84"/>
      <c r="J938" s="84"/>
      <c r="K938" s="84"/>
      <c r="L938" s="84"/>
      <c r="M938" s="84"/>
      <c r="N938" s="84"/>
      <c r="O938" s="84"/>
      <c r="P938" s="84"/>
      <c r="Q938" s="84"/>
      <c r="R938" s="84"/>
      <c r="S938" s="84"/>
      <c r="T938" s="84"/>
      <c r="U938" s="84"/>
      <c r="V938" s="84"/>
      <c r="W938" s="84"/>
      <c r="X938" s="84"/>
      <c r="Y938" s="84"/>
      <c r="Z938" s="84"/>
    </row>
    <row r="939" spans="1:26" ht="15">
      <c r="A939" s="83"/>
      <c r="B939" s="84"/>
      <c r="C939" s="84"/>
      <c r="D939" s="84"/>
      <c r="E939" s="84"/>
      <c r="F939" s="84"/>
      <c r="G939" s="84"/>
      <c r="H939" s="84"/>
      <c r="I939" s="84"/>
      <c r="J939" s="84"/>
      <c r="K939" s="84"/>
      <c r="L939" s="84"/>
      <c r="M939" s="84"/>
      <c r="N939" s="84"/>
      <c r="O939" s="84"/>
      <c r="P939" s="84"/>
      <c r="Q939" s="84"/>
      <c r="R939" s="84"/>
      <c r="S939" s="84"/>
      <c r="T939" s="84"/>
      <c r="U939" s="84"/>
      <c r="V939" s="84"/>
      <c r="W939" s="84"/>
      <c r="X939" s="84"/>
      <c r="Y939" s="84"/>
      <c r="Z939" s="84"/>
    </row>
    <row r="940" spans="1:26" ht="15">
      <c r="A940" s="83"/>
      <c r="B940" s="84"/>
      <c r="C940" s="84"/>
      <c r="D940" s="84"/>
      <c r="E940" s="84"/>
      <c r="F940" s="84"/>
      <c r="G940" s="84"/>
      <c r="H940" s="84"/>
      <c r="I940" s="84"/>
      <c r="J940" s="84"/>
      <c r="K940" s="84"/>
      <c r="L940" s="84"/>
      <c r="M940" s="84"/>
      <c r="N940" s="84"/>
      <c r="O940" s="84"/>
      <c r="P940" s="84"/>
      <c r="Q940" s="84"/>
      <c r="R940" s="84"/>
      <c r="S940" s="84"/>
      <c r="T940" s="84"/>
      <c r="U940" s="84"/>
      <c r="V940" s="84"/>
      <c r="W940" s="84"/>
      <c r="X940" s="84"/>
      <c r="Y940" s="84"/>
      <c r="Z940" s="84"/>
    </row>
    <row r="941" spans="1:26" ht="15">
      <c r="A941" s="83"/>
      <c r="B941" s="84"/>
      <c r="C941" s="84"/>
      <c r="D941" s="84"/>
      <c r="E941" s="84"/>
      <c r="F941" s="84"/>
      <c r="G941" s="84"/>
      <c r="H941" s="84"/>
      <c r="I941" s="84"/>
      <c r="J941" s="84"/>
      <c r="K941" s="84"/>
      <c r="L941" s="84"/>
      <c r="M941" s="84"/>
      <c r="N941" s="84"/>
      <c r="O941" s="84"/>
      <c r="P941" s="84"/>
      <c r="Q941" s="84"/>
      <c r="R941" s="84"/>
      <c r="S941" s="84"/>
      <c r="T941" s="84"/>
      <c r="U941" s="84"/>
      <c r="V941" s="84"/>
      <c r="W941" s="84"/>
      <c r="X941" s="84"/>
      <c r="Y941" s="84"/>
      <c r="Z941" s="84"/>
    </row>
    <row r="942" spans="1:26" ht="15">
      <c r="A942" s="83"/>
      <c r="B942" s="84"/>
      <c r="C942" s="84"/>
      <c r="D942" s="84"/>
      <c r="E942" s="84"/>
      <c r="F942" s="84"/>
      <c r="G942" s="84"/>
      <c r="H942" s="84"/>
      <c r="I942" s="84"/>
      <c r="J942" s="84"/>
      <c r="K942" s="84"/>
      <c r="L942" s="84"/>
      <c r="M942" s="84"/>
      <c r="N942" s="84"/>
      <c r="O942" s="84"/>
      <c r="P942" s="84"/>
      <c r="Q942" s="84"/>
      <c r="R942" s="84"/>
      <c r="S942" s="84"/>
      <c r="T942" s="84"/>
      <c r="U942" s="84"/>
      <c r="V942" s="84"/>
      <c r="W942" s="84"/>
      <c r="X942" s="84"/>
      <c r="Y942" s="84"/>
      <c r="Z942" s="84"/>
    </row>
    <row r="943" spans="1:26" ht="15">
      <c r="A943" s="83"/>
      <c r="B943" s="84"/>
      <c r="C943" s="84"/>
      <c r="D943" s="84"/>
      <c r="E943" s="84"/>
      <c r="F943" s="84"/>
      <c r="G943" s="84"/>
      <c r="H943" s="84"/>
      <c r="I943" s="84"/>
      <c r="J943" s="84"/>
      <c r="K943" s="84"/>
      <c r="L943" s="84"/>
      <c r="M943" s="84"/>
      <c r="N943" s="84"/>
      <c r="O943" s="84"/>
      <c r="P943" s="84"/>
      <c r="Q943" s="84"/>
      <c r="R943" s="84"/>
      <c r="S943" s="84"/>
      <c r="T943" s="84"/>
      <c r="U943" s="84"/>
      <c r="V943" s="84"/>
      <c r="W943" s="84"/>
      <c r="X943" s="84"/>
      <c r="Y943" s="84"/>
      <c r="Z943" s="84"/>
    </row>
    <row r="944" spans="1:26" ht="15">
      <c r="A944" s="83"/>
      <c r="B944" s="84"/>
      <c r="C944" s="84"/>
      <c r="D944" s="84"/>
      <c r="E944" s="84"/>
      <c r="F944" s="84"/>
      <c r="G944" s="84"/>
      <c r="H944" s="84"/>
      <c r="I944" s="84"/>
      <c r="J944" s="84"/>
      <c r="K944" s="84"/>
      <c r="L944" s="84"/>
      <c r="M944" s="84"/>
      <c r="N944" s="84"/>
      <c r="O944" s="84"/>
      <c r="P944" s="84"/>
      <c r="Q944" s="84"/>
      <c r="R944" s="84"/>
      <c r="S944" s="84"/>
      <c r="T944" s="84"/>
      <c r="U944" s="84"/>
      <c r="V944" s="84"/>
      <c r="W944" s="84"/>
      <c r="X944" s="84"/>
      <c r="Y944" s="84"/>
      <c r="Z944" s="84"/>
    </row>
    <row r="945" spans="1:26" ht="15">
      <c r="A945" s="83"/>
      <c r="B945" s="84"/>
      <c r="C945" s="84"/>
      <c r="D945" s="84"/>
      <c r="E945" s="84"/>
      <c r="F945" s="84"/>
      <c r="G945" s="84"/>
      <c r="H945" s="84"/>
      <c r="I945" s="84"/>
      <c r="J945" s="84"/>
      <c r="K945" s="84"/>
      <c r="L945" s="84"/>
      <c r="M945" s="84"/>
      <c r="N945" s="84"/>
      <c r="O945" s="84"/>
      <c r="P945" s="84"/>
      <c r="Q945" s="84"/>
      <c r="R945" s="84"/>
      <c r="S945" s="84"/>
      <c r="T945" s="84"/>
      <c r="U945" s="84"/>
      <c r="V945" s="84"/>
      <c r="W945" s="84"/>
      <c r="X945" s="84"/>
      <c r="Y945" s="84"/>
      <c r="Z945" s="84"/>
    </row>
    <row r="946" spans="1:26" ht="15">
      <c r="A946" s="83"/>
      <c r="B946" s="84"/>
      <c r="C946" s="84"/>
      <c r="D946" s="84"/>
      <c r="E946" s="84"/>
      <c r="F946" s="84"/>
      <c r="G946" s="84"/>
      <c r="H946" s="84"/>
      <c r="I946" s="84"/>
      <c r="J946" s="84"/>
      <c r="K946" s="84"/>
      <c r="L946" s="84"/>
      <c r="M946" s="84"/>
      <c r="N946" s="84"/>
      <c r="O946" s="84"/>
      <c r="P946" s="84"/>
      <c r="Q946" s="84"/>
      <c r="R946" s="84"/>
      <c r="S946" s="84"/>
      <c r="T946" s="84"/>
      <c r="U946" s="84"/>
      <c r="V946" s="84"/>
      <c r="W946" s="84"/>
      <c r="X946" s="84"/>
      <c r="Y946" s="84"/>
      <c r="Z946" s="84"/>
    </row>
    <row r="947" spans="1:26" ht="15">
      <c r="A947" s="83"/>
      <c r="B947" s="84"/>
      <c r="C947" s="84"/>
      <c r="D947" s="84"/>
      <c r="E947" s="84"/>
      <c r="F947" s="84"/>
      <c r="G947" s="84"/>
      <c r="H947" s="84"/>
      <c r="I947" s="84"/>
      <c r="J947" s="84"/>
      <c r="K947" s="84"/>
      <c r="L947" s="84"/>
      <c r="M947" s="84"/>
      <c r="N947" s="84"/>
      <c r="O947" s="84"/>
      <c r="P947" s="84"/>
      <c r="Q947" s="84"/>
      <c r="R947" s="84"/>
      <c r="S947" s="84"/>
      <c r="T947" s="84"/>
      <c r="U947" s="84"/>
      <c r="V947" s="84"/>
      <c r="W947" s="84"/>
      <c r="X947" s="84"/>
      <c r="Y947" s="84"/>
      <c r="Z947" s="84"/>
    </row>
    <row r="948" spans="1:26" ht="15">
      <c r="A948" s="83"/>
      <c r="B948" s="84"/>
      <c r="C948" s="84"/>
      <c r="D948" s="84"/>
      <c r="E948" s="84"/>
      <c r="F948" s="84"/>
      <c r="G948" s="84"/>
      <c r="H948" s="84"/>
      <c r="I948" s="84"/>
      <c r="J948" s="84"/>
      <c r="K948" s="84"/>
      <c r="L948" s="84"/>
      <c r="M948" s="84"/>
      <c r="N948" s="84"/>
      <c r="O948" s="84"/>
      <c r="P948" s="84"/>
      <c r="Q948" s="84"/>
      <c r="R948" s="84"/>
      <c r="S948" s="84"/>
      <c r="T948" s="84"/>
      <c r="U948" s="84"/>
      <c r="V948" s="84"/>
      <c r="W948" s="84"/>
      <c r="X948" s="84"/>
      <c r="Y948" s="84"/>
      <c r="Z948" s="84"/>
    </row>
    <row r="949" spans="1:26" ht="15">
      <c r="A949" s="83"/>
      <c r="B949" s="84"/>
      <c r="C949" s="84"/>
      <c r="D949" s="84"/>
      <c r="E949" s="84"/>
      <c r="F949" s="84"/>
      <c r="G949" s="84"/>
      <c r="H949" s="84"/>
      <c r="I949" s="84"/>
      <c r="J949" s="84"/>
      <c r="K949" s="84"/>
      <c r="L949" s="84"/>
      <c r="M949" s="84"/>
      <c r="N949" s="84"/>
      <c r="O949" s="84"/>
      <c r="P949" s="84"/>
      <c r="Q949" s="84"/>
      <c r="R949" s="84"/>
      <c r="S949" s="84"/>
      <c r="T949" s="84"/>
      <c r="U949" s="84"/>
      <c r="V949" s="84"/>
      <c r="W949" s="84"/>
      <c r="X949" s="84"/>
      <c r="Y949" s="84"/>
      <c r="Z949" s="84"/>
    </row>
    <row r="950" spans="1:26" ht="15">
      <c r="A950" s="83"/>
      <c r="B950" s="84"/>
      <c r="C950" s="84"/>
      <c r="D950" s="84"/>
      <c r="E950" s="84"/>
      <c r="F950" s="84"/>
      <c r="G950" s="84"/>
      <c r="H950" s="84"/>
      <c r="I950" s="84"/>
      <c r="J950" s="84"/>
      <c r="K950" s="84"/>
      <c r="L950" s="84"/>
      <c r="M950" s="84"/>
      <c r="N950" s="84"/>
      <c r="O950" s="84"/>
      <c r="P950" s="84"/>
      <c r="Q950" s="84"/>
      <c r="R950" s="84"/>
      <c r="S950" s="84"/>
      <c r="T950" s="84"/>
      <c r="U950" s="84"/>
      <c r="V950" s="84"/>
      <c r="W950" s="84"/>
      <c r="X950" s="84"/>
      <c r="Y950" s="84"/>
      <c r="Z950" s="84"/>
    </row>
    <row r="951" spans="1:26" ht="15">
      <c r="A951" s="83"/>
      <c r="B951" s="84"/>
      <c r="C951" s="84"/>
      <c r="D951" s="84"/>
      <c r="E951" s="84"/>
      <c r="F951" s="84"/>
      <c r="G951" s="84"/>
      <c r="H951" s="84"/>
      <c r="I951" s="84"/>
      <c r="J951" s="84"/>
      <c r="K951" s="84"/>
      <c r="L951" s="84"/>
      <c r="M951" s="84"/>
      <c r="N951" s="84"/>
      <c r="O951" s="84"/>
      <c r="P951" s="84"/>
      <c r="Q951" s="84"/>
      <c r="R951" s="84"/>
      <c r="S951" s="84"/>
      <c r="T951" s="84"/>
      <c r="U951" s="84"/>
      <c r="V951" s="84"/>
      <c r="W951" s="84"/>
      <c r="X951" s="84"/>
      <c r="Y951" s="84"/>
      <c r="Z951" s="84"/>
    </row>
    <row r="952" spans="1:26" ht="15">
      <c r="A952" s="83"/>
      <c r="B952" s="84"/>
      <c r="C952" s="84"/>
      <c r="D952" s="84"/>
      <c r="E952" s="84"/>
      <c r="F952" s="84"/>
      <c r="G952" s="84"/>
      <c r="H952" s="84"/>
      <c r="I952" s="84"/>
      <c r="J952" s="84"/>
      <c r="K952" s="84"/>
      <c r="L952" s="84"/>
      <c r="M952" s="84"/>
      <c r="N952" s="84"/>
      <c r="O952" s="84"/>
      <c r="P952" s="84"/>
      <c r="Q952" s="84"/>
      <c r="R952" s="84"/>
      <c r="S952" s="84"/>
      <c r="T952" s="84"/>
      <c r="U952" s="84"/>
      <c r="V952" s="84"/>
      <c r="W952" s="84"/>
      <c r="X952" s="84"/>
      <c r="Y952" s="84"/>
      <c r="Z952" s="84"/>
    </row>
    <row r="953" spans="1:26" ht="15">
      <c r="A953" s="83"/>
      <c r="B953" s="84"/>
      <c r="C953" s="84"/>
      <c r="D953" s="84"/>
      <c r="E953" s="84"/>
      <c r="F953" s="84"/>
      <c r="G953" s="84"/>
      <c r="H953" s="84"/>
      <c r="I953" s="84"/>
      <c r="J953" s="84"/>
      <c r="K953" s="84"/>
      <c r="L953" s="84"/>
      <c r="M953" s="84"/>
      <c r="N953" s="84"/>
      <c r="O953" s="84"/>
      <c r="P953" s="84"/>
      <c r="Q953" s="84"/>
      <c r="R953" s="84"/>
      <c r="S953" s="84"/>
      <c r="T953" s="84"/>
      <c r="U953" s="84"/>
      <c r="V953" s="84"/>
      <c r="W953" s="84"/>
      <c r="X953" s="84"/>
      <c r="Y953" s="84"/>
      <c r="Z953" s="84"/>
    </row>
    <row r="954" spans="1:26" ht="15">
      <c r="A954" s="83"/>
      <c r="B954" s="84"/>
      <c r="C954" s="84"/>
      <c r="D954" s="84"/>
      <c r="E954" s="84"/>
      <c r="F954" s="84"/>
      <c r="G954" s="84"/>
      <c r="H954" s="84"/>
      <c r="I954" s="84"/>
      <c r="J954" s="84"/>
      <c r="K954" s="84"/>
      <c r="L954" s="84"/>
      <c r="M954" s="84"/>
      <c r="N954" s="84"/>
      <c r="O954" s="84"/>
      <c r="P954" s="84"/>
      <c r="Q954" s="84"/>
      <c r="R954" s="84"/>
      <c r="S954" s="84"/>
      <c r="T954" s="84"/>
      <c r="U954" s="84"/>
      <c r="V954" s="84"/>
      <c r="W954" s="84"/>
      <c r="X954" s="84"/>
      <c r="Y954" s="84"/>
      <c r="Z954" s="84"/>
    </row>
    <row r="955" spans="1:26" ht="15">
      <c r="A955" s="83"/>
      <c r="B955" s="84"/>
      <c r="C955" s="84"/>
      <c r="D955" s="84"/>
      <c r="E955" s="84"/>
      <c r="F955" s="84"/>
      <c r="G955" s="84"/>
      <c r="H955" s="84"/>
      <c r="I955" s="84"/>
      <c r="J955" s="84"/>
      <c r="K955" s="84"/>
      <c r="L955" s="84"/>
      <c r="M955" s="84"/>
      <c r="N955" s="84"/>
      <c r="O955" s="84"/>
      <c r="P955" s="84"/>
      <c r="Q955" s="84"/>
      <c r="R955" s="84"/>
      <c r="S955" s="84"/>
      <c r="T955" s="84"/>
      <c r="U955" s="84"/>
      <c r="V955" s="84"/>
      <c r="W955" s="84"/>
      <c r="X955" s="84"/>
      <c r="Y955" s="84"/>
      <c r="Z955" s="84"/>
    </row>
    <row r="956" spans="1:26" ht="15">
      <c r="A956" s="83"/>
      <c r="B956" s="84"/>
      <c r="C956" s="84"/>
      <c r="D956" s="84"/>
      <c r="E956" s="84"/>
      <c r="F956" s="84"/>
      <c r="G956" s="84"/>
      <c r="H956" s="84"/>
      <c r="I956" s="84"/>
      <c r="J956" s="84"/>
      <c r="K956" s="84"/>
      <c r="L956" s="84"/>
      <c r="M956" s="84"/>
      <c r="N956" s="84"/>
      <c r="O956" s="84"/>
      <c r="P956" s="84"/>
      <c r="Q956" s="84"/>
      <c r="R956" s="84"/>
      <c r="S956" s="84"/>
      <c r="T956" s="84"/>
      <c r="U956" s="84"/>
      <c r="V956" s="84"/>
      <c r="W956" s="84"/>
      <c r="X956" s="84"/>
      <c r="Y956" s="84"/>
      <c r="Z956" s="84"/>
    </row>
    <row r="957" spans="1:26" ht="15">
      <c r="A957" s="83"/>
      <c r="B957" s="84"/>
      <c r="C957" s="84"/>
      <c r="D957" s="84"/>
      <c r="E957" s="84"/>
      <c r="F957" s="84"/>
      <c r="G957" s="84"/>
      <c r="H957" s="84"/>
      <c r="I957" s="84"/>
      <c r="J957" s="84"/>
      <c r="K957" s="84"/>
      <c r="L957" s="84"/>
      <c r="M957" s="84"/>
      <c r="N957" s="84"/>
      <c r="O957" s="84"/>
      <c r="P957" s="84"/>
      <c r="Q957" s="84"/>
      <c r="R957" s="84"/>
      <c r="S957" s="84"/>
      <c r="T957" s="84"/>
      <c r="U957" s="84"/>
      <c r="V957" s="84"/>
      <c r="W957" s="84"/>
      <c r="X957" s="84"/>
      <c r="Y957" s="84"/>
      <c r="Z957" s="84"/>
    </row>
    <row r="958" spans="1:26" ht="15">
      <c r="A958" s="83"/>
      <c r="B958" s="84"/>
      <c r="C958" s="84"/>
      <c r="D958" s="84"/>
      <c r="E958" s="84"/>
      <c r="F958" s="84"/>
      <c r="G958" s="84"/>
      <c r="H958" s="84"/>
      <c r="I958" s="84"/>
      <c r="J958" s="84"/>
      <c r="K958" s="84"/>
      <c r="L958" s="84"/>
      <c r="M958" s="84"/>
      <c r="N958" s="84"/>
      <c r="O958" s="84"/>
      <c r="P958" s="84"/>
      <c r="Q958" s="84"/>
      <c r="R958" s="84"/>
      <c r="S958" s="84"/>
      <c r="T958" s="84"/>
      <c r="U958" s="84"/>
      <c r="V958" s="84"/>
      <c r="W958" s="84"/>
      <c r="X958" s="84"/>
      <c r="Y958" s="84"/>
      <c r="Z958" s="84"/>
    </row>
    <row r="959" spans="1:26" ht="15">
      <c r="A959" s="83"/>
      <c r="B959" s="84"/>
      <c r="C959" s="84"/>
      <c r="D959" s="84"/>
      <c r="E959" s="84"/>
      <c r="F959" s="84"/>
      <c r="G959" s="84"/>
      <c r="H959" s="84"/>
      <c r="I959" s="84"/>
      <c r="J959" s="84"/>
      <c r="K959" s="84"/>
      <c r="L959" s="84"/>
      <c r="M959" s="84"/>
      <c r="N959" s="84"/>
      <c r="O959" s="84"/>
      <c r="P959" s="84"/>
      <c r="Q959" s="84"/>
      <c r="R959" s="84"/>
      <c r="S959" s="84"/>
      <c r="T959" s="84"/>
      <c r="U959" s="84"/>
      <c r="V959" s="84"/>
      <c r="W959" s="84"/>
      <c r="X959" s="84"/>
      <c r="Y959" s="84"/>
      <c r="Z959" s="84"/>
    </row>
    <row r="960" spans="1:26" ht="15">
      <c r="A960" s="83"/>
      <c r="B960" s="84"/>
      <c r="C960" s="84"/>
      <c r="D960" s="84"/>
      <c r="E960" s="84"/>
      <c r="F960" s="84"/>
      <c r="G960" s="84"/>
      <c r="H960" s="84"/>
      <c r="I960" s="84"/>
      <c r="J960" s="84"/>
      <c r="K960" s="84"/>
      <c r="L960" s="84"/>
      <c r="M960" s="84"/>
      <c r="N960" s="84"/>
      <c r="O960" s="84"/>
      <c r="P960" s="84"/>
      <c r="Q960" s="84"/>
      <c r="R960" s="84"/>
      <c r="S960" s="84"/>
      <c r="T960" s="84"/>
      <c r="U960" s="84"/>
      <c r="V960" s="84"/>
      <c r="W960" s="84"/>
      <c r="X960" s="84"/>
      <c r="Y960" s="84"/>
      <c r="Z960" s="84"/>
    </row>
    <row r="961" spans="1:26" ht="15">
      <c r="A961" s="83"/>
      <c r="B961" s="84"/>
      <c r="C961" s="84"/>
      <c r="D961" s="84"/>
      <c r="E961" s="84"/>
      <c r="F961" s="84"/>
      <c r="G961" s="84"/>
      <c r="H961" s="84"/>
      <c r="I961" s="84"/>
      <c r="J961" s="84"/>
      <c r="K961" s="84"/>
      <c r="L961" s="84"/>
      <c r="M961" s="84"/>
      <c r="N961" s="84"/>
      <c r="O961" s="84"/>
      <c r="P961" s="84"/>
      <c r="Q961" s="84"/>
      <c r="R961" s="84"/>
      <c r="S961" s="84"/>
      <c r="T961" s="84"/>
      <c r="U961" s="84"/>
      <c r="V961" s="84"/>
      <c r="W961" s="84"/>
      <c r="X961" s="84"/>
      <c r="Y961" s="84"/>
      <c r="Z961" s="84"/>
    </row>
    <row r="962" spans="1:26" ht="15">
      <c r="A962" s="83"/>
      <c r="B962" s="84"/>
      <c r="C962" s="84"/>
      <c r="D962" s="84"/>
      <c r="E962" s="84"/>
      <c r="F962" s="84"/>
      <c r="G962" s="84"/>
      <c r="H962" s="84"/>
      <c r="I962" s="84"/>
      <c r="J962" s="84"/>
      <c r="K962" s="84"/>
      <c r="L962" s="84"/>
      <c r="M962" s="84"/>
      <c r="N962" s="84"/>
      <c r="O962" s="84"/>
      <c r="P962" s="84"/>
      <c r="Q962" s="84"/>
      <c r="R962" s="84"/>
      <c r="S962" s="84"/>
      <c r="T962" s="84"/>
      <c r="U962" s="84"/>
      <c r="V962" s="84"/>
      <c r="W962" s="84"/>
      <c r="X962" s="84"/>
      <c r="Y962" s="84"/>
      <c r="Z962" s="84"/>
    </row>
    <row r="963" spans="1:26" ht="15">
      <c r="A963" s="83"/>
      <c r="B963" s="84"/>
      <c r="C963" s="84"/>
      <c r="D963" s="84"/>
      <c r="E963" s="84"/>
      <c r="F963" s="84"/>
      <c r="G963" s="84"/>
      <c r="H963" s="84"/>
      <c r="I963" s="84"/>
      <c r="J963" s="84"/>
      <c r="K963" s="84"/>
      <c r="L963" s="84"/>
      <c r="M963" s="84"/>
      <c r="N963" s="84"/>
      <c r="O963" s="84"/>
      <c r="P963" s="84"/>
      <c r="Q963" s="84"/>
      <c r="R963" s="84"/>
      <c r="S963" s="84"/>
      <c r="T963" s="84"/>
      <c r="U963" s="84"/>
      <c r="V963" s="84"/>
      <c r="W963" s="84"/>
      <c r="X963" s="84"/>
      <c r="Y963" s="84"/>
      <c r="Z963" s="84"/>
    </row>
    <row r="964" spans="1:26" ht="15">
      <c r="A964" s="83"/>
      <c r="B964" s="84"/>
      <c r="C964" s="84"/>
      <c r="D964" s="84"/>
      <c r="E964" s="84"/>
      <c r="F964" s="84"/>
      <c r="G964" s="84"/>
      <c r="H964" s="84"/>
      <c r="I964" s="84"/>
      <c r="J964" s="84"/>
      <c r="K964" s="84"/>
      <c r="L964" s="84"/>
      <c r="M964" s="84"/>
      <c r="N964" s="84"/>
      <c r="O964" s="84"/>
      <c r="P964" s="84"/>
      <c r="Q964" s="84"/>
      <c r="R964" s="84"/>
      <c r="S964" s="84"/>
      <c r="T964" s="84"/>
      <c r="U964" s="84"/>
      <c r="V964" s="84"/>
      <c r="W964" s="84"/>
      <c r="X964" s="84"/>
      <c r="Y964" s="84"/>
      <c r="Z964" s="84"/>
    </row>
    <row r="965" spans="1:26" ht="15">
      <c r="A965" s="83"/>
      <c r="B965" s="84"/>
      <c r="C965" s="84"/>
      <c r="D965" s="84"/>
      <c r="E965" s="84"/>
      <c r="F965" s="84"/>
      <c r="G965" s="84"/>
      <c r="H965" s="84"/>
      <c r="I965" s="84"/>
      <c r="J965" s="84"/>
      <c r="K965" s="84"/>
      <c r="L965" s="84"/>
      <c r="M965" s="84"/>
      <c r="N965" s="84"/>
      <c r="O965" s="84"/>
      <c r="P965" s="84"/>
      <c r="Q965" s="84"/>
      <c r="R965" s="84"/>
      <c r="S965" s="84"/>
      <c r="T965" s="84"/>
      <c r="U965" s="84"/>
      <c r="V965" s="84"/>
      <c r="W965" s="84"/>
      <c r="X965" s="84"/>
      <c r="Y965" s="84"/>
      <c r="Z965" s="84"/>
    </row>
    <row r="966" spans="1:26" ht="15">
      <c r="A966" s="83"/>
      <c r="B966" s="84"/>
      <c r="C966" s="84"/>
      <c r="D966" s="84"/>
      <c r="E966" s="84"/>
      <c r="F966" s="84"/>
      <c r="G966" s="84"/>
      <c r="H966" s="84"/>
      <c r="I966" s="84"/>
      <c r="J966" s="84"/>
      <c r="K966" s="84"/>
      <c r="L966" s="84"/>
      <c r="M966" s="84"/>
      <c r="N966" s="84"/>
      <c r="O966" s="84"/>
      <c r="P966" s="84"/>
      <c r="Q966" s="84"/>
      <c r="R966" s="84"/>
      <c r="S966" s="84"/>
      <c r="T966" s="84"/>
      <c r="U966" s="84"/>
      <c r="V966" s="84"/>
      <c r="W966" s="84"/>
      <c r="X966" s="84"/>
      <c r="Y966" s="84"/>
      <c r="Z966" s="84"/>
    </row>
    <row r="967" spans="1:26" ht="15">
      <c r="A967" s="83"/>
      <c r="B967" s="84"/>
      <c r="C967" s="84"/>
      <c r="D967" s="84"/>
      <c r="E967" s="84"/>
      <c r="F967" s="84"/>
      <c r="G967" s="84"/>
      <c r="H967" s="84"/>
      <c r="I967" s="84"/>
      <c r="J967" s="84"/>
      <c r="K967" s="84"/>
      <c r="L967" s="84"/>
      <c r="M967" s="84"/>
      <c r="N967" s="84"/>
      <c r="O967" s="84"/>
      <c r="P967" s="84"/>
      <c r="Q967" s="84"/>
      <c r="R967" s="84"/>
      <c r="S967" s="84"/>
      <c r="T967" s="84"/>
      <c r="U967" s="84"/>
      <c r="V967" s="84"/>
      <c r="W967" s="84"/>
      <c r="X967" s="84"/>
      <c r="Y967" s="84"/>
      <c r="Z967" s="84"/>
    </row>
    <row r="968" spans="1:26" ht="15">
      <c r="A968" s="83"/>
      <c r="B968" s="84"/>
      <c r="C968" s="84"/>
      <c r="D968" s="84"/>
      <c r="E968" s="84"/>
      <c r="F968" s="84"/>
      <c r="G968" s="84"/>
      <c r="H968" s="84"/>
      <c r="I968" s="84"/>
      <c r="J968" s="84"/>
      <c r="K968" s="84"/>
      <c r="L968" s="84"/>
      <c r="M968" s="84"/>
      <c r="N968" s="84"/>
      <c r="O968" s="84"/>
      <c r="P968" s="84"/>
      <c r="Q968" s="84"/>
      <c r="R968" s="84"/>
      <c r="S968" s="84"/>
      <c r="T968" s="84"/>
      <c r="U968" s="84"/>
      <c r="V968" s="84"/>
      <c r="W968" s="84"/>
      <c r="X968" s="84"/>
      <c r="Y968" s="84"/>
      <c r="Z968" s="84"/>
    </row>
    <row r="969" spans="1:26" ht="15">
      <c r="A969" s="83"/>
      <c r="B969" s="84"/>
      <c r="C969" s="84"/>
      <c r="D969" s="84"/>
      <c r="E969" s="84"/>
      <c r="F969" s="84"/>
      <c r="G969" s="84"/>
      <c r="H969" s="84"/>
      <c r="I969" s="84"/>
      <c r="J969" s="84"/>
      <c r="K969" s="84"/>
      <c r="L969" s="84"/>
      <c r="M969" s="84"/>
      <c r="N969" s="84"/>
      <c r="O969" s="84"/>
      <c r="P969" s="84"/>
      <c r="Q969" s="84"/>
      <c r="R969" s="84"/>
      <c r="S969" s="84"/>
      <c r="T969" s="84"/>
      <c r="U969" s="84"/>
      <c r="V969" s="84"/>
      <c r="W969" s="84"/>
      <c r="X969" s="84"/>
      <c r="Y969" s="84"/>
      <c r="Z969" s="84"/>
    </row>
    <row r="970" spans="1:26" ht="15">
      <c r="A970" s="83"/>
      <c r="B970" s="84"/>
      <c r="C970" s="84"/>
      <c r="D970" s="84"/>
      <c r="E970" s="84"/>
      <c r="F970" s="84"/>
      <c r="G970" s="84"/>
      <c r="H970" s="84"/>
      <c r="I970" s="84"/>
      <c r="J970" s="84"/>
      <c r="K970" s="84"/>
      <c r="L970" s="84"/>
      <c r="M970" s="84"/>
      <c r="N970" s="84"/>
      <c r="O970" s="84"/>
      <c r="P970" s="84"/>
      <c r="Q970" s="84"/>
      <c r="R970" s="84"/>
      <c r="S970" s="84"/>
      <c r="T970" s="84"/>
      <c r="U970" s="84"/>
      <c r="V970" s="84"/>
      <c r="W970" s="84"/>
      <c r="X970" s="84"/>
      <c r="Y970" s="84"/>
      <c r="Z970" s="84"/>
    </row>
    <row r="971" spans="1:26" ht="15">
      <c r="A971" s="83"/>
      <c r="B971" s="84"/>
      <c r="C971" s="84"/>
      <c r="D971" s="84"/>
      <c r="E971" s="84"/>
      <c r="F971" s="84"/>
      <c r="G971" s="84"/>
      <c r="H971" s="84"/>
      <c r="I971" s="84"/>
      <c r="J971" s="84"/>
      <c r="K971" s="84"/>
      <c r="L971" s="84"/>
      <c r="M971" s="84"/>
      <c r="N971" s="84"/>
      <c r="O971" s="84"/>
      <c r="P971" s="84"/>
      <c r="Q971" s="84"/>
      <c r="R971" s="84"/>
      <c r="S971" s="84"/>
      <c r="T971" s="84"/>
      <c r="U971" s="84"/>
      <c r="V971" s="84"/>
      <c r="W971" s="84"/>
      <c r="X971" s="84"/>
      <c r="Y971" s="84"/>
      <c r="Z971" s="84"/>
    </row>
    <row r="972" spans="1:26" ht="15">
      <c r="A972" s="83"/>
      <c r="B972" s="84"/>
      <c r="C972" s="84"/>
      <c r="D972" s="84"/>
      <c r="E972" s="84"/>
      <c r="F972" s="84"/>
      <c r="G972" s="84"/>
      <c r="H972" s="84"/>
      <c r="I972" s="84"/>
      <c r="J972" s="84"/>
      <c r="K972" s="84"/>
      <c r="L972" s="84"/>
      <c r="M972" s="84"/>
      <c r="N972" s="84"/>
      <c r="O972" s="84"/>
      <c r="P972" s="84"/>
      <c r="Q972" s="84"/>
      <c r="R972" s="84"/>
      <c r="S972" s="84"/>
      <c r="T972" s="84"/>
      <c r="U972" s="84"/>
      <c r="V972" s="84"/>
      <c r="W972" s="84"/>
      <c r="X972" s="84"/>
      <c r="Y972" s="84"/>
      <c r="Z972" s="84"/>
    </row>
    <row r="973" spans="1:26" ht="15">
      <c r="A973" s="83"/>
      <c r="B973" s="84"/>
      <c r="C973" s="84"/>
      <c r="D973" s="84"/>
      <c r="E973" s="84"/>
      <c r="F973" s="84"/>
      <c r="G973" s="84"/>
      <c r="H973" s="84"/>
      <c r="I973" s="84"/>
      <c r="J973" s="84"/>
      <c r="K973" s="84"/>
      <c r="L973" s="84"/>
      <c r="M973" s="84"/>
      <c r="N973" s="84"/>
      <c r="O973" s="84"/>
      <c r="P973" s="84"/>
      <c r="Q973" s="84"/>
      <c r="R973" s="84"/>
      <c r="S973" s="84"/>
      <c r="T973" s="84"/>
      <c r="U973" s="84"/>
      <c r="V973" s="84"/>
      <c r="W973" s="84"/>
      <c r="X973" s="84"/>
      <c r="Y973" s="84"/>
      <c r="Z973" s="84"/>
    </row>
    <row r="974" spans="1:26" ht="15">
      <c r="A974" s="83"/>
      <c r="B974" s="84"/>
      <c r="C974" s="84"/>
      <c r="D974" s="84"/>
      <c r="E974" s="84"/>
      <c r="F974" s="84"/>
      <c r="G974" s="84"/>
      <c r="H974" s="84"/>
      <c r="I974" s="84"/>
      <c r="J974" s="84"/>
      <c r="K974" s="84"/>
      <c r="L974" s="84"/>
      <c r="M974" s="84"/>
      <c r="N974" s="84"/>
      <c r="O974" s="84"/>
      <c r="P974" s="84"/>
      <c r="Q974" s="84"/>
      <c r="R974" s="84"/>
      <c r="S974" s="84"/>
      <c r="T974" s="84"/>
      <c r="U974" s="84"/>
      <c r="V974" s="84"/>
      <c r="W974" s="84"/>
      <c r="X974" s="84"/>
      <c r="Y974" s="84"/>
      <c r="Z974" s="84"/>
    </row>
    <row r="975" spans="1:26" ht="15">
      <c r="A975" s="83"/>
      <c r="B975" s="84"/>
      <c r="C975" s="84"/>
      <c r="D975" s="84"/>
      <c r="E975" s="84"/>
      <c r="F975" s="84"/>
      <c r="G975" s="84"/>
      <c r="H975" s="84"/>
      <c r="I975" s="84"/>
      <c r="J975" s="84"/>
      <c r="K975" s="84"/>
      <c r="L975" s="84"/>
      <c r="M975" s="84"/>
      <c r="N975" s="84"/>
      <c r="O975" s="84"/>
      <c r="P975" s="84"/>
      <c r="Q975" s="84"/>
      <c r="R975" s="84"/>
      <c r="S975" s="84"/>
      <c r="T975" s="84"/>
      <c r="U975" s="84"/>
      <c r="V975" s="84"/>
      <c r="W975" s="84"/>
      <c r="X975" s="84"/>
      <c r="Y975" s="84"/>
      <c r="Z975" s="84"/>
    </row>
    <row r="976" spans="1:26" ht="15">
      <c r="A976" s="83"/>
      <c r="B976" s="84"/>
      <c r="C976" s="84"/>
      <c r="D976" s="84"/>
      <c r="E976" s="84"/>
      <c r="F976" s="84"/>
      <c r="G976" s="84"/>
      <c r="H976" s="84"/>
      <c r="I976" s="84"/>
      <c r="J976" s="84"/>
      <c r="K976" s="84"/>
      <c r="L976" s="84"/>
      <c r="M976" s="84"/>
      <c r="N976" s="84"/>
      <c r="O976" s="84"/>
      <c r="P976" s="84"/>
      <c r="Q976" s="84"/>
      <c r="R976" s="84"/>
      <c r="S976" s="84"/>
      <c r="T976" s="84"/>
      <c r="U976" s="84"/>
      <c r="V976" s="84"/>
      <c r="W976" s="84"/>
      <c r="X976" s="84"/>
      <c r="Y976" s="84"/>
      <c r="Z976" s="84"/>
    </row>
    <row r="977" spans="1:26" ht="15">
      <c r="A977" s="83"/>
      <c r="B977" s="84"/>
      <c r="C977" s="84"/>
      <c r="D977" s="84"/>
      <c r="E977" s="84"/>
      <c r="F977" s="84"/>
      <c r="G977" s="84"/>
      <c r="H977" s="84"/>
      <c r="I977" s="84"/>
      <c r="J977" s="84"/>
      <c r="K977" s="84"/>
      <c r="L977" s="84"/>
      <c r="M977" s="84"/>
      <c r="N977" s="84"/>
      <c r="O977" s="84"/>
      <c r="P977" s="84"/>
      <c r="Q977" s="84"/>
      <c r="R977" s="84"/>
      <c r="S977" s="84"/>
      <c r="T977" s="84"/>
      <c r="U977" s="84"/>
      <c r="V977" s="84"/>
      <c r="W977" s="84"/>
      <c r="X977" s="84"/>
      <c r="Y977" s="84"/>
      <c r="Z977" s="84"/>
    </row>
    <row r="978" spans="1:26" ht="15">
      <c r="A978" s="83"/>
      <c r="B978" s="84"/>
      <c r="C978" s="84"/>
      <c r="D978" s="84"/>
      <c r="E978" s="84"/>
      <c r="F978" s="84"/>
      <c r="G978" s="84"/>
      <c r="H978" s="84"/>
      <c r="I978" s="84"/>
      <c r="J978" s="84"/>
      <c r="K978" s="84"/>
      <c r="L978" s="84"/>
      <c r="M978" s="84"/>
      <c r="N978" s="84"/>
      <c r="O978" s="84"/>
      <c r="P978" s="84"/>
      <c r="Q978" s="84"/>
      <c r="R978" s="84"/>
      <c r="S978" s="84"/>
      <c r="T978" s="84"/>
      <c r="U978" s="84"/>
      <c r="V978" s="84"/>
      <c r="W978" s="84"/>
      <c r="X978" s="84"/>
      <c r="Y978" s="84"/>
      <c r="Z978" s="84"/>
    </row>
    <row r="979" spans="1:26" ht="15">
      <c r="A979" s="83"/>
      <c r="B979" s="84"/>
      <c r="C979" s="84"/>
      <c r="D979" s="84"/>
      <c r="E979" s="84"/>
      <c r="F979" s="84"/>
      <c r="G979" s="84"/>
      <c r="H979" s="84"/>
      <c r="I979" s="84"/>
      <c r="J979" s="84"/>
      <c r="K979" s="84"/>
      <c r="L979" s="84"/>
      <c r="M979" s="84"/>
      <c r="N979" s="84"/>
      <c r="O979" s="84"/>
      <c r="P979" s="84"/>
      <c r="Q979" s="84"/>
      <c r="R979" s="84"/>
      <c r="S979" s="84"/>
      <c r="T979" s="84"/>
      <c r="U979" s="84"/>
      <c r="V979" s="84"/>
      <c r="W979" s="84"/>
      <c r="X979" s="84"/>
      <c r="Y979" s="84"/>
      <c r="Z979" s="84"/>
    </row>
    <row r="980" spans="1:26" ht="15">
      <c r="A980" s="83"/>
      <c r="B980" s="84"/>
      <c r="C980" s="84"/>
      <c r="D980" s="84"/>
      <c r="E980" s="84"/>
      <c r="F980" s="84"/>
      <c r="G980" s="84"/>
      <c r="H980" s="84"/>
      <c r="I980" s="84"/>
      <c r="J980" s="84"/>
      <c r="K980" s="84"/>
      <c r="L980" s="84"/>
      <c r="M980" s="84"/>
      <c r="N980" s="84"/>
      <c r="O980" s="84"/>
      <c r="P980" s="84"/>
      <c r="Q980" s="84"/>
      <c r="R980" s="84"/>
      <c r="S980" s="84"/>
      <c r="T980" s="84"/>
      <c r="U980" s="84"/>
      <c r="V980" s="84"/>
      <c r="W980" s="84"/>
      <c r="X980" s="84"/>
      <c r="Y980" s="84"/>
      <c r="Z980" s="84"/>
    </row>
    <row r="981" spans="1:26" ht="15">
      <c r="A981" s="83"/>
      <c r="B981" s="84"/>
      <c r="C981" s="84"/>
      <c r="D981" s="84"/>
      <c r="E981" s="84"/>
      <c r="F981" s="84"/>
      <c r="G981" s="84"/>
      <c r="H981" s="84"/>
      <c r="I981" s="84"/>
      <c r="J981" s="84"/>
      <c r="K981" s="84"/>
      <c r="L981" s="84"/>
      <c r="M981" s="84"/>
      <c r="N981" s="84"/>
      <c r="O981" s="84"/>
      <c r="P981" s="84"/>
      <c r="Q981" s="84"/>
      <c r="R981" s="84"/>
      <c r="S981" s="84"/>
      <c r="T981" s="84"/>
      <c r="U981" s="84"/>
      <c r="V981" s="84"/>
      <c r="W981" s="84"/>
      <c r="X981" s="84"/>
      <c r="Y981" s="84"/>
      <c r="Z981" s="84"/>
    </row>
    <row r="982" spans="1:26" ht="15">
      <c r="A982" s="83"/>
      <c r="B982" s="84"/>
      <c r="C982" s="84"/>
      <c r="D982" s="84"/>
      <c r="E982" s="84"/>
      <c r="F982" s="84"/>
      <c r="G982" s="84"/>
      <c r="H982" s="84"/>
      <c r="I982" s="84"/>
      <c r="J982" s="84"/>
      <c r="K982" s="84"/>
      <c r="L982" s="84"/>
      <c r="M982" s="84"/>
      <c r="N982" s="84"/>
      <c r="O982" s="84"/>
      <c r="P982" s="84"/>
      <c r="Q982" s="84"/>
      <c r="R982" s="84"/>
      <c r="S982" s="84"/>
      <c r="T982" s="84"/>
      <c r="U982" s="84"/>
      <c r="V982" s="84"/>
      <c r="W982" s="84"/>
      <c r="X982" s="84"/>
      <c r="Y982" s="84"/>
      <c r="Z982" s="84"/>
    </row>
    <row r="983" spans="1:26" ht="15">
      <c r="A983" s="83"/>
      <c r="B983" s="84"/>
      <c r="C983" s="84"/>
      <c r="D983" s="84"/>
      <c r="E983" s="84"/>
      <c r="F983" s="84"/>
      <c r="G983" s="84"/>
      <c r="H983" s="84"/>
      <c r="I983" s="84"/>
      <c r="J983" s="84"/>
      <c r="K983" s="84"/>
      <c r="L983" s="84"/>
      <c r="M983" s="84"/>
      <c r="N983" s="84"/>
      <c r="O983" s="84"/>
      <c r="P983" s="84"/>
      <c r="Q983" s="84"/>
      <c r="R983" s="84"/>
      <c r="S983" s="84"/>
      <c r="T983" s="84"/>
      <c r="U983" s="84"/>
      <c r="V983" s="84"/>
      <c r="W983" s="84"/>
      <c r="X983" s="84"/>
      <c r="Y983" s="84"/>
      <c r="Z983" s="84"/>
    </row>
    <row r="984" spans="1:26" ht="15">
      <c r="A984" s="83"/>
      <c r="B984" s="84"/>
      <c r="C984" s="84"/>
      <c r="D984" s="84"/>
      <c r="E984" s="84"/>
      <c r="F984" s="84"/>
      <c r="G984" s="84"/>
      <c r="H984" s="84"/>
      <c r="I984" s="84"/>
      <c r="J984" s="84"/>
      <c r="K984" s="84"/>
      <c r="L984" s="84"/>
      <c r="M984" s="84"/>
      <c r="N984" s="84"/>
      <c r="O984" s="84"/>
      <c r="P984" s="84"/>
      <c r="Q984" s="84"/>
      <c r="R984" s="84"/>
      <c r="S984" s="84"/>
      <c r="T984" s="84"/>
      <c r="U984" s="84"/>
      <c r="V984" s="84"/>
      <c r="W984" s="84"/>
      <c r="X984" s="84"/>
      <c r="Y984" s="84"/>
      <c r="Z984" s="84"/>
    </row>
    <row r="985" spans="1:26" ht="15">
      <c r="A985" s="83"/>
      <c r="B985" s="84"/>
      <c r="C985" s="84"/>
      <c r="D985" s="84"/>
      <c r="E985" s="84"/>
      <c r="F985" s="84"/>
      <c r="G985" s="84"/>
      <c r="H985" s="84"/>
      <c r="I985" s="84"/>
      <c r="J985" s="84"/>
      <c r="K985" s="84"/>
      <c r="L985" s="84"/>
      <c r="M985" s="84"/>
      <c r="N985" s="84"/>
      <c r="O985" s="84"/>
      <c r="P985" s="84"/>
      <c r="Q985" s="84"/>
      <c r="R985" s="84"/>
      <c r="S985" s="84"/>
      <c r="T985" s="84"/>
      <c r="U985" s="84"/>
      <c r="V985" s="84"/>
      <c r="W985" s="84"/>
      <c r="X985" s="84"/>
      <c r="Y985" s="84"/>
      <c r="Z985" s="84"/>
    </row>
    <row r="986" spans="1:26" ht="15">
      <c r="A986" s="83"/>
      <c r="B986" s="84"/>
      <c r="C986" s="84"/>
      <c r="D986" s="84"/>
      <c r="E986" s="84"/>
      <c r="F986" s="84"/>
      <c r="G986" s="84"/>
      <c r="H986" s="84"/>
      <c r="I986" s="84"/>
      <c r="J986" s="84"/>
      <c r="K986" s="84"/>
      <c r="L986" s="84"/>
      <c r="M986" s="84"/>
      <c r="N986" s="84"/>
      <c r="O986" s="84"/>
      <c r="P986" s="84"/>
      <c r="Q986" s="84"/>
      <c r="R986" s="84"/>
      <c r="S986" s="84"/>
      <c r="T986" s="84"/>
      <c r="U986" s="84"/>
      <c r="V986" s="84"/>
      <c r="W986" s="84"/>
      <c r="X986" s="84"/>
      <c r="Y986" s="84"/>
      <c r="Z986" s="84"/>
    </row>
    <row r="987" spans="1:26" ht="15">
      <c r="A987" s="83"/>
      <c r="B987" s="84"/>
      <c r="C987" s="84"/>
      <c r="D987" s="84"/>
      <c r="E987" s="84"/>
      <c r="F987" s="84"/>
      <c r="G987" s="84"/>
      <c r="H987" s="84"/>
      <c r="I987" s="84"/>
      <c r="J987" s="84"/>
      <c r="K987" s="84"/>
      <c r="L987" s="84"/>
      <c r="M987" s="84"/>
      <c r="N987" s="84"/>
      <c r="O987" s="84"/>
      <c r="P987" s="84"/>
      <c r="Q987" s="84"/>
      <c r="R987" s="84"/>
      <c r="S987" s="84"/>
      <c r="T987" s="84"/>
      <c r="U987" s="84"/>
      <c r="V987" s="84"/>
      <c r="W987" s="84"/>
      <c r="X987" s="84"/>
      <c r="Y987" s="84"/>
      <c r="Z987" s="84"/>
    </row>
    <row r="988" spans="1:26" ht="15">
      <c r="A988" s="83"/>
      <c r="B988" s="84"/>
      <c r="C988" s="84"/>
      <c r="D988" s="84"/>
      <c r="E988" s="84"/>
      <c r="F988" s="84"/>
      <c r="G988" s="84"/>
      <c r="H988" s="84"/>
      <c r="I988" s="84"/>
      <c r="J988" s="84"/>
      <c r="K988" s="84"/>
      <c r="L988" s="84"/>
      <c r="M988" s="84"/>
      <c r="N988" s="84"/>
      <c r="O988" s="84"/>
      <c r="P988" s="84"/>
      <c r="Q988" s="84"/>
      <c r="R988" s="84"/>
      <c r="S988" s="84"/>
      <c r="T988" s="84"/>
      <c r="U988" s="84"/>
      <c r="V988" s="84"/>
      <c r="W988" s="84"/>
      <c r="X988" s="84"/>
      <c r="Y988" s="84"/>
      <c r="Z988" s="84"/>
    </row>
    <row r="989" spans="1:26" ht="15">
      <c r="A989" s="83"/>
      <c r="B989" s="84"/>
      <c r="C989" s="84"/>
      <c r="D989" s="84"/>
      <c r="E989" s="84"/>
      <c r="F989" s="84"/>
      <c r="G989" s="84"/>
      <c r="H989" s="84"/>
      <c r="I989" s="84"/>
      <c r="J989" s="84"/>
      <c r="K989" s="84"/>
      <c r="L989" s="84"/>
      <c r="M989" s="84"/>
      <c r="N989" s="84"/>
      <c r="O989" s="84"/>
      <c r="P989" s="84"/>
      <c r="Q989" s="84"/>
      <c r="R989" s="84"/>
      <c r="S989" s="84"/>
      <c r="T989" s="84"/>
      <c r="U989" s="84"/>
      <c r="V989" s="84"/>
      <c r="W989" s="84"/>
      <c r="X989" s="84"/>
      <c r="Y989" s="84"/>
      <c r="Z989" s="84"/>
    </row>
    <row r="990" spans="1:26" ht="15">
      <c r="A990" s="83"/>
      <c r="B990" s="84"/>
      <c r="C990" s="84"/>
      <c r="D990" s="84"/>
      <c r="E990" s="84"/>
      <c r="F990" s="84"/>
      <c r="G990" s="84"/>
      <c r="H990" s="84"/>
      <c r="I990" s="84"/>
      <c r="J990" s="84"/>
      <c r="K990" s="84"/>
      <c r="L990" s="84"/>
      <c r="M990" s="84"/>
      <c r="N990" s="84"/>
      <c r="O990" s="84"/>
      <c r="P990" s="84"/>
      <c r="Q990" s="84"/>
      <c r="R990" s="84"/>
      <c r="S990" s="84"/>
      <c r="T990" s="84"/>
      <c r="U990" s="84"/>
      <c r="V990" s="84"/>
      <c r="W990" s="84"/>
      <c r="X990" s="84"/>
      <c r="Y990" s="84"/>
      <c r="Z990" s="84"/>
    </row>
    <row r="991" spans="1:26" ht="15">
      <c r="A991" s="83"/>
      <c r="B991" s="84"/>
      <c r="C991" s="84"/>
      <c r="D991" s="84"/>
      <c r="E991" s="84"/>
      <c r="F991" s="84"/>
      <c r="G991" s="84"/>
      <c r="H991" s="84"/>
      <c r="I991" s="84"/>
      <c r="J991" s="84"/>
      <c r="K991" s="84"/>
      <c r="L991" s="84"/>
      <c r="M991" s="84"/>
      <c r="N991" s="84"/>
      <c r="O991" s="84"/>
      <c r="P991" s="84"/>
      <c r="Q991" s="84"/>
      <c r="R991" s="84"/>
      <c r="S991" s="84"/>
      <c r="T991" s="84"/>
      <c r="U991" s="84"/>
      <c r="V991" s="84"/>
      <c r="W991" s="84"/>
      <c r="X991" s="84"/>
      <c r="Y991" s="84"/>
      <c r="Z991" s="84"/>
    </row>
    <row r="992" spans="1:26" ht="15">
      <c r="A992" s="83"/>
      <c r="B992" s="84"/>
      <c r="C992" s="84"/>
      <c r="D992" s="84"/>
      <c r="E992" s="84"/>
      <c r="F992" s="84"/>
      <c r="G992" s="84"/>
      <c r="H992" s="84"/>
      <c r="I992" s="84"/>
      <c r="J992" s="84"/>
      <c r="K992" s="84"/>
      <c r="L992" s="84"/>
      <c r="M992" s="84"/>
      <c r="N992" s="84"/>
      <c r="O992" s="84"/>
      <c r="P992" s="84"/>
      <c r="Q992" s="84"/>
      <c r="R992" s="84"/>
      <c r="S992" s="84"/>
      <c r="T992" s="84"/>
      <c r="U992" s="84"/>
      <c r="V992" s="84"/>
      <c r="W992" s="84"/>
      <c r="X992" s="84"/>
      <c r="Y992" s="84"/>
      <c r="Z992" s="84"/>
    </row>
    <row r="993" spans="1:26" ht="15">
      <c r="A993" s="83"/>
      <c r="B993" s="84"/>
      <c r="C993" s="84"/>
      <c r="D993" s="84"/>
      <c r="E993" s="84"/>
      <c r="F993" s="84"/>
      <c r="G993" s="84"/>
      <c r="H993" s="84"/>
      <c r="I993" s="84"/>
      <c r="J993" s="84"/>
      <c r="K993" s="84"/>
      <c r="L993" s="84"/>
      <c r="M993" s="84"/>
      <c r="N993" s="84"/>
      <c r="O993" s="84"/>
      <c r="P993" s="84"/>
      <c r="Q993" s="84"/>
      <c r="R993" s="84"/>
      <c r="S993" s="84"/>
      <c r="T993" s="84"/>
      <c r="U993" s="84"/>
      <c r="V993" s="84"/>
      <c r="W993" s="84"/>
      <c r="X993" s="84"/>
      <c r="Y993" s="84"/>
      <c r="Z993" s="84"/>
    </row>
    <row r="994" spans="1:26" ht="15">
      <c r="A994" s="83"/>
      <c r="B994" s="84"/>
      <c r="C994" s="84"/>
      <c r="D994" s="84"/>
      <c r="E994" s="84"/>
      <c r="F994" s="84"/>
      <c r="G994" s="84"/>
      <c r="H994" s="84"/>
      <c r="I994" s="84"/>
      <c r="J994" s="84"/>
      <c r="K994" s="84"/>
      <c r="L994" s="84"/>
      <c r="M994" s="84"/>
      <c r="N994" s="84"/>
      <c r="O994" s="84"/>
      <c r="P994" s="84"/>
      <c r="Q994" s="84"/>
      <c r="R994" s="84"/>
      <c r="S994" s="84"/>
      <c r="T994" s="84"/>
      <c r="U994" s="84"/>
      <c r="V994" s="84"/>
      <c r="W994" s="84"/>
      <c r="X994" s="84"/>
      <c r="Y994" s="84"/>
      <c r="Z994" s="84"/>
    </row>
    <row r="995" spans="1:26" ht="15">
      <c r="A995" s="83"/>
      <c r="B995" s="84"/>
      <c r="C995" s="84"/>
      <c r="D995" s="84"/>
      <c r="E995" s="84"/>
      <c r="F995" s="84"/>
      <c r="G995" s="84"/>
      <c r="H995" s="84"/>
      <c r="I995" s="84"/>
      <c r="J995" s="84"/>
      <c r="K995" s="84"/>
      <c r="L995" s="84"/>
      <c r="M995" s="84"/>
      <c r="N995" s="84"/>
      <c r="O995" s="84"/>
      <c r="P995" s="84"/>
      <c r="Q995" s="84"/>
      <c r="R995" s="84"/>
      <c r="S995" s="84"/>
      <c r="T995" s="84"/>
      <c r="U995" s="84"/>
      <c r="V995" s="84"/>
      <c r="W995" s="84"/>
      <c r="X995" s="84"/>
      <c r="Y995" s="84"/>
      <c r="Z995" s="84"/>
    </row>
    <row r="996" spans="1:26" ht="15">
      <c r="A996" s="83"/>
      <c r="B996" s="84"/>
      <c r="C996" s="84"/>
      <c r="D996" s="84"/>
      <c r="E996" s="84"/>
      <c r="F996" s="84"/>
      <c r="G996" s="84"/>
      <c r="H996" s="84"/>
      <c r="I996" s="84"/>
      <c r="J996" s="84"/>
      <c r="K996" s="84"/>
      <c r="L996" s="84"/>
      <c r="M996" s="84"/>
      <c r="N996" s="84"/>
      <c r="O996" s="84"/>
      <c r="P996" s="84"/>
      <c r="Q996" s="84"/>
      <c r="R996" s="84"/>
      <c r="S996" s="84"/>
      <c r="T996" s="84"/>
      <c r="U996" s="84"/>
      <c r="V996" s="84"/>
      <c r="W996" s="84"/>
      <c r="X996" s="84"/>
      <c r="Y996" s="84"/>
      <c r="Z996" s="84"/>
    </row>
    <row r="997" spans="1:26" ht="15">
      <c r="A997" s="83"/>
      <c r="B997" s="84"/>
      <c r="C997" s="84"/>
      <c r="D997" s="84"/>
      <c r="E997" s="84"/>
      <c r="F997" s="84"/>
      <c r="G997" s="84"/>
      <c r="H997" s="84"/>
      <c r="I997" s="84"/>
      <c r="J997" s="84"/>
      <c r="K997" s="84"/>
      <c r="L997" s="84"/>
      <c r="M997" s="84"/>
      <c r="N997" s="84"/>
      <c r="O997" s="84"/>
      <c r="P997" s="84"/>
      <c r="Q997" s="84"/>
      <c r="R997" s="84"/>
      <c r="S997" s="84"/>
      <c r="T997" s="84"/>
      <c r="U997" s="84"/>
      <c r="V997" s="84"/>
      <c r="W997" s="84"/>
      <c r="X997" s="84"/>
      <c r="Y997" s="84"/>
      <c r="Z997" s="84"/>
    </row>
    <row r="998" spans="1:26" ht="15">
      <c r="A998" s="83"/>
      <c r="B998" s="84"/>
      <c r="C998" s="84"/>
      <c r="D998" s="84"/>
      <c r="E998" s="84"/>
      <c r="F998" s="84"/>
      <c r="G998" s="84"/>
      <c r="H998" s="84"/>
      <c r="I998" s="84"/>
      <c r="J998" s="84"/>
      <c r="K998" s="84"/>
      <c r="L998" s="84"/>
      <c r="M998" s="84"/>
      <c r="N998" s="84"/>
      <c r="O998" s="84"/>
      <c r="P998" s="84"/>
      <c r="Q998" s="84"/>
      <c r="R998" s="84"/>
      <c r="S998" s="84"/>
      <c r="T998" s="84"/>
      <c r="U998" s="84"/>
      <c r="V998" s="84"/>
      <c r="W998" s="84"/>
      <c r="X998" s="84"/>
      <c r="Y998" s="84"/>
      <c r="Z998" s="84"/>
    </row>
    <row r="999" spans="1:26" ht="15">
      <c r="A999" s="83"/>
      <c r="B999" s="84"/>
      <c r="C999" s="84"/>
      <c r="D999" s="84"/>
      <c r="E999" s="84"/>
      <c r="F999" s="84"/>
      <c r="G999" s="84"/>
      <c r="H999" s="84"/>
      <c r="I999" s="84"/>
      <c r="J999" s="84"/>
      <c r="K999" s="84"/>
      <c r="L999" s="84"/>
      <c r="M999" s="84"/>
      <c r="N999" s="84"/>
      <c r="O999" s="84"/>
      <c r="P999" s="84"/>
      <c r="Q999" s="84"/>
      <c r="R999" s="84"/>
      <c r="S999" s="84"/>
      <c r="T999" s="84"/>
      <c r="U999" s="84"/>
      <c r="V999" s="84"/>
      <c r="W999" s="84"/>
      <c r="X999" s="84"/>
      <c r="Y999" s="84"/>
      <c r="Z999" s="84"/>
    </row>
    <row r="1000" spans="1:26" ht="15">
      <c r="A1000" s="83"/>
      <c r="B1000" s="84"/>
      <c r="C1000" s="84"/>
      <c r="D1000" s="84"/>
      <c r="E1000" s="84"/>
      <c r="F1000" s="84"/>
      <c r="G1000" s="84"/>
      <c r="H1000" s="84"/>
      <c r="I1000" s="84"/>
      <c r="J1000" s="84"/>
      <c r="K1000" s="84"/>
      <c r="L1000" s="84"/>
      <c r="M1000" s="84"/>
      <c r="N1000" s="84"/>
      <c r="O1000" s="84"/>
      <c r="P1000" s="84"/>
      <c r="Q1000" s="84"/>
      <c r="R1000" s="84"/>
      <c r="S1000" s="84"/>
      <c r="T1000" s="84"/>
      <c r="U1000" s="84"/>
      <c r="V1000" s="84"/>
      <c r="W1000" s="84"/>
      <c r="X1000" s="84"/>
      <c r="Y1000" s="84"/>
      <c r="Z1000" s="84"/>
    </row>
    <row r="1001" spans="1:26" ht="15">
      <c r="A1001" s="83"/>
      <c r="B1001" s="84"/>
      <c r="C1001" s="84"/>
      <c r="D1001" s="84"/>
      <c r="E1001" s="84"/>
      <c r="F1001" s="84"/>
      <c r="G1001" s="84"/>
      <c r="H1001" s="84"/>
      <c r="I1001" s="84"/>
      <c r="J1001" s="84"/>
      <c r="K1001" s="84"/>
      <c r="L1001" s="84"/>
      <c r="M1001" s="84"/>
      <c r="N1001" s="84"/>
      <c r="O1001" s="84"/>
      <c r="P1001" s="84"/>
      <c r="Q1001" s="84"/>
      <c r="R1001" s="84"/>
      <c r="S1001" s="84"/>
      <c r="T1001" s="84"/>
      <c r="U1001" s="84"/>
      <c r="V1001" s="84"/>
      <c r="W1001" s="84"/>
      <c r="X1001" s="84"/>
      <c r="Y1001" s="84"/>
      <c r="Z1001" s="84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14"/>
  <sheetViews>
    <sheetView workbookViewId="0"/>
  </sheetViews>
  <sheetFormatPr defaultColWidth="14.42578125" defaultRowHeight="15.75" customHeight="1"/>
  <sheetData>
    <row r="1" spans="1:9" ht="15.75" customHeight="1">
      <c r="A1" s="1" t="s">
        <v>923</v>
      </c>
      <c r="B1" s="1" t="s">
        <v>912</v>
      </c>
      <c r="C1" s="1" t="s">
        <v>913</v>
      </c>
      <c r="D1" s="1" t="s">
        <v>914</v>
      </c>
      <c r="E1" s="1" t="s">
        <v>589</v>
      </c>
      <c r="F1" s="1" t="s">
        <v>924</v>
      </c>
      <c r="G1" s="1" t="s">
        <v>925</v>
      </c>
      <c r="H1" s="1" t="s">
        <v>926</v>
      </c>
      <c r="I1" s="1" t="s">
        <v>927</v>
      </c>
    </row>
    <row r="2" spans="1:9" ht="15.75" customHeight="1">
      <c r="A2" s="1">
        <v>2005</v>
      </c>
      <c r="B2" s="1">
        <v>46110</v>
      </c>
      <c r="C2" s="1">
        <v>53360</v>
      </c>
      <c r="D2" s="1">
        <v>57480</v>
      </c>
      <c r="E2" s="1">
        <v>107020</v>
      </c>
      <c r="F2" s="1">
        <v>67760</v>
      </c>
      <c r="G2" s="1">
        <v>86600</v>
      </c>
      <c r="H2" s="1">
        <v>21320</v>
      </c>
      <c r="I2" s="1">
        <f t="shared" ref="I2:I12" si="0">SUM(B2:H2)</f>
        <v>439650</v>
      </c>
    </row>
    <row r="3" spans="1:9" ht="15.75" customHeight="1">
      <c r="A3">
        <f t="shared" ref="A3:A12" si="1">A2+1</f>
        <v>2006</v>
      </c>
      <c r="B3" s="1">
        <v>51110</v>
      </c>
      <c r="C3" s="1">
        <v>54570</v>
      </c>
      <c r="D3" s="1">
        <v>58480</v>
      </c>
      <c r="E3" s="1">
        <v>111200</v>
      </c>
      <c r="F3" s="1">
        <v>68570</v>
      </c>
      <c r="G3" s="1">
        <v>88280</v>
      </c>
      <c r="H3" s="1">
        <v>22580</v>
      </c>
      <c r="I3" s="1">
        <f t="shared" si="0"/>
        <v>454790</v>
      </c>
    </row>
    <row r="4" spans="1:9" ht="15.75" customHeight="1">
      <c r="A4">
        <f t="shared" si="1"/>
        <v>2007</v>
      </c>
      <c r="B4" s="1">
        <v>54610</v>
      </c>
      <c r="C4" s="1">
        <v>55430</v>
      </c>
      <c r="D4" s="1">
        <v>59280</v>
      </c>
      <c r="E4" s="1">
        <v>113090</v>
      </c>
      <c r="F4" s="1">
        <v>71090</v>
      </c>
      <c r="G4" s="1">
        <v>92400</v>
      </c>
      <c r="H4" s="1">
        <v>26140</v>
      </c>
      <c r="I4" s="1">
        <f t="shared" si="0"/>
        <v>472040</v>
      </c>
    </row>
    <row r="5" spans="1:9" ht="15.75" customHeight="1">
      <c r="A5">
        <f t="shared" si="1"/>
        <v>2008</v>
      </c>
      <c r="B5" s="1">
        <v>57910</v>
      </c>
      <c r="C5" s="1">
        <v>55960</v>
      </c>
      <c r="D5" s="1">
        <v>59600</v>
      </c>
      <c r="E5" s="1">
        <v>116200</v>
      </c>
      <c r="F5" s="1">
        <v>74360</v>
      </c>
      <c r="G5" s="1">
        <v>93930</v>
      </c>
      <c r="H5" s="1">
        <v>27550</v>
      </c>
      <c r="I5" s="1">
        <f t="shared" si="0"/>
        <v>485510</v>
      </c>
    </row>
    <row r="6" spans="1:9" ht="15.75" customHeight="1">
      <c r="A6">
        <f t="shared" si="1"/>
        <v>2009</v>
      </c>
      <c r="B6" s="1">
        <v>61050</v>
      </c>
      <c r="C6" s="1">
        <v>56390</v>
      </c>
      <c r="D6" s="1">
        <v>59710</v>
      </c>
      <c r="E6" s="1">
        <v>118790</v>
      </c>
      <c r="F6" s="1">
        <v>75250</v>
      </c>
      <c r="G6" s="1">
        <v>94170</v>
      </c>
      <c r="H6" s="1">
        <v>27530</v>
      </c>
      <c r="I6" s="1">
        <f t="shared" si="0"/>
        <v>492890</v>
      </c>
    </row>
    <row r="7" spans="1:9" ht="15.75" customHeight="1">
      <c r="A7">
        <f t="shared" si="1"/>
        <v>2010</v>
      </c>
      <c r="B7" s="1">
        <v>63680</v>
      </c>
      <c r="C7" s="1">
        <v>57180</v>
      </c>
      <c r="D7" s="1">
        <v>60060</v>
      </c>
      <c r="E7" s="1">
        <v>122010</v>
      </c>
      <c r="F7" s="1">
        <v>77620</v>
      </c>
      <c r="G7" s="1">
        <v>95110</v>
      </c>
      <c r="H7" s="1">
        <v>28020</v>
      </c>
      <c r="I7" s="1">
        <f t="shared" si="0"/>
        <v>503680</v>
      </c>
    </row>
    <row r="8" spans="1:9" ht="15.75" customHeight="1">
      <c r="A8">
        <f t="shared" si="1"/>
        <v>2011</v>
      </c>
      <c r="B8" s="1">
        <v>65490</v>
      </c>
      <c r="C8" s="1">
        <v>58000</v>
      </c>
      <c r="D8" s="1">
        <v>60390</v>
      </c>
      <c r="E8" s="1">
        <v>124980</v>
      </c>
      <c r="F8" s="1">
        <v>79240</v>
      </c>
      <c r="G8" s="1">
        <v>95830</v>
      </c>
      <c r="H8" s="1">
        <v>28380</v>
      </c>
      <c r="I8" s="1">
        <f t="shared" si="0"/>
        <v>512310</v>
      </c>
    </row>
    <row r="9" spans="1:9" ht="15.75" customHeight="1">
      <c r="A9">
        <f t="shared" si="1"/>
        <v>2012</v>
      </c>
      <c r="B9" s="1">
        <v>67070</v>
      </c>
      <c r="C9" s="1">
        <v>59070</v>
      </c>
      <c r="D9" s="1">
        <v>60840</v>
      </c>
      <c r="E9" s="1">
        <v>127480</v>
      </c>
      <c r="F9" s="1">
        <v>81400</v>
      </c>
      <c r="G9" s="1">
        <v>97130</v>
      </c>
      <c r="H9" s="1">
        <v>29320</v>
      </c>
      <c r="I9" s="1">
        <f t="shared" si="0"/>
        <v>522310</v>
      </c>
    </row>
    <row r="10" spans="1:9" ht="15.75" customHeight="1">
      <c r="A10">
        <f t="shared" si="1"/>
        <v>2013</v>
      </c>
      <c r="B10" s="1">
        <v>68390</v>
      </c>
      <c r="C10" s="1">
        <v>59460</v>
      </c>
      <c r="D10" s="1">
        <v>61480</v>
      </c>
      <c r="E10" s="1">
        <v>129730</v>
      </c>
      <c r="F10" s="1">
        <v>82790</v>
      </c>
      <c r="G10" s="1">
        <v>99660</v>
      </c>
      <c r="H10" s="1">
        <v>31830</v>
      </c>
      <c r="I10" s="1">
        <f t="shared" si="0"/>
        <v>533340</v>
      </c>
    </row>
    <row r="11" spans="1:9" ht="15.75" customHeight="1">
      <c r="A11">
        <f t="shared" si="1"/>
        <v>2014</v>
      </c>
      <c r="B11" s="1">
        <v>69900</v>
      </c>
      <c r="C11" s="1">
        <v>60070</v>
      </c>
      <c r="D11" s="1">
        <v>61700</v>
      </c>
      <c r="E11" s="1">
        <v>131520</v>
      </c>
      <c r="F11" s="1">
        <v>84340</v>
      </c>
      <c r="G11" s="1">
        <v>100050</v>
      </c>
      <c r="H11" s="1">
        <v>31920</v>
      </c>
      <c r="I11" s="1">
        <f t="shared" si="0"/>
        <v>539500</v>
      </c>
    </row>
    <row r="12" spans="1:9" ht="15.75" customHeight="1">
      <c r="A12">
        <f t="shared" si="1"/>
        <v>2015</v>
      </c>
      <c r="B12" s="1">
        <v>71400</v>
      </c>
      <c r="C12" s="1">
        <v>60270</v>
      </c>
      <c r="D12" s="1">
        <v>62420</v>
      </c>
      <c r="E12" s="1">
        <v>133510</v>
      </c>
      <c r="F12" s="1">
        <v>86550</v>
      </c>
      <c r="G12" s="1">
        <v>102500</v>
      </c>
      <c r="H12" s="1">
        <v>33790</v>
      </c>
      <c r="I12" s="1">
        <f t="shared" si="0"/>
        <v>550440</v>
      </c>
    </row>
    <row r="14" spans="1:9" ht="15.75" customHeight="1">
      <c r="D14" s="1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Z298"/>
  <sheetViews>
    <sheetView workbookViewId="0"/>
  </sheetViews>
  <sheetFormatPr defaultColWidth="14.42578125" defaultRowHeight="15.75" customHeight="1"/>
  <cols>
    <col min="1" max="1" width="34.28515625" customWidth="1"/>
  </cols>
  <sheetData>
    <row r="1" spans="1:26">
      <c r="B1" s="56" t="s">
        <v>761</v>
      </c>
      <c r="C1" s="56" t="s">
        <v>515</v>
      </c>
      <c r="D1" s="56" t="s">
        <v>516</v>
      </c>
      <c r="E1" s="57" t="s">
        <v>761</v>
      </c>
      <c r="F1" s="57" t="s">
        <v>515</v>
      </c>
      <c r="G1" s="57" t="s">
        <v>516</v>
      </c>
      <c r="H1" s="58" t="s">
        <v>761</v>
      </c>
      <c r="I1" s="58" t="s">
        <v>515</v>
      </c>
      <c r="J1" s="58" t="s">
        <v>516</v>
      </c>
      <c r="K1" s="59" t="s">
        <v>761</v>
      </c>
      <c r="L1" s="59" t="s">
        <v>515</v>
      </c>
      <c r="M1" s="59" t="s">
        <v>516</v>
      </c>
      <c r="N1" s="60" t="s">
        <v>771</v>
      </c>
      <c r="P1" s="1" t="s">
        <v>774</v>
      </c>
      <c r="Q1" s="1" t="s">
        <v>775</v>
      </c>
      <c r="S1" s="1" t="s">
        <v>774</v>
      </c>
      <c r="T1" s="1" t="s">
        <v>775</v>
      </c>
      <c r="V1" s="1" t="s">
        <v>774</v>
      </c>
      <c r="W1" s="1" t="s">
        <v>775</v>
      </c>
      <c r="Y1" s="1" t="s">
        <v>774</v>
      </c>
      <c r="Z1" s="1" t="s">
        <v>775</v>
      </c>
    </row>
    <row r="2" spans="1:26">
      <c r="A2" s="61" t="s">
        <v>355</v>
      </c>
      <c r="B2" s="56">
        <v>170.03</v>
      </c>
      <c r="C2" s="56">
        <v>0.25</v>
      </c>
      <c r="D2" s="56">
        <v>13</v>
      </c>
      <c r="E2" s="57">
        <v>170.04</v>
      </c>
      <c r="F2" s="57">
        <v>0.25</v>
      </c>
      <c r="G2" s="57">
        <v>67</v>
      </c>
      <c r="H2" s="58">
        <v>181.11</v>
      </c>
      <c r="I2" s="58">
        <v>1</v>
      </c>
      <c r="J2" s="58">
        <v>192</v>
      </c>
      <c r="K2" s="59">
        <v>181.1</v>
      </c>
      <c r="L2" s="59">
        <v>0.5</v>
      </c>
      <c r="M2" s="59">
        <v>169</v>
      </c>
      <c r="N2" s="60">
        <f t="shared" ref="N2:N97" si="0">$D2+$G2+$J2+$M2</f>
        <v>441</v>
      </c>
      <c r="O2" s="44">
        <v>170.03</v>
      </c>
      <c r="P2">
        <v>50</v>
      </c>
      <c r="Q2">
        <v>76</v>
      </c>
      <c r="R2" s="44">
        <v>170.04</v>
      </c>
      <c r="S2">
        <v>266</v>
      </c>
      <c r="T2">
        <v>299</v>
      </c>
      <c r="U2" s="44">
        <v>181.11</v>
      </c>
      <c r="V2">
        <v>192</v>
      </c>
      <c r="W2">
        <v>203</v>
      </c>
      <c r="X2" s="44">
        <v>181.1</v>
      </c>
      <c r="Y2">
        <v>337</v>
      </c>
      <c r="Z2">
        <v>316</v>
      </c>
    </row>
    <row r="3" spans="1:26">
      <c r="A3" s="61" t="s">
        <v>341</v>
      </c>
      <c r="B3" s="56">
        <v>170.07</v>
      </c>
      <c r="C3" s="56">
        <v>0.5</v>
      </c>
      <c r="D3" s="56">
        <v>174</v>
      </c>
      <c r="E3" s="57">
        <v>170.08</v>
      </c>
      <c r="F3" s="57">
        <v>0.5</v>
      </c>
      <c r="G3" s="57">
        <v>129</v>
      </c>
      <c r="H3" s="58"/>
      <c r="I3" s="58"/>
      <c r="J3" s="58">
        <v>0</v>
      </c>
      <c r="K3" s="59"/>
      <c r="L3" s="59"/>
      <c r="M3" s="59">
        <v>0</v>
      </c>
      <c r="N3" s="60">
        <f t="shared" si="0"/>
        <v>303</v>
      </c>
      <c r="O3" s="44">
        <v>170.07</v>
      </c>
      <c r="P3">
        <v>348</v>
      </c>
      <c r="Q3">
        <v>242</v>
      </c>
      <c r="R3" s="44">
        <v>170.08</v>
      </c>
      <c r="S3">
        <v>257</v>
      </c>
      <c r="T3">
        <v>180</v>
      </c>
    </row>
    <row r="4" spans="1:26">
      <c r="A4" s="61" t="s">
        <v>398</v>
      </c>
      <c r="B4" s="56">
        <v>170.08</v>
      </c>
      <c r="C4" s="56">
        <v>0.5</v>
      </c>
      <c r="D4" s="56">
        <v>129</v>
      </c>
      <c r="E4" s="57">
        <v>170.07</v>
      </c>
      <c r="F4" s="57">
        <v>0.5</v>
      </c>
      <c r="G4" s="57">
        <v>174</v>
      </c>
      <c r="H4" s="58">
        <v>170.05</v>
      </c>
      <c r="I4" s="58">
        <v>1</v>
      </c>
      <c r="J4" s="58">
        <v>202</v>
      </c>
      <c r="K4" s="59">
        <v>170.03</v>
      </c>
      <c r="L4" s="59">
        <v>0.75</v>
      </c>
      <c r="M4" s="59">
        <v>38</v>
      </c>
      <c r="N4" s="60">
        <f t="shared" si="0"/>
        <v>543</v>
      </c>
      <c r="O4" s="44">
        <v>170.08</v>
      </c>
      <c r="P4">
        <v>257</v>
      </c>
      <c r="Q4">
        <v>180</v>
      </c>
      <c r="R4" s="44">
        <v>170.07</v>
      </c>
      <c r="S4">
        <v>348</v>
      </c>
      <c r="T4">
        <v>242</v>
      </c>
      <c r="U4" s="44">
        <v>170.05</v>
      </c>
      <c r="V4">
        <v>202</v>
      </c>
      <c r="W4">
        <v>91</v>
      </c>
      <c r="X4" s="44">
        <v>170.03</v>
      </c>
      <c r="Y4">
        <v>50</v>
      </c>
      <c r="Z4">
        <v>76</v>
      </c>
    </row>
    <row r="5" spans="1:26">
      <c r="A5" s="61" t="s">
        <v>384</v>
      </c>
      <c r="B5" s="56">
        <v>180.01</v>
      </c>
      <c r="C5" s="56">
        <v>0.5</v>
      </c>
      <c r="D5" s="56">
        <v>719</v>
      </c>
      <c r="E5" s="57"/>
      <c r="F5" s="57"/>
      <c r="G5" s="57">
        <v>0</v>
      </c>
      <c r="H5" s="58"/>
      <c r="I5" s="58"/>
      <c r="J5" s="58">
        <v>0</v>
      </c>
      <c r="K5" s="59"/>
      <c r="L5" s="59"/>
      <c r="M5" s="59">
        <v>0</v>
      </c>
      <c r="N5" s="60">
        <f t="shared" si="0"/>
        <v>719</v>
      </c>
      <c r="O5" s="44">
        <v>180.01</v>
      </c>
      <c r="P5">
        <v>1438</v>
      </c>
      <c r="Q5">
        <v>785</v>
      </c>
    </row>
    <row r="6" spans="1:26">
      <c r="A6" s="61" t="s">
        <v>356</v>
      </c>
      <c r="B6" s="56">
        <v>180.03</v>
      </c>
      <c r="C6" s="56">
        <v>0.25</v>
      </c>
      <c r="D6" s="56">
        <v>221</v>
      </c>
      <c r="E6" s="57"/>
      <c r="F6" s="57"/>
      <c r="G6" s="57">
        <v>0</v>
      </c>
      <c r="H6" s="58"/>
      <c r="I6" s="58"/>
      <c r="J6" s="58">
        <v>0</v>
      </c>
      <c r="K6" s="59"/>
      <c r="L6" s="59"/>
      <c r="M6" s="59">
        <v>0</v>
      </c>
      <c r="N6" s="60">
        <f t="shared" si="0"/>
        <v>221</v>
      </c>
      <c r="O6" s="44">
        <v>180.03</v>
      </c>
      <c r="P6">
        <v>885</v>
      </c>
      <c r="Q6">
        <v>610</v>
      </c>
    </row>
    <row r="7" spans="1:26">
      <c r="A7" s="61" t="s">
        <v>379</v>
      </c>
      <c r="B7" s="56">
        <v>180.03</v>
      </c>
      <c r="C7" s="56">
        <v>0.5</v>
      </c>
      <c r="D7" s="56">
        <v>443</v>
      </c>
      <c r="E7" s="57"/>
      <c r="F7" s="57"/>
      <c r="G7" s="57">
        <v>0</v>
      </c>
      <c r="H7" s="58"/>
      <c r="I7" s="58"/>
      <c r="J7" s="58">
        <v>0</v>
      </c>
      <c r="K7" s="59"/>
      <c r="L7" s="59"/>
      <c r="M7" s="59">
        <v>0</v>
      </c>
      <c r="N7" s="60">
        <f t="shared" si="0"/>
        <v>443</v>
      </c>
      <c r="O7" s="44">
        <v>180.03</v>
      </c>
      <c r="P7">
        <v>885</v>
      </c>
      <c r="Q7">
        <v>610</v>
      </c>
    </row>
    <row r="8" spans="1:26">
      <c r="A8" s="61" t="s">
        <v>331</v>
      </c>
      <c r="B8" s="56">
        <v>180.03</v>
      </c>
      <c r="C8" s="56">
        <v>0.25</v>
      </c>
      <c r="D8" s="56">
        <v>221</v>
      </c>
      <c r="E8" s="57"/>
      <c r="F8" s="57"/>
      <c r="G8" s="57">
        <v>0</v>
      </c>
      <c r="H8" s="58"/>
      <c r="I8" s="58"/>
      <c r="J8" s="58">
        <v>0</v>
      </c>
      <c r="K8" s="59"/>
      <c r="L8" s="59"/>
      <c r="M8" s="59">
        <v>0</v>
      </c>
      <c r="N8" s="60">
        <f t="shared" si="0"/>
        <v>221</v>
      </c>
      <c r="O8" s="44">
        <v>180.03</v>
      </c>
      <c r="P8">
        <v>885</v>
      </c>
      <c r="Q8">
        <v>610</v>
      </c>
    </row>
    <row r="9" spans="1:26">
      <c r="A9" s="61" t="s">
        <v>392</v>
      </c>
      <c r="B9" s="56">
        <v>180.04</v>
      </c>
      <c r="C9" s="56">
        <v>1</v>
      </c>
      <c r="D9" s="56">
        <v>943</v>
      </c>
      <c r="E9" s="57"/>
      <c r="F9" s="57"/>
      <c r="G9" s="57">
        <v>0</v>
      </c>
      <c r="H9" s="58"/>
      <c r="I9" s="58"/>
      <c r="J9" s="58">
        <v>0</v>
      </c>
      <c r="K9" s="59"/>
      <c r="L9" s="59"/>
      <c r="M9" s="59">
        <v>0</v>
      </c>
      <c r="N9" s="60">
        <f t="shared" si="0"/>
        <v>943</v>
      </c>
      <c r="O9" s="44">
        <v>180.04</v>
      </c>
      <c r="P9">
        <v>943</v>
      </c>
      <c r="Q9">
        <v>649</v>
      </c>
    </row>
    <row r="10" spans="1:26">
      <c r="A10" s="61" t="s">
        <v>332</v>
      </c>
      <c r="B10" s="56">
        <v>181.03</v>
      </c>
      <c r="C10" s="56">
        <v>0.5</v>
      </c>
      <c r="D10" s="56">
        <v>179</v>
      </c>
      <c r="E10" s="57"/>
      <c r="F10" s="57"/>
      <c r="G10" s="57">
        <v>0</v>
      </c>
      <c r="H10" s="58"/>
      <c r="I10" s="58"/>
      <c r="J10" s="58">
        <v>0</v>
      </c>
      <c r="K10" s="59"/>
      <c r="L10" s="59"/>
      <c r="M10" s="59">
        <v>0</v>
      </c>
      <c r="N10" s="60">
        <f t="shared" si="0"/>
        <v>179</v>
      </c>
      <c r="O10" s="44">
        <v>181.03</v>
      </c>
      <c r="P10">
        <v>358</v>
      </c>
      <c r="Q10">
        <v>346</v>
      </c>
    </row>
    <row r="11" spans="1:26">
      <c r="A11" s="61" t="s">
        <v>340</v>
      </c>
      <c r="B11" s="56">
        <v>181.07</v>
      </c>
      <c r="C11" s="56">
        <v>1</v>
      </c>
      <c r="D11" s="56">
        <v>172</v>
      </c>
      <c r="E11" s="57"/>
      <c r="F11" s="57"/>
      <c r="G11" s="57">
        <v>0</v>
      </c>
      <c r="H11" s="58"/>
      <c r="I11" s="58"/>
      <c r="J11" s="58">
        <v>0</v>
      </c>
      <c r="K11" s="59"/>
      <c r="L11" s="59"/>
      <c r="M11" s="59">
        <v>0</v>
      </c>
      <c r="N11" s="60">
        <f t="shared" si="0"/>
        <v>172</v>
      </c>
      <c r="O11" s="44">
        <v>181.07</v>
      </c>
      <c r="P11">
        <v>172</v>
      </c>
      <c r="Q11">
        <v>266</v>
      </c>
    </row>
    <row r="12" spans="1:26">
      <c r="A12" s="61" t="s">
        <v>383</v>
      </c>
      <c r="B12" s="56">
        <v>181.08</v>
      </c>
      <c r="C12" s="56">
        <v>1</v>
      </c>
      <c r="D12" s="56">
        <v>255</v>
      </c>
      <c r="E12" s="57">
        <v>181.09</v>
      </c>
      <c r="F12" s="57">
        <v>1</v>
      </c>
      <c r="G12" s="57">
        <v>727</v>
      </c>
      <c r="H12" s="58"/>
      <c r="I12" s="58"/>
      <c r="J12" s="58">
        <v>0</v>
      </c>
      <c r="K12" s="59"/>
      <c r="L12" s="59"/>
      <c r="M12" s="59">
        <v>0</v>
      </c>
      <c r="N12" s="60">
        <f t="shared" si="0"/>
        <v>982</v>
      </c>
      <c r="O12" s="44">
        <v>181.08</v>
      </c>
      <c r="P12">
        <v>255</v>
      </c>
      <c r="Q12">
        <v>161</v>
      </c>
      <c r="R12" s="44">
        <v>181.09</v>
      </c>
      <c r="S12">
        <v>727</v>
      </c>
      <c r="T12">
        <v>561</v>
      </c>
    </row>
    <row r="13" spans="1:26">
      <c r="A13" s="61" t="s">
        <v>296</v>
      </c>
      <c r="B13" s="56">
        <v>181.1</v>
      </c>
      <c r="C13" s="56">
        <v>0.5</v>
      </c>
      <c r="D13" s="56">
        <v>169</v>
      </c>
      <c r="E13" s="57">
        <v>170.04</v>
      </c>
      <c r="F13" s="57">
        <v>0.75</v>
      </c>
      <c r="G13" s="57">
        <v>200</v>
      </c>
      <c r="H13" s="58"/>
      <c r="I13" s="58"/>
      <c r="J13" s="58">
        <v>0</v>
      </c>
      <c r="K13" s="59"/>
      <c r="L13" s="59"/>
      <c r="M13" s="59">
        <v>0</v>
      </c>
      <c r="N13" s="60">
        <f t="shared" si="0"/>
        <v>369</v>
      </c>
      <c r="O13" s="44">
        <v>181.1</v>
      </c>
      <c r="P13">
        <v>337</v>
      </c>
      <c r="Q13">
        <v>316</v>
      </c>
      <c r="R13" s="44">
        <v>170.04</v>
      </c>
      <c r="S13">
        <v>266</v>
      </c>
      <c r="T13">
        <v>299</v>
      </c>
    </row>
    <row r="14" spans="1:26">
      <c r="A14" s="61" t="s">
        <v>318</v>
      </c>
      <c r="B14" s="56">
        <v>181.12</v>
      </c>
      <c r="C14" s="56">
        <v>0.5</v>
      </c>
      <c r="D14" s="56">
        <v>173</v>
      </c>
      <c r="E14" s="57">
        <v>181.03</v>
      </c>
      <c r="F14" s="57">
        <v>0.5</v>
      </c>
      <c r="G14" s="57">
        <v>179</v>
      </c>
      <c r="H14" s="58"/>
      <c r="I14" s="58"/>
      <c r="J14" s="58">
        <v>0</v>
      </c>
      <c r="K14" s="59"/>
      <c r="L14" s="59"/>
      <c r="M14" s="59">
        <v>0</v>
      </c>
      <c r="N14" s="60">
        <f t="shared" si="0"/>
        <v>352</v>
      </c>
      <c r="O14" s="44">
        <v>181.12</v>
      </c>
      <c r="P14">
        <v>346</v>
      </c>
      <c r="Q14">
        <v>303</v>
      </c>
      <c r="R14" s="44">
        <v>181.03</v>
      </c>
      <c r="S14">
        <v>358</v>
      </c>
      <c r="T14">
        <v>346</v>
      </c>
    </row>
    <row r="15" spans="1:26">
      <c r="A15" s="61" t="s">
        <v>386</v>
      </c>
      <c r="B15" s="56">
        <v>181.13</v>
      </c>
      <c r="C15" s="56">
        <v>1</v>
      </c>
      <c r="D15" s="56">
        <v>184</v>
      </c>
      <c r="E15" s="57">
        <v>181.12</v>
      </c>
      <c r="F15" s="57">
        <v>0.5</v>
      </c>
      <c r="G15" s="57">
        <v>173</v>
      </c>
      <c r="H15" s="58">
        <v>181.14</v>
      </c>
      <c r="I15" s="58">
        <v>0.5</v>
      </c>
      <c r="J15" s="58">
        <v>161</v>
      </c>
      <c r="K15" s="59"/>
      <c r="L15" s="59"/>
      <c r="M15" s="59">
        <v>0</v>
      </c>
      <c r="N15" s="60">
        <f t="shared" si="0"/>
        <v>518</v>
      </c>
      <c r="O15" s="44">
        <v>181.13</v>
      </c>
      <c r="P15">
        <v>184</v>
      </c>
      <c r="Q15">
        <v>239</v>
      </c>
      <c r="R15" s="44">
        <v>181.12</v>
      </c>
      <c r="S15">
        <v>346</v>
      </c>
      <c r="T15">
        <v>303</v>
      </c>
      <c r="U15" s="44">
        <v>181.14</v>
      </c>
      <c r="V15">
        <v>321</v>
      </c>
      <c r="W15">
        <v>236</v>
      </c>
    </row>
    <row r="16" spans="1:26">
      <c r="A16" s="61" t="s">
        <v>337</v>
      </c>
      <c r="B16" s="56">
        <v>181.14</v>
      </c>
      <c r="C16" s="56">
        <v>0.5</v>
      </c>
      <c r="D16" s="56">
        <v>161</v>
      </c>
      <c r="E16" s="57">
        <v>181.05</v>
      </c>
      <c r="F16" s="57">
        <v>1</v>
      </c>
      <c r="G16" s="57">
        <v>2600</v>
      </c>
      <c r="H16" s="58"/>
      <c r="I16" s="58"/>
      <c r="J16" s="58">
        <v>0</v>
      </c>
      <c r="K16" s="59"/>
      <c r="L16" s="59"/>
      <c r="M16" s="59">
        <v>0</v>
      </c>
      <c r="N16" s="60">
        <f t="shared" si="0"/>
        <v>2761</v>
      </c>
      <c r="O16" s="44">
        <v>181.14</v>
      </c>
      <c r="P16">
        <v>321</v>
      </c>
      <c r="Q16">
        <v>236</v>
      </c>
      <c r="R16" s="44">
        <v>181.05</v>
      </c>
      <c r="S16">
        <v>2600</v>
      </c>
      <c r="T16">
        <v>205</v>
      </c>
    </row>
    <row r="17" spans="1:23">
      <c r="A17" s="61" t="s">
        <v>389</v>
      </c>
      <c r="B17" s="56">
        <v>181.16</v>
      </c>
      <c r="C17" s="56">
        <v>1</v>
      </c>
      <c r="D17" s="56">
        <v>181</v>
      </c>
      <c r="E17" s="57">
        <v>181.15</v>
      </c>
      <c r="F17" s="57">
        <v>1</v>
      </c>
      <c r="G17" s="57">
        <v>181</v>
      </c>
      <c r="H17" s="58"/>
      <c r="I17" s="58"/>
      <c r="J17" s="58">
        <v>0</v>
      </c>
      <c r="K17" s="59"/>
      <c r="L17" s="59"/>
      <c r="M17" s="59">
        <v>0</v>
      </c>
      <c r="N17" s="60">
        <f t="shared" si="0"/>
        <v>362</v>
      </c>
      <c r="O17" s="44">
        <v>181.16</v>
      </c>
      <c r="P17">
        <v>181</v>
      </c>
      <c r="Q17">
        <v>140</v>
      </c>
      <c r="R17" s="44">
        <v>181.15</v>
      </c>
      <c r="S17">
        <v>181</v>
      </c>
      <c r="T17">
        <v>139</v>
      </c>
    </row>
    <row r="18" spans="1:23">
      <c r="A18" s="61" t="s">
        <v>344</v>
      </c>
      <c r="B18" s="56">
        <v>182.01</v>
      </c>
      <c r="C18" s="56">
        <v>0.25</v>
      </c>
      <c r="D18" s="56">
        <v>150</v>
      </c>
      <c r="E18" s="57">
        <v>183.07</v>
      </c>
      <c r="F18" s="57">
        <v>0.3</v>
      </c>
      <c r="G18" s="57">
        <v>299</v>
      </c>
      <c r="H18" s="58"/>
      <c r="I18" s="58"/>
      <c r="J18" s="58">
        <v>0</v>
      </c>
      <c r="K18" s="59"/>
      <c r="L18" s="59"/>
      <c r="M18" s="59">
        <v>0</v>
      </c>
      <c r="N18" s="60">
        <f t="shared" si="0"/>
        <v>449</v>
      </c>
      <c r="O18" s="44">
        <v>182.01</v>
      </c>
      <c r="P18">
        <v>598</v>
      </c>
      <c r="Q18">
        <v>398</v>
      </c>
      <c r="R18" s="36">
        <v>183.07</v>
      </c>
      <c r="S18">
        <v>996</v>
      </c>
      <c r="T18">
        <v>829</v>
      </c>
    </row>
    <row r="19" spans="1:23">
      <c r="A19" s="61" t="s">
        <v>375</v>
      </c>
      <c r="B19" s="56">
        <v>182.01</v>
      </c>
      <c r="C19" s="56">
        <v>0.25</v>
      </c>
      <c r="D19" s="56">
        <v>150</v>
      </c>
      <c r="E19" s="57">
        <v>180.01</v>
      </c>
      <c r="F19" s="57">
        <v>0.5</v>
      </c>
      <c r="G19" s="57">
        <v>719</v>
      </c>
      <c r="H19" s="58"/>
      <c r="I19" s="58"/>
      <c r="J19" s="58">
        <v>0</v>
      </c>
      <c r="K19" s="59"/>
      <c r="L19" s="59"/>
      <c r="M19" s="59">
        <v>0</v>
      </c>
      <c r="N19" s="60">
        <f t="shared" si="0"/>
        <v>869</v>
      </c>
      <c r="O19" s="44">
        <v>182.01</v>
      </c>
      <c r="P19">
        <v>598</v>
      </c>
      <c r="Q19">
        <v>398</v>
      </c>
      <c r="R19" s="44">
        <v>180.01</v>
      </c>
      <c r="S19">
        <v>1438</v>
      </c>
      <c r="T19">
        <v>785</v>
      </c>
    </row>
    <row r="20" spans="1:23">
      <c r="A20" s="61" t="s">
        <v>393</v>
      </c>
      <c r="B20" s="56">
        <v>182.02</v>
      </c>
      <c r="C20" s="56">
        <v>0.5</v>
      </c>
      <c r="D20" s="56">
        <v>813</v>
      </c>
      <c r="E20" s="57"/>
      <c r="F20" s="57"/>
      <c r="G20" s="57">
        <v>0</v>
      </c>
      <c r="H20" s="58"/>
      <c r="I20" s="58"/>
      <c r="J20" s="58">
        <v>0</v>
      </c>
      <c r="K20" s="59"/>
      <c r="L20" s="59"/>
      <c r="M20" s="59">
        <v>0</v>
      </c>
      <c r="N20" s="60">
        <f t="shared" si="0"/>
        <v>813</v>
      </c>
      <c r="O20" s="36">
        <v>182.02</v>
      </c>
      <c r="P20">
        <v>1625</v>
      </c>
      <c r="Q20">
        <v>798</v>
      </c>
    </row>
    <row r="21" spans="1:23">
      <c r="A21" s="61" t="s">
        <v>291</v>
      </c>
      <c r="B21" s="56">
        <v>182.02</v>
      </c>
      <c r="C21" s="56">
        <v>0.5</v>
      </c>
      <c r="D21" s="56">
        <v>813</v>
      </c>
      <c r="E21" s="57"/>
      <c r="F21" s="57"/>
      <c r="G21" s="57">
        <v>0</v>
      </c>
      <c r="H21" s="58"/>
      <c r="I21" s="58"/>
      <c r="J21" s="58">
        <v>0</v>
      </c>
      <c r="K21" s="59"/>
      <c r="L21" s="59"/>
      <c r="M21" s="59">
        <v>0</v>
      </c>
      <c r="N21" s="60">
        <f t="shared" si="0"/>
        <v>813</v>
      </c>
      <c r="O21" s="36">
        <v>182.02</v>
      </c>
      <c r="P21">
        <v>1625</v>
      </c>
      <c r="Q21">
        <v>798</v>
      </c>
    </row>
    <row r="22" spans="1:23">
      <c r="A22" s="61" t="s">
        <v>400</v>
      </c>
      <c r="B22" s="56">
        <v>182.04</v>
      </c>
      <c r="C22" s="56">
        <v>1</v>
      </c>
      <c r="D22" s="56">
        <v>177</v>
      </c>
      <c r="E22" s="57">
        <v>187.16</v>
      </c>
      <c r="F22" s="57">
        <v>0.66700000000000004</v>
      </c>
      <c r="G22" s="57">
        <v>384</v>
      </c>
      <c r="H22" s="58"/>
      <c r="I22" s="58"/>
      <c r="J22" s="58">
        <v>0</v>
      </c>
      <c r="K22" s="59"/>
      <c r="L22" s="59"/>
      <c r="M22" s="59">
        <v>0</v>
      </c>
      <c r="N22" s="60">
        <f t="shared" si="0"/>
        <v>561</v>
      </c>
      <c r="O22" s="36">
        <v>182.04</v>
      </c>
      <c r="P22">
        <v>177</v>
      </c>
      <c r="Q22">
        <v>151</v>
      </c>
      <c r="R22" s="36">
        <v>187.16</v>
      </c>
      <c r="S22">
        <v>576</v>
      </c>
      <c r="T22">
        <v>429</v>
      </c>
    </row>
    <row r="23" spans="1:23">
      <c r="A23" s="61" t="s">
        <v>322</v>
      </c>
      <c r="B23" s="56">
        <v>182.05</v>
      </c>
      <c r="C23" s="56">
        <v>1</v>
      </c>
      <c r="D23" s="56">
        <v>917</v>
      </c>
      <c r="E23" s="57"/>
      <c r="F23" s="57"/>
      <c r="G23" s="57">
        <v>0</v>
      </c>
      <c r="H23" s="58"/>
      <c r="I23" s="58"/>
      <c r="J23" s="58">
        <v>0</v>
      </c>
      <c r="K23" s="59"/>
      <c r="L23" s="59"/>
      <c r="M23" s="59">
        <v>0</v>
      </c>
      <c r="N23" s="60">
        <f t="shared" si="0"/>
        <v>917</v>
      </c>
      <c r="O23" s="36">
        <v>182.05</v>
      </c>
      <c r="P23">
        <v>917</v>
      </c>
      <c r="Q23">
        <v>618</v>
      </c>
    </row>
    <row r="24" spans="1:23">
      <c r="A24" s="61" t="s">
        <v>351</v>
      </c>
      <c r="B24" s="56">
        <v>183.01</v>
      </c>
      <c r="C24" s="56">
        <v>1</v>
      </c>
      <c r="D24" s="56">
        <v>549</v>
      </c>
      <c r="E24" s="57"/>
      <c r="F24" s="57"/>
      <c r="G24" s="57">
        <v>0</v>
      </c>
      <c r="H24" s="58"/>
      <c r="I24" s="58"/>
      <c r="J24" s="58">
        <v>0</v>
      </c>
      <c r="K24" s="59"/>
      <c r="L24" s="59"/>
      <c r="M24" s="59">
        <v>0</v>
      </c>
      <c r="N24" s="60">
        <f t="shared" si="0"/>
        <v>549</v>
      </c>
      <c r="O24" s="36">
        <v>183.01</v>
      </c>
      <c r="P24">
        <v>549</v>
      </c>
      <c r="Q24">
        <v>464</v>
      </c>
    </row>
    <row r="25" spans="1:23">
      <c r="A25" s="61" t="s">
        <v>329</v>
      </c>
      <c r="B25" s="56">
        <v>183.03</v>
      </c>
      <c r="C25" s="56">
        <v>0.5</v>
      </c>
      <c r="D25" s="56">
        <v>260</v>
      </c>
      <c r="E25" s="57">
        <v>183.07</v>
      </c>
      <c r="F25" s="57">
        <v>0.2</v>
      </c>
      <c r="G25" s="57">
        <v>199</v>
      </c>
      <c r="H25" s="58"/>
      <c r="I25" s="58"/>
      <c r="J25" s="58">
        <v>0</v>
      </c>
      <c r="K25" s="59"/>
      <c r="L25" s="59"/>
      <c r="M25" s="59">
        <v>0</v>
      </c>
      <c r="N25" s="60">
        <f t="shared" si="0"/>
        <v>459</v>
      </c>
      <c r="O25" s="36">
        <v>183.03</v>
      </c>
      <c r="P25">
        <v>519</v>
      </c>
      <c r="Q25">
        <v>341</v>
      </c>
      <c r="R25" s="36">
        <v>183.07</v>
      </c>
      <c r="S25">
        <v>996</v>
      </c>
      <c r="T25">
        <v>829</v>
      </c>
    </row>
    <row r="26" spans="1:23">
      <c r="A26" s="61" t="s">
        <v>339</v>
      </c>
      <c r="B26" s="56">
        <v>183.03</v>
      </c>
      <c r="C26" s="56">
        <v>0.5</v>
      </c>
      <c r="D26" s="56">
        <v>260</v>
      </c>
      <c r="E26" s="57">
        <v>183.07</v>
      </c>
      <c r="F26" s="57">
        <v>0.1</v>
      </c>
      <c r="G26" s="57">
        <v>100</v>
      </c>
      <c r="H26" s="58">
        <v>182.01</v>
      </c>
      <c r="I26" s="58">
        <v>0.25</v>
      </c>
      <c r="J26" s="58">
        <v>150</v>
      </c>
      <c r="K26" s="59"/>
      <c r="L26" s="59"/>
      <c r="M26" s="59">
        <v>0</v>
      </c>
      <c r="N26" s="60">
        <f t="shared" si="0"/>
        <v>510</v>
      </c>
      <c r="O26" s="36">
        <v>183.03</v>
      </c>
      <c r="P26">
        <v>519</v>
      </c>
      <c r="Q26">
        <v>341</v>
      </c>
      <c r="R26" s="36">
        <v>183.07</v>
      </c>
      <c r="S26">
        <v>996</v>
      </c>
      <c r="T26">
        <v>829</v>
      </c>
      <c r="U26" s="44">
        <v>182.01</v>
      </c>
      <c r="V26">
        <v>598</v>
      </c>
      <c r="W26">
        <v>398</v>
      </c>
    </row>
    <row r="27" spans="1:23">
      <c r="A27" s="61" t="s">
        <v>359</v>
      </c>
      <c r="B27" s="56">
        <v>183.05</v>
      </c>
      <c r="C27" s="56">
        <v>0.5</v>
      </c>
      <c r="D27" s="56">
        <v>1023</v>
      </c>
      <c r="E27" s="57"/>
      <c r="F27" s="57"/>
      <c r="G27" s="57">
        <v>0</v>
      </c>
      <c r="H27" s="58"/>
      <c r="I27" s="58"/>
      <c r="J27" s="58">
        <v>0</v>
      </c>
      <c r="K27" s="59"/>
      <c r="L27" s="59"/>
      <c r="M27" s="59">
        <v>0</v>
      </c>
      <c r="N27" s="60">
        <f t="shared" si="0"/>
        <v>1023</v>
      </c>
      <c r="O27" s="36">
        <v>183.05</v>
      </c>
      <c r="P27">
        <v>2046</v>
      </c>
      <c r="Q27">
        <v>1031</v>
      </c>
    </row>
    <row r="28" spans="1:23">
      <c r="A28" s="61" t="s">
        <v>294</v>
      </c>
      <c r="B28" s="56">
        <v>183.05</v>
      </c>
      <c r="C28" s="56">
        <v>0.5</v>
      </c>
      <c r="D28" s="56">
        <v>1023</v>
      </c>
      <c r="E28" s="57"/>
      <c r="F28" s="57"/>
      <c r="G28" s="57">
        <v>0</v>
      </c>
      <c r="H28" s="58"/>
      <c r="I28" s="58"/>
      <c r="J28" s="58">
        <v>0</v>
      </c>
      <c r="K28" s="59"/>
      <c r="L28" s="59"/>
      <c r="M28" s="59">
        <v>0</v>
      </c>
      <c r="N28" s="60">
        <f t="shared" si="0"/>
        <v>1023</v>
      </c>
      <c r="O28" s="36">
        <v>183.05</v>
      </c>
      <c r="P28">
        <v>2046</v>
      </c>
      <c r="Q28">
        <v>1031</v>
      </c>
    </row>
    <row r="29" spans="1:23">
      <c r="A29" s="61" t="s">
        <v>369</v>
      </c>
      <c r="B29" s="56">
        <v>183.07</v>
      </c>
      <c r="C29" s="56">
        <v>0.4</v>
      </c>
      <c r="D29" s="56">
        <v>398</v>
      </c>
      <c r="E29" s="57">
        <v>183.06</v>
      </c>
      <c r="F29" s="57">
        <v>1</v>
      </c>
      <c r="G29" s="57">
        <v>216</v>
      </c>
      <c r="H29" s="58">
        <v>182.01</v>
      </c>
      <c r="I29" s="58">
        <v>0.25</v>
      </c>
      <c r="J29" s="58">
        <v>150</v>
      </c>
      <c r="K29" s="59"/>
      <c r="L29" s="59"/>
      <c r="M29" s="59">
        <v>0</v>
      </c>
      <c r="N29" s="60">
        <f t="shared" si="0"/>
        <v>764</v>
      </c>
      <c r="O29" s="36">
        <v>183.07</v>
      </c>
      <c r="P29">
        <v>996</v>
      </c>
      <c r="Q29">
        <v>829</v>
      </c>
      <c r="R29" s="36">
        <v>183.06</v>
      </c>
      <c r="S29">
        <v>216</v>
      </c>
      <c r="T29">
        <v>136</v>
      </c>
      <c r="U29" s="44">
        <v>182.01</v>
      </c>
      <c r="V29">
        <v>598</v>
      </c>
      <c r="W29">
        <v>398</v>
      </c>
    </row>
    <row r="30" spans="1:23">
      <c r="A30" s="61" t="s">
        <v>366</v>
      </c>
      <c r="B30" s="56">
        <v>183.08</v>
      </c>
      <c r="C30" s="56">
        <v>1</v>
      </c>
      <c r="D30" s="56">
        <v>1379</v>
      </c>
      <c r="E30" s="57"/>
      <c r="F30" s="57"/>
      <c r="G30" s="57">
        <v>0</v>
      </c>
      <c r="H30" s="58"/>
      <c r="I30" s="58"/>
      <c r="J30" s="58">
        <v>0</v>
      </c>
      <c r="K30" s="59"/>
      <c r="L30" s="59"/>
      <c r="M30" s="59">
        <v>0</v>
      </c>
      <c r="N30" s="60">
        <f t="shared" si="0"/>
        <v>1379</v>
      </c>
      <c r="O30" s="36">
        <v>183.08</v>
      </c>
      <c r="P30">
        <v>1379</v>
      </c>
      <c r="Q30">
        <v>701</v>
      </c>
    </row>
    <row r="31" spans="1:23">
      <c r="A31" s="61" t="s">
        <v>358</v>
      </c>
      <c r="B31" s="56">
        <v>183.09</v>
      </c>
      <c r="C31" s="56">
        <v>0.5</v>
      </c>
      <c r="D31" s="56">
        <v>705</v>
      </c>
      <c r="E31" s="57"/>
      <c r="F31" s="57"/>
      <c r="G31" s="57">
        <v>0</v>
      </c>
      <c r="H31" s="58"/>
      <c r="I31" s="58"/>
      <c r="J31" s="58">
        <v>0</v>
      </c>
      <c r="K31" s="59"/>
      <c r="L31" s="59"/>
      <c r="M31" s="59">
        <v>0</v>
      </c>
      <c r="N31" s="60">
        <f t="shared" si="0"/>
        <v>705</v>
      </c>
      <c r="O31" s="43">
        <v>183.09</v>
      </c>
      <c r="P31">
        <v>1410</v>
      </c>
      <c r="Q31">
        <v>587</v>
      </c>
    </row>
    <row r="32" spans="1:23">
      <c r="A32" s="61" t="s">
        <v>321</v>
      </c>
      <c r="B32" s="56">
        <v>183.09</v>
      </c>
      <c r="C32" s="56">
        <v>0.5</v>
      </c>
      <c r="D32" s="56">
        <v>705</v>
      </c>
      <c r="E32" s="57"/>
      <c r="F32" s="57"/>
      <c r="G32" s="57">
        <v>0</v>
      </c>
      <c r="H32" s="58"/>
      <c r="I32" s="58"/>
      <c r="J32" s="58">
        <v>0</v>
      </c>
      <c r="K32" s="59"/>
      <c r="L32" s="59"/>
      <c r="M32" s="59">
        <v>0</v>
      </c>
      <c r="N32" s="60">
        <f t="shared" si="0"/>
        <v>705</v>
      </c>
      <c r="O32" s="43">
        <v>183.09</v>
      </c>
      <c r="P32">
        <v>1410</v>
      </c>
      <c r="Q32">
        <v>587</v>
      </c>
    </row>
    <row r="33" spans="1:23">
      <c r="A33" s="61" t="s">
        <v>297</v>
      </c>
      <c r="B33" s="56">
        <v>184.02</v>
      </c>
      <c r="C33" s="56">
        <v>1</v>
      </c>
      <c r="D33" s="56">
        <v>928</v>
      </c>
      <c r="E33" s="57">
        <v>184.16</v>
      </c>
      <c r="F33" s="57">
        <v>0.25</v>
      </c>
      <c r="G33" s="57">
        <v>163</v>
      </c>
      <c r="H33" s="58"/>
      <c r="I33" s="58"/>
      <c r="J33" s="58">
        <v>0</v>
      </c>
      <c r="K33" s="59"/>
      <c r="L33" s="59"/>
      <c r="M33" s="59">
        <v>0</v>
      </c>
      <c r="N33" s="60">
        <f t="shared" si="0"/>
        <v>1091</v>
      </c>
      <c r="O33" s="33">
        <v>184.02</v>
      </c>
      <c r="P33">
        <v>928</v>
      </c>
      <c r="Q33">
        <v>467</v>
      </c>
      <c r="R33" s="33">
        <v>184.16</v>
      </c>
      <c r="S33">
        <v>650</v>
      </c>
      <c r="T33">
        <v>252</v>
      </c>
    </row>
    <row r="34" spans="1:23">
      <c r="A34" s="61" t="s">
        <v>394</v>
      </c>
      <c r="B34" s="56">
        <v>184.06</v>
      </c>
      <c r="C34" s="56">
        <v>0.66700000000000004</v>
      </c>
      <c r="D34" s="56">
        <v>1403</v>
      </c>
      <c r="E34" s="57">
        <v>182.03</v>
      </c>
      <c r="F34" s="57">
        <v>0.2</v>
      </c>
      <c r="G34" s="57">
        <v>24</v>
      </c>
      <c r="H34" s="58"/>
      <c r="I34" s="58"/>
      <c r="J34" s="58">
        <v>0</v>
      </c>
      <c r="K34" s="59"/>
      <c r="L34" s="59"/>
      <c r="M34" s="59">
        <v>0</v>
      </c>
      <c r="N34" s="60">
        <f t="shared" si="0"/>
        <v>1427</v>
      </c>
      <c r="O34" s="33">
        <v>184.06</v>
      </c>
      <c r="P34">
        <v>2104</v>
      </c>
      <c r="Q34">
        <v>1103</v>
      </c>
      <c r="R34" s="33">
        <v>182.03</v>
      </c>
      <c r="S34">
        <v>120</v>
      </c>
      <c r="T34">
        <v>163</v>
      </c>
    </row>
    <row r="35" spans="1:23">
      <c r="A35" s="61" t="s">
        <v>352</v>
      </c>
      <c r="B35" s="56">
        <v>184.06</v>
      </c>
      <c r="C35" s="56">
        <v>0.33300000000000002</v>
      </c>
      <c r="D35" s="56">
        <v>701</v>
      </c>
      <c r="E35" s="57">
        <v>184.07</v>
      </c>
      <c r="F35" s="57">
        <v>1</v>
      </c>
      <c r="G35" s="57">
        <v>262</v>
      </c>
      <c r="H35" s="58"/>
      <c r="I35" s="58"/>
      <c r="J35" s="58">
        <v>0</v>
      </c>
      <c r="K35" s="59"/>
      <c r="L35" s="59"/>
      <c r="M35" s="59">
        <v>0</v>
      </c>
      <c r="N35" s="60">
        <f t="shared" si="0"/>
        <v>963</v>
      </c>
      <c r="O35" s="33">
        <v>184.06</v>
      </c>
      <c r="P35">
        <v>2104</v>
      </c>
      <c r="Q35">
        <v>1103</v>
      </c>
      <c r="R35" s="33">
        <v>184.07</v>
      </c>
      <c r="S35">
        <v>262</v>
      </c>
      <c r="T35">
        <v>136</v>
      </c>
    </row>
    <row r="36" spans="1:23">
      <c r="A36" s="61" t="s">
        <v>362</v>
      </c>
      <c r="B36" s="56">
        <v>184.08</v>
      </c>
      <c r="C36" s="56">
        <v>1</v>
      </c>
      <c r="D36" s="56">
        <v>763</v>
      </c>
      <c r="E36" s="57"/>
      <c r="F36" s="57"/>
      <c r="G36" s="57">
        <v>0</v>
      </c>
      <c r="H36" s="58"/>
      <c r="I36" s="58"/>
      <c r="J36" s="58">
        <v>0</v>
      </c>
      <c r="K36" s="59"/>
      <c r="L36" s="59"/>
      <c r="M36" s="59">
        <v>0</v>
      </c>
      <c r="N36" s="60">
        <f t="shared" si="0"/>
        <v>763</v>
      </c>
      <c r="O36" s="33">
        <v>184.08</v>
      </c>
      <c r="P36">
        <v>763</v>
      </c>
      <c r="Q36">
        <v>544</v>
      </c>
    </row>
    <row r="37" spans="1:23">
      <c r="A37" s="61" t="s">
        <v>372</v>
      </c>
      <c r="B37" s="56">
        <v>184.09</v>
      </c>
      <c r="C37" s="56">
        <v>0.5</v>
      </c>
      <c r="D37" s="56">
        <v>283</v>
      </c>
      <c r="E37" s="57">
        <v>184.1</v>
      </c>
      <c r="F37" s="57">
        <v>0.5</v>
      </c>
      <c r="G37" s="57">
        <v>354</v>
      </c>
      <c r="H37" s="58"/>
      <c r="I37" s="58"/>
      <c r="J37" s="58">
        <v>0</v>
      </c>
      <c r="K37" s="59"/>
      <c r="L37" s="59"/>
      <c r="M37" s="59">
        <v>0</v>
      </c>
      <c r="N37" s="60">
        <f t="shared" si="0"/>
        <v>637</v>
      </c>
      <c r="O37" s="33">
        <v>184.09</v>
      </c>
      <c r="P37">
        <v>566</v>
      </c>
      <c r="Q37">
        <v>368</v>
      </c>
      <c r="R37" s="33">
        <v>184.1</v>
      </c>
      <c r="S37">
        <v>708</v>
      </c>
      <c r="T37">
        <v>609</v>
      </c>
    </row>
    <row r="38" spans="1:23">
      <c r="A38" s="61" t="s">
        <v>365</v>
      </c>
      <c r="B38" s="56">
        <v>184.1</v>
      </c>
      <c r="C38" s="56">
        <v>0.5</v>
      </c>
      <c r="D38" s="56">
        <v>354</v>
      </c>
      <c r="E38" s="57"/>
      <c r="F38" s="57"/>
      <c r="G38" s="57">
        <v>0</v>
      </c>
      <c r="H38" s="58"/>
      <c r="I38" s="58"/>
      <c r="J38" s="58">
        <v>0</v>
      </c>
      <c r="K38" s="59"/>
      <c r="L38" s="59"/>
      <c r="M38" s="59">
        <v>0</v>
      </c>
      <c r="N38" s="60">
        <f t="shared" si="0"/>
        <v>354</v>
      </c>
      <c r="O38" s="33">
        <v>184.1</v>
      </c>
      <c r="P38">
        <v>708</v>
      </c>
      <c r="Q38">
        <v>609</v>
      </c>
    </row>
    <row r="39" spans="1:23">
      <c r="A39" s="61" t="s">
        <v>319</v>
      </c>
      <c r="B39" s="56">
        <v>184.11</v>
      </c>
      <c r="C39" s="56">
        <v>1</v>
      </c>
      <c r="D39" s="56">
        <v>1099</v>
      </c>
      <c r="E39" s="57"/>
      <c r="F39" s="57"/>
      <c r="G39" s="57">
        <v>0</v>
      </c>
      <c r="H39" s="58"/>
      <c r="I39" s="58"/>
      <c r="J39" s="58">
        <v>0</v>
      </c>
      <c r="K39" s="59"/>
      <c r="L39" s="59"/>
      <c r="M39" s="59">
        <v>0</v>
      </c>
      <c r="N39" s="60">
        <f t="shared" si="0"/>
        <v>1099</v>
      </c>
      <c r="O39" s="33">
        <v>184.11</v>
      </c>
      <c r="P39">
        <v>1099</v>
      </c>
      <c r="Q39">
        <v>1047</v>
      </c>
    </row>
    <row r="40" spans="1:23">
      <c r="A40" s="61" t="s">
        <v>353</v>
      </c>
      <c r="B40" s="56">
        <v>184.12</v>
      </c>
      <c r="C40" s="56">
        <v>0.5</v>
      </c>
      <c r="D40" s="56">
        <v>740</v>
      </c>
      <c r="E40" s="57">
        <v>184.13</v>
      </c>
      <c r="F40" s="57">
        <v>0.1</v>
      </c>
      <c r="G40" s="57">
        <v>33</v>
      </c>
      <c r="H40" s="58">
        <v>184.14</v>
      </c>
      <c r="I40" s="58">
        <v>0.2</v>
      </c>
      <c r="J40" s="58">
        <v>333</v>
      </c>
      <c r="K40" s="59"/>
      <c r="L40" s="59"/>
      <c r="M40" s="59">
        <v>0</v>
      </c>
      <c r="N40" s="60">
        <f t="shared" si="0"/>
        <v>1106</v>
      </c>
      <c r="O40" s="33">
        <v>184.12</v>
      </c>
      <c r="P40">
        <v>1480</v>
      </c>
      <c r="Q40">
        <v>771</v>
      </c>
      <c r="R40" s="33">
        <v>184.13</v>
      </c>
      <c r="S40">
        <v>328</v>
      </c>
      <c r="T40">
        <v>347</v>
      </c>
      <c r="U40" s="33">
        <v>184.14</v>
      </c>
      <c r="V40">
        <v>1664</v>
      </c>
      <c r="W40">
        <v>680</v>
      </c>
    </row>
    <row r="41" spans="1:23">
      <c r="A41" s="61" t="s">
        <v>345</v>
      </c>
      <c r="B41" s="56">
        <v>184.13</v>
      </c>
      <c r="C41" s="56">
        <v>0.3</v>
      </c>
      <c r="D41" s="56">
        <v>98</v>
      </c>
      <c r="E41" s="57">
        <v>184.12</v>
      </c>
      <c r="F41" s="57">
        <v>0.3</v>
      </c>
      <c r="G41" s="57">
        <v>444</v>
      </c>
      <c r="H41" s="58"/>
      <c r="I41" s="58"/>
      <c r="J41" s="58">
        <v>0</v>
      </c>
      <c r="K41" s="59"/>
      <c r="L41" s="59"/>
      <c r="M41" s="59">
        <v>0</v>
      </c>
      <c r="N41" s="60">
        <f t="shared" si="0"/>
        <v>542</v>
      </c>
      <c r="O41" s="33">
        <v>184.13</v>
      </c>
      <c r="P41">
        <v>328</v>
      </c>
      <c r="Q41">
        <v>347</v>
      </c>
      <c r="R41" s="33">
        <v>184.12</v>
      </c>
      <c r="S41">
        <v>1480</v>
      </c>
      <c r="T41">
        <v>771</v>
      </c>
    </row>
    <row r="42" spans="1:23">
      <c r="A42" s="61" t="s">
        <v>391</v>
      </c>
      <c r="B42" s="56">
        <v>184.13</v>
      </c>
      <c r="C42" s="56">
        <v>0.2</v>
      </c>
      <c r="D42" s="56">
        <v>66</v>
      </c>
      <c r="E42" s="57">
        <v>182.03</v>
      </c>
      <c r="F42" s="57">
        <v>0.4</v>
      </c>
      <c r="G42" s="57">
        <v>48</v>
      </c>
      <c r="H42" s="58"/>
      <c r="I42" s="58"/>
      <c r="J42" s="58">
        <v>0</v>
      </c>
      <c r="K42" s="59"/>
      <c r="L42" s="59"/>
      <c r="M42" s="59">
        <v>0</v>
      </c>
      <c r="N42" s="60">
        <f t="shared" si="0"/>
        <v>114</v>
      </c>
      <c r="O42" s="33">
        <v>184.13</v>
      </c>
      <c r="P42">
        <v>328</v>
      </c>
      <c r="Q42">
        <v>347</v>
      </c>
      <c r="R42" s="33">
        <v>182.03</v>
      </c>
      <c r="S42">
        <v>120</v>
      </c>
      <c r="T42">
        <v>163</v>
      </c>
    </row>
    <row r="43" spans="1:23">
      <c r="A43" s="61" t="s">
        <v>316</v>
      </c>
      <c r="B43" s="56">
        <v>184.14</v>
      </c>
      <c r="C43" s="56">
        <v>0.8</v>
      </c>
      <c r="D43" s="56">
        <v>1331</v>
      </c>
      <c r="E43" s="57">
        <v>184.13</v>
      </c>
      <c r="F43" s="57">
        <v>0.2</v>
      </c>
      <c r="G43" s="57">
        <v>66</v>
      </c>
      <c r="H43" s="58"/>
      <c r="I43" s="58"/>
      <c r="J43" s="58">
        <v>0</v>
      </c>
      <c r="K43" s="59"/>
      <c r="L43" s="59"/>
      <c r="M43" s="59">
        <v>0</v>
      </c>
      <c r="N43" s="60">
        <f t="shared" si="0"/>
        <v>1397</v>
      </c>
      <c r="O43" s="33">
        <v>184.14</v>
      </c>
      <c r="P43">
        <v>1664</v>
      </c>
      <c r="Q43">
        <v>680</v>
      </c>
      <c r="R43" s="33">
        <v>184.13</v>
      </c>
      <c r="S43">
        <v>328</v>
      </c>
      <c r="T43">
        <v>347</v>
      </c>
    </row>
    <row r="44" spans="1:23">
      <c r="A44" s="61" t="s">
        <v>371</v>
      </c>
      <c r="B44" s="56">
        <v>184.16</v>
      </c>
      <c r="C44" s="56">
        <v>0.6</v>
      </c>
      <c r="D44" s="56">
        <v>390</v>
      </c>
      <c r="E44" s="57"/>
      <c r="F44" s="57"/>
      <c r="G44" s="57">
        <v>0</v>
      </c>
      <c r="H44" s="58"/>
      <c r="I44" s="58"/>
      <c r="J44" s="58">
        <v>0</v>
      </c>
      <c r="K44" s="59"/>
      <c r="L44" s="59"/>
      <c r="M44" s="59">
        <v>0</v>
      </c>
      <c r="N44" s="60">
        <f t="shared" si="0"/>
        <v>390</v>
      </c>
      <c r="O44" s="33">
        <v>184.16</v>
      </c>
      <c r="P44">
        <v>650</v>
      </c>
      <c r="Q44">
        <v>252</v>
      </c>
    </row>
    <row r="45" spans="1:23">
      <c r="A45" s="61" t="s">
        <v>315</v>
      </c>
      <c r="B45" s="56">
        <v>184.16</v>
      </c>
      <c r="C45" s="56">
        <v>0.15</v>
      </c>
      <c r="D45" s="56">
        <v>98</v>
      </c>
      <c r="E45" s="57">
        <v>184.15</v>
      </c>
      <c r="F45" s="57">
        <v>1</v>
      </c>
      <c r="G45" s="57">
        <v>237</v>
      </c>
      <c r="H45" s="58">
        <v>184.09</v>
      </c>
      <c r="I45" s="58">
        <v>0.5</v>
      </c>
      <c r="J45" s="58">
        <v>283</v>
      </c>
      <c r="K45" s="59"/>
      <c r="L45" s="59"/>
      <c r="M45" s="59">
        <v>0</v>
      </c>
      <c r="N45" s="60">
        <f t="shared" si="0"/>
        <v>618</v>
      </c>
      <c r="O45" s="33">
        <v>184.16</v>
      </c>
      <c r="P45">
        <v>650</v>
      </c>
      <c r="Q45">
        <v>252</v>
      </c>
      <c r="R45" s="33">
        <v>184.15</v>
      </c>
      <c r="S45">
        <v>237</v>
      </c>
      <c r="T45">
        <v>276</v>
      </c>
      <c r="U45" s="33">
        <v>184.09</v>
      </c>
      <c r="V45">
        <v>566</v>
      </c>
      <c r="W45">
        <v>368</v>
      </c>
    </row>
    <row r="46" spans="1:23">
      <c r="A46" s="61" t="s">
        <v>395</v>
      </c>
      <c r="B46" s="56">
        <v>185.05</v>
      </c>
      <c r="C46" s="56">
        <v>0.8</v>
      </c>
      <c r="D46" s="56">
        <v>305</v>
      </c>
      <c r="E46" s="57"/>
      <c r="F46" s="57"/>
      <c r="G46" s="57">
        <v>0</v>
      </c>
      <c r="H46" s="58"/>
      <c r="I46" s="58"/>
      <c r="J46" s="58">
        <v>0</v>
      </c>
      <c r="K46" s="59"/>
      <c r="L46" s="59"/>
      <c r="M46" s="59">
        <v>0</v>
      </c>
      <c r="N46" s="60">
        <f t="shared" si="0"/>
        <v>305</v>
      </c>
      <c r="O46" s="1">
        <v>185.05</v>
      </c>
      <c r="P46">
        <v>381</v>
      </c>
      <c r="Q46">
        <v>628</v>
      </c>
    </row>
    <row r="47" spans="1:23">
      <c r="A47" s="61" t="s">
        <v>380</v>
      </c>
      <c r="B47" s="56">
        <v>185.07</v>
      </c>
      <c r="C47" s="56">
        <v>0.33300000000000002</v>
      </c>
      <c r="D47" s="56">
        <v>353</v>
      </c>
      <c r="E47" s="57"/>
      <c r="F47" s="57"/>
      <c r="G47" s="57">
        <v>0</v>
      </c>
      <c r="H47" s="58"/>
      <c r="I47" s="58"/>
      <c r="J47" s="58">
        <v>0</v>
      </c>
      <c r="K47" s="59"/>
      <c r="L47" s="59"/>
      <c r="M47" s="59">
        <v>0</v>
      </c>
      <c r="N47" s="60">
        <f t="shared" si="0"/>
        <v>353</v>
      </c>
      <c r="O47" s="32">
        <v>185.07</v>
      </c>
      <c r="P47">
        <v>1061</v>
      </c>
      <c r="Q47">
        <v>911</v>
      </c>
    </row>
    <row r="48" spans="1:23">
      <c r="A48" s="61" t="s">
        <v>377</v>
      </c>
      <c r="B48" s="56">
        <v>185.07</v>
      </c>
      <c r="C48" s="56">
        <v>0.33300000000000002</v>
      </c>
      <c r="D48" s="56">
        <v>353</v>
      </c>
      <c r="E48" s="57">
        <v>184.12</v>
      </c>
      <c r="F48" s="57">
        <v>0.2</v>
      </c>
      <c r="G48" s="57">
        <v>296</v>
      </c>
      <c r="H48" s="58">
        <v>184.13</v>
      </c>
      <c r="I48" s="58">
        <v>0.2</v>
      </c>
      <c r="J48" s="58">
        <v>66</v>
      </c>
      <c r="K48" s="59"/>
      <c r="L48" s="59"/>
      <c r="M48" s="59">
        <v>0</v>
      </c>
      <c r="N48" s="60">
        <f t="shared" si="0"/>
        <v>715</v>
      </c>
      <c r="O48" s="32">
        <v>185.07</v>
      </c>
      <c r="P48">
        <v>1061</v>
      </c>
      <c r="Q48">
        <v>911</v>
      </c>
      <c r="R48" s="33">
        <v>184.12</v>
      </c>
      <c r="S48">
        <v>1480</v>
      </c>
      <c r="T48">
        <v>771</v>
      </c>
      <c r="U48" s="33">
        <v>184.13</v>
      </c>
      <c r="V48">
        <v>328</v>
      </c>
      <c r="W48">
        <v>347</v>
      </c>
    </row>
    <row r="49" spans="1:23">
      <c r="A49" s="61" t="s">
        <v>367</v>
      </c>
      <c r="B49" s="56">
        <v>185.09</v>
      </c>
      <c r="C49" s="56">
        <v>0.66700000000000004</v>
      </c>
      <c r="D49" s="56">
        <v>350</v>
      </c>
      <c r="E49" s="57"/>
      <c r="F49" s="57"/>
      <c r="G49" s="57">
        <v>0</v>
      </c>
      <c r="H49" s="58"/>
      <c r="I49" s="58"/>
      <c r="J49" s="58">
        <v>0</v>
      </c>
      <c r="K49" s="59"/>
      <c r="L49" s="59"/>
      <c r="M49" s="59">
        <v>0</v>
      </c>
      <c r="N49" s="60">
        <f t="shared" si="0"/>
        <v>350</v>
      </c>
      <c r="O49" s="32">
        <v>185.09</v>
      </c>
      <c r="P49">
        <v>525</v>
      </c>
      <c r="Q49">
        <v>373</v>
      </c>
    </row>
    <row r="50" spans="1:23">
      <c r="A50" s="61" t="s">
        <v>390</v>
      </c>
      <c r="B50" s="56">
        <v>185.1</v>
      </c>
      <c r="C50" s="56">
        <v>0.5</v>
      </c>
      <c r="D50" s="56">
        <v>179</v>
      </c>
      <c r="E50" s="57">
        <v>185.11</v>
      </c>
      <c r="F50" s="57">
        <v>0.33300000000000002</v>
      </c>
      <c r="G50" s="57">
        <v>350</v>
      </c>
      <c r="H50" s="58"/>
      <c r="I50" s="58"/>
      <c r="J50" s="58">
        <v>0</v>
      </c>
      <c r="K50" s="59"/>
      <c r="L50" s="59"/>
      <c r="M50" s="59">
        <v>0</v>
      </c>
      <c r="N50" s="60">
        <f t="shared" si="0"/>
        <v>529</v>
      </c>
      <c r="O50" s="32">
        <v>185.1</v>
      </c>
      <c r="P50">
        <v>358</v>
      </c>
      <c r="Q50">
        <v>438</v>
      </c>
      <c r="R50" s="32">
        <v>185.11</v>
      </c>
      <c r="S50">
        <v>1052</v>
      </c>
      <c r="T50">
        <v>593</v>
      </c>
    </row>
    <row r="51" spans="1:23">
      <c r="A51" s="61" t="s">
        <v>397</v>
      </c>
      <c r="B51" s="56">
        <v>185.11</v>
      </c>
      <c r="C51" s="56">
        <v>0.66700000000000004</v>
      </c>
      <c r="D51" s="56">
        <v>702</v>
      </c>
      <c r="E51" s="57"/>
      <c r="F51" s="57"/>
      <c r="G51" s="57">
        <v>0</v>
      </c>
      <c r="H51" s="58"/>
      <c r="I51" s="58"/>
      <c r="J51" s="58">
        <v>0</v>
      </c>
      <c r="K51" s="59"/>
      <c r="L51" s="59"/>
      <c r="M51" s="59">
        <v>0</v>
      </c>
      <c r="N51" s="60">
        <f t="shared" si="0"/>
        <v>702</v>
      </c>
      <c r="O51" s="32">
        <v>185.11</v>
      </c>
      <c r="P51">
        <v>1052</v>
      </c>
      <c r="Q51">
        <v>593</v>
      </c>
    </row>
    <row r="52" spans="1:23">
      <c r="A52" s="61" t="s">
        <v>373</v>
      </c>
      <c r="B52" s="56">
        <v>185.12</v>
      </c>
      <c r="C52" s="56">
        <v>0.5</v>
      </c>
      <c r="D52" s="56">
        <v>409</v>
      </c>
      <c r="E52" s="57"/>
      <c r="F52" s="57"/>
      <c r="G52" s="57">
        <v>0</v>
      </c>
      <c r="H52" s="58"/>
      <c r="I52" s="58"/>
      <c r="J52" s="58">
        <v>0</v>
      </c>
      <c r="K52" s="59"/>
      <c r="L52" s="59"/>
      <c r="M52" s="59">
        <v>0</v>
      </c>
      <c r="N52" s="60">
        <f t="shared" si="0"/>
        <v>409</v>
      </c>
      <c r="O52" s="32">
        <v>185.12</v>
      </c>
      <c r="P52">
        <v>818</v>
      </c>
      <c r="Q52">
        <v>529</v>
      </c>
    </row>
    <row r="53" spans="1:23">
      <c r="A53" s="61" t="s">
        <v>336</v>
      </c>
      <c r="B53" s="56">
        <v>185.12</v>
      </c>
      <c r="C53" s="56">
        <v>0.5</v>
      </c>
      <c r="D53" s="56">
        <v>409</v>
      </c>
      <c r="E53" s="57">
        <v>185.05</v>
      </c>
      <c r="F53" s="57">
        <v>0.2</v>
      </c>
      <c r="G53" s="57">
        <v>76</v>
      </c>
      <c r="H53" s="58"/>
      <c r="I53" s="58"/>
      <c r="J53" s="58">
        <v>0</v>
      </c>
      <c r="K53" s="59"/>
      <c r="L53" s="59"/>
      <c r="M53" s="59">
        <v>0</v>
      </c>
      <c r="N53" s="60">
        <f t="shared" si="0"/>
        <v>485</v>
      </c>
      <c r="O53" s="32">
        <v>185.12</v>
      </c>
      <c r="P53">
        <v>818</v>
      </c>
      <c r="Q53">
        <v>529</v>
      </c>
      <c r="R53" s="1">
        <v>185.05</v>
      </c>
      <c r="S53">
        <v>381</v>
      </c>
      <c r="T53">
        <v>628</v>
      </c>
    </row>
    <row r="54" spans="1:23">
      <c r="A54" s="61" t="s">
        <v>376</v>
      </c>
      <c r="B54" s="56">
        <v>185.15</v>
      </c>
      <c r="C54" s="56">
        <v>0.66700000000000004</v>
      </c>
      <c r="D54" s="56">
        <v>432</v>
      </c>
      <c r="E54" s="57">
        <v>185.16</v>
      </c>
      <c r="F54" s="57">
        <v>0.5</v>
      </c>
      <c r="G54" s="57">
        <v>142</v>
      </c>
      <c r="H54" s="58"/>
      <c r="I54" s="58"/>
      <c r="J54" s="58">
        <v>0</v>
      </c>
      <c r="K54" s="59"/>
      <c r="L54" s="59"/>
      <c r="M54" s="59">
        <v>0</v>
      </c>
      <c r="N54" s="60">
        <f t="shared" si="0"/>
        <v>574</v>
      </c>
      <c r="O54" s="32">
        <v>185.15</v>
      </c>
      <c r="P54">
        <v>648</v>
      </c>
      <c r="Q54">
        <v>421</v>
      </c>
      <c r="R54" s="32">
        <v>185.16</v>
      </c>
      <c r="S54">
        <v>284</v>
      </c>
      <c r="T54">
        <v>396</v>
      </c>
    </row>
    <row r="55" spans="1:23">
      <c r="A55" s="61" t="s">
        <v>330</v>
      </c>
      <c r="B55" s="56">
        <v>185.16</v>
      </c>
      <c r="C55" s="56">
        <v>0.5</v>
      </c>
      <c r="D55" s="56">
        <v>142</v>
      </c>
      <c r="E55" s="57">
        <v>185.1</v>
      </c>
      <c r="F55" s="57">
        <v>0.5</v>
      </c>
      <c r="G55" s="57">
        <v>179</v>
      </c>
      <c r="H55" s="58"/>
      <c r="I55" s="58"/>
      <c r="J55" s="58">
        <v>0</v>
      </c>
      <c r="K55" s="59"/>
      <c r="L55" s="59"/>
      <c r="M55" s="59">
        <v>0</v>
      </c>
      <c r="N55" s="60">
        <f t="shared" si="0"/>
        <v>321</v>
      </c>
      <c r="O55" s="32">
        <v>185.16</v>
      </c>
      <c r="P55">
        <v>284</v>
      </c>
      <c r="Q55">
        <v>396</v>
      </c>
      <c r="R55" s="32">
        <v>185.1</v>
      </c>
      <c r="S55">
        <v>358</v>
      </c>
      <c r="T55">
        <v>438</v>
      </c>
    </row>
    <row r="56" spans="1:23">
      <c r="A56" s="61" t="s">
        <v>313</v>
      </c>
      <c r="B56" s="56">
        <v>185.17</v>
      </c>
      <c r="C56" s="56">
        <v>1</v>
      </c>
      <c r="D56" s="56">
        <v>241</v>
      </c>
      <c r="E56" s="57"/>
      <c r="F56" s="57"/>
      <c r="G56" s="57">
        <v>0</v>
      </c>
      <c r="H56" s="58"/>
      <c r="I56" s="58"/>
      <c r="J56" s="58">
        <v>0</v>
      </c>
      <c r="K56" s="59"/>
      <c r="L56" s="59"/>
      <c r="M56" s="59">
        <v>0</v>
      </c>
      <c r="N56" s="60">
        <f t="shared" si="0"/>
        <v>241</v>
      </c>
      <c r="O56" s="32">
        <v>185.17</v>
      </c>
      <c r="P56">
        <v>241</v>
      </c>
      <c r="Q56">
        <v>224</v>
      </c>
    </row>
    <row r="57" spans="1:23">
      <c r="A57" s="61" t="s">
        <v>363</v>
      </c>
      <c r="B57" s="56">
        <v>185.18</v>
      </c>
      <c r="C57" s="56">
        <v>0.66700000000000004</v>
      </c>
      <c r="D57" s="56">
        <v>352</v>
      </c>
      <c r="E57" s="57"/>
      <c r="F57" s="57"/>
      <c r="G57" s="57">
        <v>0</v>
      </c>
      <c r="H57" s="58"/>
      <c r="I57" s="58"/>
      <c r="J57" s="58">
        <v>0</v>
      </c>
      <c r="K57" s="59"/>
      <c r="L57" s="59"/>
      <c r="M57" s="59">
        <v>0</v>
      </c>
      <c r="N57" s="60">
        <f t="shared" si="0"/>
        <v>352</v>
      </c>
      <c r="O57" s="32">
        <v>185.18</v>
      </c>
      <c r="P57">
        <v>527</v>
      </c>
      <c r="Q57">
        <v>373</v>
      </c>
    </row>
    <row r="58" spans="1:23">
      <c r="A58" s="61" t="s">
        <v>323</v>
      </c>
      <c r="B58" s="56">
        <v>185.18</v>
      </c>
      <c r="C58" s="56">
        <v>0.33300000000000002</v>
      </c>
      <c r="D58" s="56">
        <v>175</v>
      </c>
      <c r="E58" s="57">
        <v>185.08</v>
      </c>
      <c r="F58" s="57">
        <v>1</v>
      </c>
      <c r="G58" s="57">
        <v>149</v>
      </c>
      <c r="H58" s="58">
        <v>185.07</v>
      </c>
      <c r="I58" s="58">
        <v>0.33300000000000002</v>
      </c>
      <c r="J58" s="58">
        <v>353</v>
      </c>
      <c r="K58" s="59"/>
      <c r="L58" s="59"/>
      <c r="M58" s="59">
        <v>0</v>
      </c>
      <c r="N58" s="60">
        <f t="shared" si="0"/>
        <v>677</v>
      </c>
      <c r="O58" s="32">
        <v>185.18</v>
      </c>
      <c r="P58">
        <v>527</v>
      </c>
      <c r="Q58">
        <v>373</v>
      </c>
      <c r="R58" s="32">
        <v>185.08</v>
      </c>
      <c r="S58">
        <v>149</v>
      </c>
      <c r="T58">
        <v>113</v>
      </c>
      <c r="U58" s="32">
        <v>185.07</v>
      </c>
      <c r="V58">
        <v>1061</v>
      </c>
      <c r="W58">
        <v>911</v>
      </c>
    </row>
    <row r="59" spans="1:23">
      <c r="A59" s="61" t="s">
        <v>298</v>
      </c>
      <c r="B59" s="56">
        <v>185.19</v>
      </c>
      <c r="C59" s="56">
        <v>1</v>
      </c>
      <c r="D59" s="56">
        <v>722</v>
      </c>
      <c r="E59" s="57">
        <v>185.2</v>
      </c>
      <c r="F59" s="57">
        <v>1</v>
      </c>
      <c r="G59" s="57">
        <v>923</v>
      </c>
      <c r="H59" s="58"/>
      <c r="I59" s="58"/>
      <c r="J59" s="58">
        <v>0</v>
      </c>
      <c r="K59" s="59"/>
      <c r="L59" s="59"/>
      <c r="M59" s="59">
        <v>0</v>
      </c>
      <c r="N59" s="60">
        <f t="shared" si="0"/>
        <v>1645</v>
      </c>
      <c r="O59" s="32">
        <v>185.19</v>
      </c>
      <c r="P59">
        <v>722</v>
      </c>
      <c r="Q59">
        <v>543</v>
      </c>
      <c r="R59" s="32">
        <v>185.2</v>
      </c>
      <c r="S59">
        <v>923</v>
      </c>
      <c r="T59">
        <v>603</v>
      </c>
    </row>
    <row r="60" spans="1:23">
      <c r="A60" s="61" t="s">
        <v>324</v>
      </c>
      <c r="B60" s="56">
        <v>185.21</v>
      </c>
      <c r="C60" s="56">
        <v>1</v>
      </c>
      <c r="D60" s="56">
        <v>550</v>
      </c>
      <c r="E60" s="57">
        <v>185.22</v>
      </c>
      <c r="F60" s="57">
        <v>1</v>
      </c>
      <c r="G60" s="57">
        <v>483</v>
      </c>
      <c r="H60" s="58"/>
      <c r="I60" s="58"/>
      <c r="J60" s="58">
        <v>0</v>
      </c>
      <c r="K60" s="59"/>
      <c r="L60" s="59"/>
      <c r="M60" s="59">
        <v>0</v>
      </c>
      <c r="N60" s="60">
        <f t="shared" si="0"/>
        <v>1033</v>
      </c>
      <c r="O60" s="32">
        <v>185.21</v>
      </c>
      <c r="P60">
        <v>550</v>
      </c>
      <c r="Q60">
        <v>247</v>
      </c>
      <c r="R60" s="32">
        <v>185.22</v>
      </c>
      <c r="S60">
        <v>483</v>
      </c>
      <c r="T60">
        <v>309</v>
      </c>
    </row>
    <row r="61" spans="1:23">
      <c r="A61" s="61" t="s">
        <v>317</v>
      </c>
      <c r="B61" s="56">
        <v>186.01</v>
      </c>
      <c r="C61" s="56">
        <v>0.25</v>
      </c>
      <c r="D61" s="56">
        <v>144</v>
      </c>
      <c r="E61" s="57">
        <v>186.02</v>
      </c>
      <c r="F61" s="57">
        <v>0.25</v>
      </c>
      <c r="G61" s="57">
        <v>71</v>
      </c>
      <c r="H61" s="58"/>
      <c r="I61" s="58"/>
      <c r="J61" s="58">
        <v>0</v>
      </c>
      <c r="K61" s="59"/>
      <c r="L61" s="59"/>
      <c r="M61" s="59">
        <v>0</v>
      </c>
      <c r="N61" s="60">
        <f t="shared" si="0"/>
        <v>215</v>
      </c>
      <c r="O61" s="32">
        <v>186.01</v>
      </c>
      <c r="P61">
        <v>575</v>
      </c>
      <c r="Q61">
        <v>487</v>
      </c>
      <c r="R61" s="32">
        <v>186.02</v>
      </c>
      <c r="S61">
        <v>282</v>
      </c>
      <c r="T61">
        <v>370</v>
      </c>
    </row>
    <row r="62" spans="1:23">
      <c r="A62" s="61" t="s">
        <v>382</v>
      </c>
      <c r="B62" s="56">
        <v>186.01</v>
      </c>
      <c r="C62" s="56">
        <v>0.25</v>
      </c>
      <c r="D62" s="56">
        <v>144</v>
      </c>
      <c r="E62" s="57">
        <v>186.02</v>
      </c>
      <c r="F62" s="57">
        <v>0.75</v>
      </c>
      <c r="G62" s="57">
        <v>212</v>
      </c>
      <c r="H62" s="58">
        <v>192</v>
      </c>
      <c r="I62" s="58">
        <v>0.33</v>
      </c>
      <c r="J62" s="58">
        <v>136</v>
      </c>
      <c r="K62" s="59"/>
      <c r="L62" s="59"/>
      <c r="M62" s="59">
        <v>0</v>
      </c>
      <c r="N62" s="60">
        <f t="shared" si="0"/>
        <v>492</v>
      </c>
      <c r="O62" s="32">
        <v>186.01</v>
      </c>
      <c r="P62">
        <v>575</v>
      </c>
      <c r="Q62">
        <v>487</v>
      </c>
      <c r="R62" s="32">
        <v>186.02</v>
      </c>
      <c r="S62">
        <v>282</v>
      </c>
      <c r="T62">
        <v>370</v>
      </c>
      <c r="U62" s="32">
        <v>192</v>
      </c>
      <c r="V62">
        <v>412</v>
      </c>
      <c r="W62">
        <v>271</v>
      </c>
    </row>
    <row r="63" spans="1:23">
      <c r="A63" s="61" t="s">
        <v>385</v>
      </c>
      <c r="B63" s="56">
        <v>186.01</v>
      </c>
      <c r="C63" s="56">
        <v>0.5</v>
      </c>
      <c r="D63" s="56">
        <v>288</v>
      </c>
      <c r="E63" s="57"/>
      <c r="F63" s="57"/>
      <c r="G63" s="57">
        <v>0</v>
      </c>
      <c r="H63" s="58"/>
      <c r="I63" s="58"/>
      <c r="J63" s="58">
        <v>0</v>
      </c>
      <c r="K63" s="59"/>
      <c r="L63" s="59"/>
      <c r="M63" s="59">
        <v>0</v>
      </c>
      <c r="N63" s="60">
        <f t="shared" si="0"/>
        <v>288</v>
      </c>
      <c r="O63" s="32">
        <v>186.01</v>
      </c>
      <c r="P63">
        <v>575</v>
      </c>
      <c r="Q63">
        <v>487</v>
      </c>
    </row>
    <row r="64" spans="1:23">
      <c r="A64" s="61" t="s">
        <v>368</v>
      </c>
      <c r="B64" s="56">
        <v>186.05</v>
      </c>
      <c r="C64" s="56">
        <v>0.5</v>
      </c>
      <c r="D64" s="56">
        <v>522</v>
      </c>
      <c r="E64" s="57">
        <v>186.06</v>
      </c>
      <c r="F64" s="57">
        <v>0.5</v>
      </c>
      <c r="G64" s="57">
        <v>240</v>
      </c>
      <c r="H64" s="58"/>
      <c r="I64" s="58"/>
      <c r="J64" s="58">
        <v>0</v>
      </c>
      <c r="K64" s="59"/>
      <c r="L64" s="59"/>
      <c r="M64" s="59">
        <v>0</v>
      </c>
      <c r="N64" s="60">
        <f t="shared" si="0"/>
        <v>762</v>
      </c>
      <c r="O64" s="32">
        <v>186.05</v>
      </c>
      <c r="P64">
        <v>1043</v>
      </c>
      <c r="Q64">
        <v>803</v>
      </c>
      <c r="R64" s="32">
        <v>186.06</v>
      </c>
      <c r="S64">
        <v>479</v>
      </c>
      <c r="T64">
        <v>413</v>
      </c>
    </row>
    <row r="65" spans="1:26">
      <c r="A65" s="61" t="s">
        <v>387</v>
      </c>
      <c r="B65" s="56">
        <v>186.05</v>
      </c>
      <c r="C65" s="56">
        <v>0.5</v>
      </c>
      <c r="D65" s="56">
        <v>522</v>
      </c>
      <c r="E65" s="57">
        <v>186.06</v>
      </c>
      <c r="F65" s="57">
        <v>0.25</v>
      </c>
      <c r="G65" s="57">
        <v>120</v>
      </c>
      <c r="H65" s="58"/>
      <c r="I65" s="58"/>
      <c r="J65" s="58">
        <v>0</v>
      </c>
      <c r="K65" s="59"/>
      <c r="L65" s="59"/>
      <c r="M65" s="59">
        <v>0</v>
      </c>
      <c r="N65" s="60">
        <f t="shared" si="0"/>
        <v>642</v>
      </c>
      <c r="O65" s="32">
        <v>186.05</v>
      </c>
      <c r="P65">
        <v>1043</v>
      </c>
      <c r="Q65">
        <v>803</v>
      </c>
      <c r="R65" s="32">
        <v>186.06</v>
      </c>
      <c r="S65">
        <v>479</v>
      </c>
      <c r="T65">
        <v>413</v>
      </c>
    </row>
    <row r="66" spans="1:26">
      <c r="A66" s="61" t="s">
        <v>303</v>
      </c>
      <c r="B66" s="56">
        <v>186.05</v>
      </c>
      <c r="C66" s="56">
        <v>0.5</v>
      </c>
      <c r="D66" s="56">
        <v>522</v>
      </c>
      <c r="E66" s="57">
        <v>186.06</v>
      </c>
      <c r="F66" s="57">
        <v>0.25</v>
      </c>
      <c r="G66" s="57">
        <v>120</v>
      </c>
      <c r="H66" s="58"/>
      <c r="I66" s="58"/>
      <c r="J66" s="58">
        <v>0</v>
      </c>
      <c r="K66" s="59"/>
      <c r="L66" s="59"/>
      <c r="M66" s="59">
        <v>0</v>
      </c>
      <c r="N66" s="60">
        <f t="shared" si="0"/>
        <v>642</v>
      </c>
      <c r="O66" s="32">
        <v>186.05</v>
      </c>
      <c r="P66">
        <v>1043</v>
      </c>
      <c r="Q66">
        <v>803</v>
      </c>
      <c r="R66" s="32">
        <v>186.06</v>
      </c>
      <c r="S66">
        <v>479</v>
      </c>
      <c r="T66">
        <v>413</v>
      </c>
    </row>
    <row r="67" spans="1:26">
      <c r="A67" s="61" t="s">
        <v>327</v>
      </c>
      <c r="B67" s="56">
        <v>186.06</v>
      </c>
      <c r="C67" s="56">
        <v>0.25</v>
      </c>
      <c r="D67" s="56">
        <v>120</v>
      </c>
      <c r="E67" s="57">
        <v>185.09</v>
      </c>
      <c r="F67" s="57">
        <v>0.33300000000000002</v>
      </c>
      <c r="G67" s="57">
        <v>175</v>
      </c>
      <c r="H67" s="58">
        <v>186.07</v>
      </c>
      <c r="I67" s="58">
        <v>0.5</v>
      </c>
      <c r="J67" s="58">
        <v>351</v>
      </c>
      <c r="K67" s="59">
        <v>185.15</v>
      </c>
      <c r="L67" s="59">
        <v>0.33300000000000002</v>
      </c>
      <c r="M67" s="59">
        <v>216</v>
      </c>
      <c r="N67" s="60">
        <f t="shared" si="0"/>
        <v>862</v>
      </c>
      <c r="O67" s="32">
        <v>186.06</v>
      </c>
      <c r="P67">
        <v>479</v>
      </c>
      <c r="Q67">
        <v>413</v>
      </c>
      <c r="R67" s="32">
        <v>185.09</v>
      </c>
      <c r="S67">
        <v>525</v>
      </c>
      <c r="T67">
        <v>373</v>
      </c>
      <c r="U67" s="33">
        <v>186.07</v>
      </c>
      <c r="V67">
        <v>702</v>
      </c>
      <c r="W67">
        <v>525</v>
      </c>
      <c r="X67" s="32">
        <v>185.15</v>
      </c>
      <c r="Y67">
        <v>648</v>
      </c>
      <c r="Z67">
        <v>421</v>
      </c>
    </row>
    <row r="68" spans="1:26">
      <c r="A68" s="61" t="s">
        <v>320</v>
      </c>
      <c r="B68" s="56">
        <v>186.08</v>
      </c>
      <c r="C68" s="56">
        <v>0.5</v>
      </c>
      <c r="D68" s="56">
        <v>391</v>
      </c>
      <c r="E68" s="57">
        <v>186.07</v>
      </c>
      <c r="F68" s="57">
        <v>0.5</v>
      </c>
      <c r="G68" s="57">
        <v>351</v>
      </c>
      <c r="H68" s="58"/>
      <c r="I68" s="58"/>
      <c r="J68" s="58">
        <v>0</v>
      </c>
      <c r="K68" s="59"/>
      <c r="L68" s="59"/>
      <c r="M68" s="59">
        <v>0</v>
      </c>
      <c r="N68" s="60">
        <f t="shared" si="0"/>
        <v>742</v>
      </c>
      <c r="O68" s="33">
        <v>186.08</v>
      </c>
      <c r="P68">
        <v>782</v>
      </c>
      <c r="Q68">
        <v>591</v>
      </c>
      <c r="R68" s="33">
        <v>186.07</v>
      </c>
      <c r="S68">
        <v>702</v>
      </c>
      <c r="T68">
        <v>525</v>
      </c>
    </row>
    <row r="69" spans="1:26">
      <c r="A69" s="61" t="s">
        <v>354</v>
      </c>
      <c r="B69" s="56">
        <v>187.03</v>
      </c>
      <c r="C69" s="56">
        <v>0.5</v>
      </c>
      <c r="D69" s="56">
        <v>366</v>
      </c>
      <c r="E69" s="57">
        <v>187.05</v>
      </c>
      <c r="F69" s="57">
        <v>0.25</v>
      </c>
      <c r="G69" s="57">
        <v>191</v>
      </c>
      <c r="H69" s="58"/>
      <c r="I69" s="58"/>
      <c r="J69" s="58">
        <v>0</v>
      </c>
      <c r="K69" s="59"/>
      <c r="L69" s="59"/>
      <c r="M69" s="59">
        <v>0</v>
      </c>
      <c r="N69" s="60">
        <f t="shared" si="0"/>
        <v>557</v>
      </c>
      <c r="O69" s="33">
        <v>187.03</v>
      </c>
      <c r="P69">
        <v>731</v>
      </c>
      <c r="Q69">
        <v>445</v>
      </c>
      <c r="R69" s="33">
        <v>187.05</v>
      </c>
      <c r="S69">
        <v>762</v>
      </c>
      <c r="T69">
        <v>561</v>
      </c>
    </row>
    <row r="70" spans="1:26">
      <c r="A70" s="61" t="s">
        <v>304</v>
      </c>
      <c r="B70" s="56">
        <v>187.03</v>
      </c>
      <c r="C70" s="56">
        <v>0.25</v>
      </c>
      <c r="D70" s="56">
        <v>183</v>
      </c>
      <c r="E70" s="57">
        <v>189.05</v>
      </c>
      <c r="F70" s="57">
        <v>0.66700000000000004</v>
      </c>
      <c r="G70" s="57">
        <v>507</v>
      </c>
      <c r="H70" s="58"/>
      <c r="I70" s="58"/>
      <c r="J70" s="58">
        <v>0</v>
      </c>
      <c r="K70" s="59"/>
      <c r="L70" s="59"/>
      <c r="M70" s="59">
        <v>0</v>
      </c>
      <c r="N70" s="60">
        <f t="shared" si="0"/>
        <v>690</v>
      </c>
      <c r="O70" s="33">
        <v>187.03</v>
      </c>
      <c r="P70">
        <v>731</v>
      </c>
      <c r="Q70">
        <v>445</v>
      </c>
      <c r="R70" s="36">
        <v>189.05</v>
      </c>
      <c r="S70">
        <v>760</v>
      </c>
      <c r="T70">
        <v>497</v>
      </c>
    </row>
    <row r="71" spans="1:26">
      <c r="A71" s="61" t="s">
        <v>343</v>
      </c>
      <c r="B71" s="56">
        <v>187.04</v>
      </c>
      <c r="C71" s="56">
        <v>1</v>
      </c>
      <c r="D71" s="56">
        <v>185</v>
      </c>
      <c r="E71" s="57">
        <v>187.05</v>
      </c>
      <c r="F71" s="57">
        <v>0.25</v>
      </c>
      <c r="G71" s="57">
        <v>191</v>
      </c>
      <c r="H71" s="58">
        <v>190.01</v>
      </c>
      <c r="I71" s="58">
        <v>0.25</v>
      </c>
      <c r="J71" s="58">
        <v>122</v>
      </c>
      <c r="K71" s="59"/>
      <c r="L71" s="59"/>
      <c r="M71" s="59">
        <v>0</v>
      </c>
      <c r="N71" s="60">
        <f t="shared" si="0"/>
        <v>498</v>
      </c>
      <c r="O71" s="33">
        <v>187.04</v>
      </c>
      <c r="P71">
        <v>185</v>
      </c>
      <c r="Q71">
        <v>113</v>
      </c>
      <c r="R71" s="33">
        <v>187.05</v>
      </c>
      <c r="S71">
        <v>762</v>
      </c>
      <c r="T71">
        <v>561</v>
      </c>
      <c r="U71" s="33">
        <v>190.01</v>
      </c>
      <c r="V71">
        <v>487</v>
      </c>
      <c r="W71">
        <v>346</v>
      </c>
    </row>
    <row r="72" spans="1:26">
      <c r="A72" s="61" t="s">
        <v>326</v>
      </c>
      <c r="B72" s="56">
        <v>187.05</v>
      </c>
      <c r="C72" s="56">
        <v>0.5</v>
      </c>
      <c r="D72" s="56">
        <v>381</v>
      </c>
      <c r="E72" s="57"/>
      <c r="F72" s="57"/>
      <c r="G72" s="57">
        <v>0</v>
      </c>
      <c r="H72" s="58"/>
      <c r="I72" s="58"/>
      <c r="J72" s="58">
        <v>0</v>
      </c>
      <c r="K72" s="59"/>
      <c r="L72" s="59"/>
      <c r="M72" s="59">
        <v>0</v>
      </c>
      <c r="N72" s="60">
        <f t="shared" si="0"/>
        <v>381</v>
      </c>
      <c r="O72" s="33">
        <v>187.05</v>
      </c>
      <c r="P72">
        <v>762</v>
      </c>
      <c r="Q72">
        <v>561</v>
      </c>
    </row>
    <row r="73" spans="1:26">
      <c r="A73" s="61" t="s">
        <v>401</v>
      </c>
      <c r="B73" s="56">
        <v>187.06</v>
      </c>
      <c r="C73" s="56">
        <v>0.5</v>
      </c>
      <c r="D73" s="56">
        <v>449</v>
      </c>
      <c r="E73" s="57">
        <v>187.11</v>
      </c>
      <c r="F73" s="57">
        <v>0.33300000000000002</v>
      </c>
      <c r="G73" s="57">
        <v>351</v>
      </c>
      <c r="H73" s="58"/>
      <c r="I73" s="58"/>
      <c r="J73" s="58">
        <v>0</v>
      </c>
      <c r="K73" s="59"/>
      <c r="L73" s="59"/>
      <c r="M73" s="59">
        <v>0</v>
      </c>
      <c r="N73" s="60">
        <f t="shared" si="0"/>
        <v>800</v>
      </c>
      <c r="O73" s="36">
        <v>187.06</v>
      </c>
      <c r="P73">
        <v>898</v>
      </c>
      <c r="Q73">
        <v>748</v>
      </c>
      <c r="R73" s="36">
        <v>187.11</v>
      </c>
      <c r="S73">
        <v>1053</v>
      </c>
      <c r="T73">
        <v>701</v>
      </c>
    </row>
    <row r="74" spans="1:26">
      <c r="A74" s="61" t="s">
        <v>388</v>
      </c>
      <c r="B74" s="56">
        <v>187.06</v>
      </c>
      <c r="C74" s="56">
        <v>0.5</v>
      </c>
      <c r="D74" s="56">
        <v>449</v>
      </c>
      <c r="E74" s="57">
        <v>188.04</v>
      </c>
      <c r="F74" s="57">
        <v>1</v>
      </c>
      <c r="G74" s="57">
        <v>516</v>
      </c>
      <c r="H74" s="58"/>
      <c r="I74" s="58"/>
      <c r="J74" s="58">
        <v>0</v>
      </c>
      <c r="K74" s="59"/>
      <c r="L74" s="59"/>
      <c r="M74" s="59">
        <v>0</v>
      </c>
      <c r="N74" s="60">
        <f t="shared" si="0"/>
        <v>965</v>
      </c>
      <c r="O74" s="36">
        <v>187.06</v>
      </c>
      <c r="P74">
        <v>898</v>
      </c>
      <c r="Q74">
        <v>748</v>
      </c>
      <c r="R74" s="36">
        <v>188.04</v>
      </c>
      <c r="S74">
        <v>516</v>
      </c>
      <c r="T74">
        <v>439</v>
      </c>
    </row>
    <row r="75" spans="1:26">
      <c r="A75" s="61" t="s">
        <v>335</v>
      </c>
      <c r="B75" s="56">
        <v>187.11</v>
      </c>
      <c r="C75" s="56">
        <v>0.66700000000000004</v>
      </c>
      <c r="D75" s="56">
        <v>702</v>
      </c>
      <c r="E75" s="57">
        <v>187.07</v>
      </c>
      <c r="F75" s="57">
        <v>1</v>
      </c>
      <c r="G75" s="57">
        <v>118</v>
      </c>
      <c r="H75" s="58"/>
      <c r="I75" s="58"/>
      <c r="J75" s="58">
        <v>0</v>
      </c>
      <c r="K75" s="59"/>
      <c r="L75" s="59"/>
      <c r="M75" s="59">
        <v>0</v>
      </c>
      <c r="N75" s="60">
        <f t="shared" si="0"/>
        <v>820</v>
      </c>
      <c r="O75" s="36">
        <v>187.11</v>
      </c>
      <c r="P75">
        <v>1053</v>
      </c>
      <c r="Q75">
        <v>701</v>
      </c>
      <c r="R75" s="36">
        <v>187.07</v>
      </c>
      <c r="S75">
        <v>118</v>
      </c>
      <c r="T75">
        <v>157</v>
      </c>
    </row>
    <row r="76" spans="1:26">
      <c r="A76" s="61" t="s">
        <v>301</v>
      </c>
      <c r="B76" s="56">
        <v>187.12</v>
      </c>
      <c r="C76" s="56">
        <v>1</v>
      </c>
      <c r="D76" s="56">
        <v>462</v>
      </c>
      <c r="E76" s="57"/>
      <c r="F76" s="57"/>
      <c r="G76" s="57">
        <v>0</v>
      </c>
      <c r="H76" s="58"/>
      <c r="I76" s="58"/>
      <c r="J76" s="58">
        <v>0</v>
      </c>
      <c r="K76" s="59"/>
      <c r="L76" s="59"/>
      <c r="M76" s="59">
        <v>0</v>
      </c>
      <c r="N76" s="60">
        <f t="shared" si="0"/>
        <v>462</v>
      </c>
      <c r="O76" s="36">
        <v>187.12</v>
      </c>
      <c r="P76">
        <v>462</v>
      </c>
      <c r="Q76">
        <v>344</v>
      </c>
    </row>
    <row r="77" spans="1:26">
      <c r="A77" s="61" t="s">
        <v>325</v>
      </c>
      <c r="B77" s="56">
        <v>187.13</v>
      </c>
      <c r="C77" s="56">
        <v>1</v>
      </c>
      <c r="D77" s="56">
        <v>213</v>
      </c>
      <c r="E77" s="57">
        <v>182.03</v>
      </c>
      <c r="F77" s="57">
        <v>0.4</v>
      </c>
      <c r="G77" s="57">
        <v>48</v>
      </c>
      <c r="H77" s="58"/>
      <c r="I77" s="58"/>
      <c r="J77" s="58">
        <v>0</v>
      </c>
      <c r="K77" s="59"/>
      <c r="L77" s="59"/>
      <c r="M77" s="59">
        <v>0</v>
      </c>
      <c r="N77" s="60">
        <f t="shared" si="0"/>
        <v>261</v>
      </c>
      <c r="O77" s="36">
        <v>187.13</v>
      </c>
      <c r="P77">
        <v>213</v>
      </c>
      <c r="Q77">
        <v>164</v>
      </c>
      <c r="R77" s="33">
        <v>182.03</v>
      </c>
      <c r="S77">
        <v>120</v>
      </c>
      <c r="T77">
        <v>163</v>
      </c>
    </row>
    <row r="78" spans="1:26">
      <c r="A78" s="61" t="s">
        <v>396</v>
      </c>
      <c r="B78" s="56">
        <v>187.16</v>
      </c>
      <c r="C78" s="56">
        <v>0.33300000000000002</v>
      </c>
      <c r="D78" s="56">
        <v>192</v>
      </c>
      <c r="E78" s="57">
        <v>187.14</v>
      </c>
      <c r="F78" s="57">
        <v>1</v>
      </c>
      <c r="G78" s="57">
        <v>329</v>
      </c>
      <c r="H78" s="58">
        <v>187.15</v>
      </c>
      <c r="I78" s="58">
        <v>1</v>
      </c>
      <c r="J78" s="58">
        <v>514</v>
      </c>
      <c r="K78" s="59"/>
      <c r="L78" s="59"/>
      <c r="M78" s="59">
        <v>0</v>
      </c>
      <c r="N78" s="60">
        <f t="shared" si="0"/>
        <v>1035</v>
      </c>
      <c r="O78" s="36">
        <v>187.16</v>
      </c>
      <c r="P78">
        <v>576</v>
      </c>
      <c r="Q78">
        <v>429</v>
      </c>
      <c r="R78" s="36">
        <v>187.14</v>
      </c>
      <c r="S78">
        <v>329</v>
      </c>
      <c r="T78">
        <v>80</v>
      </c>
      <c r="U78" s="36">
        <v>187.15</v>
      </c>
      <c r="V78">
        <v>514</v>
      </c>
      <c r="W78">
        <v>388</v>
      </c>
    </row>
    <row r="79" spans="1:26">
      <c r="A79" s="61" t="s">
        <v>328</v>
      </c>
      <c r="B79" s="56">
        <v>188.01</v>
      </c>
      <c r="C79" s="56">
        <v>1</v>
      </c>
      <c r="D79" s="56">
        <v>301</v>
      </c>
      <c r="E79" s="57">
        <v>188.02</v>
      </c>
      <c r="F79" s="57">
        <v>0.75</v>
      </c>
      <c r="G79" s="57">
        <v>197</v>
      </c>
      <c r="H79" s="58"/>
      <c r="I79" s="58"/>
      <c r="J79" s="58">
        <v>0</v>
      </c>
      <c r="K79" s="59"/>
      <c r="L79" s="59"/>
      <c r="M79" s="59">
        <v>0</v>
      </c>
      <c r="N79" s="60">
        <f t="shared" si="0"/>
        <v>498</v>
      </c>
      <c r="O79" s="36">
        <v>188.01</v>
      </c>
      <c r="P79">
        <v>301</v>
      </c>
      <c r="Q79">
        <v>272</v>
      </c>
      <c r="R79" s="36">
        <v>188.02</v>
      </c>
      <c r="S79">
        <v>263</v>
      </c>
      <c r="T79">
        <v>407</v>
      </c>
    </row>
    <row r="80" spans="1:26">
      <c r="A80" s="61" t="s">
        <v>333</v>
      </c>
      <c r="B80" s="56">
        <v>188.02</v>
      </c>
      <c r="C80" s="56">
        <v>0.25</v>
      </c>
      <c r="D80" s="56">
        <v>66</v>
      </c>
      <c r="E80" s="57">
        <v>188.08</v>
      </c>
      <c r="F80" s="57">
        <v>0.5</v>
      </c>
      <c r="G80" s="57">
        <v>252</v>
      </c>
      <c r="H80" s="58">
        <v>188.07</v>
      </c>
      <c r="I80" s="58">
        <v>0.25</v>
      </c>
      <c r="J80" s="58">
        <v>113</v>
      </c>
      <c r="K80" s="59"/>
      <c r="L80" s="59"/>
      <c r="M80" s="59">
        <v>0</v>
      </c>
      <c r="N80" s="60">
        <f t="shared" si="0"/>
        <v>431</v>
      </c>
      <c r="O80" s="36">
        <v>188.02</v>
      </c>
      <c r="P80">
        <v>263</v>
      </c>
      <c r="Q80">
        <v>407</v>
      </c>
      <c r="R80" s="36">
        <v>188.08</v>
      </c>
      <c r="S80">
        <v>503</v>
      </c>
      <c r="T80">
        <v>551</v>
      </c>
      <c r="U80" s="36">
        <v>188.07</v>
      </c>
      <c r="V80">
        <v>451</v>
      </c>
      <c r="W80">
        <v>463</v>
      </c>
    </row>
    <row r="81" spans="1:23">
      <c r="A81" s="61" t="s">
        <v>311</v>
      </c>
      <c r="B81" s="56">
        <v>188.05</v>
      </c>
      <c r="C81" s="56">
        <v>1</v>
      </c>
      <c r="D81" s="56">
        <v>289</v>
      </c>
      <c r="E81" s="57">
        <v>188.06</v>
      </c>
      <c r="F81" s="57">
        <v>0.8</v>
      </c>
      <c r="G81" s="57">
        <v>135</v>
      </c>
      <c r="H81" s="58"/>
      <c r="I81" s="58"/>
      <c r="J81" s="58">
        <v>0</v>
      </c>
      <c r="K81" s="59"/>
      <c r="L81" s="59"/>
      <c r="M81" s="59">
        <v>0</v>
      </c>
      <c r="N81" s="60">
        <f t="shared" si="0"/>
        <v>424</v>
      </c>
      <c r="O81" s="44">
        <v>188.05</v>
      </c>
      <c r="P81">
        <v>289</v>
      </c>
      <c r="Q81">
        <v>215</v>
      </c>
      <c r="R81" s="44">
        <v>188.06</v>
      </c>
      <c r="S81">
        <v>169</v>
      </c>
      <c r="T81">
        <v>118</v>
      </c>
    </row>
    <row r="82" spans="1:23">
      <c r="A82" s="61" t="s">
        <v>381</v>
      </c>
      <c r="B82" s="56">
        <v>188.06</v>
      </c>
      <c r="C82" s="56">
        <v>0.2</v>
      </c>
      <c r="D82" s="56">
        <v>34</v>
      </c>
      <c r="E82" s="57">
        <v>182.06</v>
      </c>
      <c r="F82" s="57">
        <v>1</v>
      </c>
      <c r="G82" s="57">
        <v>124</v>
      </c>
      <c r="H82" s="58"/>
      <c r="I82" s="58"/>
      <c r="J82" s="58">
        <v>0</v>
      </c>
      <c r="K82" s="59"/>
      <c r="L82" s="59"/>
      <c r="M82" s="59">
        <v>0</v>
      </c>
      <c r="N82" s="60">
        <f t="shared" si="0"/>
        <v>158</v>
      </c>
      <c r="O82" s="44">
        <v>188.06</v>
      </c>
      <c r="P82">
        <v>169</v>
      </c>
      <c r="Q82">
        <v>118</v>
      </c>
      <c r="R82" s="44">
        <v>182.06</v>
      </c>
      <c r="S82">
        <v>124</v>
      </c>
      <c r="T82">
        <v>100</v>
      </c>
    </row>
    <row r="83" spans="1:23">
      <c r="A83" s="61" t="s">
        <v>334</v>
      </c>
      <c r="B83" s="56">
        <v>188.07</v>
      </c>
      <c r="C83" s="56">
        <v>0.75</v>
      </c>
      <c r="D83" s="56">
        <v>338</v>
      </c>
      <c r="E83" s="57">
        <v>188.08</v>
      </c>
      <c r="F83" s="57">
        <v>0.5</v>
      </c>
      <c r="G83" s="57">
        <v>252</v>
      </c>
      <c r="H83" s="58"/>
      <c r="I83" s="58"/>
      <c r="J83" s="58">
        <v>0</v>
      </c>
      <c r="K83" s="59"/>
      <c r="L83" s="59"/>
      <c r="M83" s="59">
        <v>0</v>
      </c>
      <c r="N83" s="60">
        <f t="shared" si="0"/>
        <v>590</v>
      </c>
      <c r="O83" s="36">
        <v>188.07</v>
      </c>
      <c r="P83">
        <v>451</v>
      </c>
      <c r="Q83">
        <v>463</v>
      </c>
      <c r="R83" s="36">
        <v>188.08</v>
      </c>
      <c r="S83">
        <v>503</v>
      </c>
      <c r="T83">
        <v>551</v>
      </c>
    </row>
    <row r="84" spans="1:23">
      <c r="A84" s="61" t="s">
        <v>342</v>
      </c>
      <c r="B84" s="56">
        <v>189.03</v>
      </c>
      <c r="C84" s="56">
        <v>0.75</v>
      </c>
      <c r="D84" s="56">
        <v>227</v>
      </c>
      <c r="E84" s="57"/>
      <c r="F84" s="57"/>
      <c r="G84" s="57">
        <v>0</v>
      </c>
      <c r="H84" s="58"/>
      <c r="I84" s="58"/>
      <c r="J84" s="58">
        <v>0</v>
      </c>
      <c r="K84" s="59"/>
      <c r="L84" s="59"/>
      <c r="M84" s="59">
        <v>0</v>
      </c>
      <c r="N84" s="60">
        <f t="shared" si="0"/>
        <v>227</v>
      </c>
      <c r="O84" s="36">
        <v>189.03</v>
      </c>
      <c r="P84">
        <v>303</v>
      </c>
      <c r="Q84">
        <v>284</v>
      </c>
    </row>
    <row r="85" spans="1:23">
      <c r="A85" s="61" t="s">
        <v>360</v>
      </c>
      <c r="B85" s="56">
        <v>189.05</v>
      </c>
      <c r="C85" s="56">
        <v>0.33300000000000002</v>
      </c>
      <c r="D85" s="56">
        <v>253</v>
      </c>
      <c r="E85" s="57">
        <v>190.03</v>
      </c>
      <c r="F85" s="57">
        <v>0.2</v>
      </c>
      <c r="G85" s="57">
        <v>125</v>
      </c>
      <c r="H85" s="58"/>
      <c r="I85" s="58"/>
      <c r="J85" s="58">
        <v>0</v>
      </c>
      <c r="K85" s="59"/>
      <c r="L85" s="59"/>
      <c r="M85" s="59">
        <v>0</v>
      </c>
      <c r="N85" s="60">
        <f t="shared" si="0"/>
        <v>378</v>
      </c>
      <c r="O85" s="36">
        <v>189.05</v>
      </c>
      <c r="P85">
        <v>760</v>
      </c>
      <c r="Q85">
        <v>497</v>
      </c>
      <c r="R85" s="33">
        <v>190.03</v>
      </c>
      <c r="S85">
        <v>627</v>
      </c>
      <c r="T85">
        <v>534</v>
      </c>
    </row>
    <row r="86" spans="1:23">
      <c r="A86" s="61" t="s">
        <v>357</v>
      </c>
      <c r="B86" s="56">
        <v>189.07</v>
      </c>
      <c r="C86" s="56">
        <v>1</v>
      </c>
      <c r="D86" s="56">
        <v>339</v>
      </c>
      <c r="E86" s="57">
        <v>189.1</v>
      </c>
      <c r="F86" s="57">
        <v>0.5</v>
      </c>
      <c r="G86" s="57">
        <v>383</v>
      </c>
      <c r="H86" s="58">
        <v>189.09</v>
      </c>
      <c r="I86" s="58">
        <v>0.5</v>
      </c>
      <c r="J86" s="58">
        <v>194</v>
      </c>
      <c r="K86" s="59"/>
      <c r="L86" s="59"/>
      <c r="M86" s="59">
        <v>0</v>
      </c>
      <c r="N86" s="60">
        <f t="shared" si="0"/>
        <v>916</v>
      </c>
      <c r="O86" s="36">
        <v>189.07</v>
      </c>
      <c r="P86">
        <v>339</v>
      </c>
      <c r="Q86">
        <v>387</v>
      </c>
      <c r="R86" s="36">
        <v>189.1</v>
      </c>
      <c r="S86">
        <v>765</v>
      </c>
      <c r="T86">
        <v>709</v>
      </c>
      <c r="U86" s="36">
        <v>189.09</v>
      </c>
      <c r="V86">
        <v>388</v>
      </c>
      <c r="W86">
        <v>354</v>
      </c>
    </row>
    <row r="87" spans="1:23">
      <c r="A87" s="61" t="s">
        <v>361</v>
      </c>
      <c r="B87" s="56">
        <v>189.08</v>
      </c>
      <c r="C87" s="56">
        <v>1</v>
      </c>
      <c r="D87" s="56">
        <v>602</v>
      </c>
      <c r="E87" s="57"/>
      <c r="F87" s="57"/>
      <c r="G87" s="57">
        <v>0</v>
      </c>
      <c r="H87" s="58"/>
      <c r="I87" s="58"/>
      <c r="J87" s="58">
        <v>0</v>
      </c>
      <c r="K87" s="59"/>
      <c r="L87" s="59"/>
      <c r="M87" s="59">
        <v>0</v>
      </c>
      <c r="N87" s="60">
        <f t="shared" si="0"/>
        <v>602</v>
      </c>
      <c r="O87" s="36">
        <v>189.08</v>
      </c>
      <c r="P87">
        <v>602</v>
      </c>
      <c r="Q87">
        <v>428</v>
      </c>
    </row>
    <row r="88" spans="1:23">
      <c r="A88" s="61" t="s">
        <v>399</v>
      </c>
      <c r="B88" s="56">
        <v>189.1</v>
      </c>
      <c r="C88" s="56">
        <v>0.5</v>
      </c>
      <c r="D88" s="56">
        <v>383</v>
      </c>
      <c r="E88" s="57">
        <v>189.09</v>
      </c>
      <c r="F88" s="57">
        <v>0.5</v>
      </c>
      <c r="G88" s="57">
        <v>194</v>
      </c>
      <c r="H88" s="58"/>
      <c r="I88" s="58"/>
      <c r="J88" s="58">
        <v>0</v>
      </c>
      <c r="K88" s="59"/>
      <c r="L88" s="59"/>
      <c r="M88" s="59">
        <v>0</v>
      </c>
      <c r="N88" s="60">
        <f t="shared" si="0"/>
        <v>577</v>
      </c>
      <c r="O88" s="36">
        <v>189.1</v>
      </c>
      <c r="P88">
        <v>765</v>
      </c>
      <c r="Q88">
        <v>709</v>
      </c>
      <c r="R88" s="36">
        <v>189.09</v>
      </c>
      <c r="S88">
        <v>388</v>
      </c>
      <c r="T88">
        <v>354</v>
      </c>
    </row>
    <row r="89" spans="1:23">
      <c r="A89" s="61" t="s">
        <v>370</v>
      </c>
      <c r="B89" s="56">
        <v>190.01</v>
      </c>
      <c r="C89" s="56">
        <v>0.75</v>
      </c>
      <c r="D89" s="56">
        <v>365</v>
      </c>
      <c r="E89" s="57">
        <v>189.06</v>
      </c>
      <c r="F89" s="57">
        <v>1</v>
      </c>
      <c r="G89" s="57">
        <v>341</v>
      </c>
      <c r="H89" s="58">
        <v>187.03</v>
      </c>
      <c r="I89" s="58">
        <v>0.25</v>
      </c>
      <c r="J89" s="58">
        <v>183</v>
      </c>
      <c r="K89" s="59"/>
      <c r="L89" s="59"/>
      <c r="M89" s="59">
        <v>0</v>
      </c>
      <c r="N89" s="60">
        <f t="shared" si="0"/>
        <v>889</v>
      </c>
      <c r="O89" s="33">
        <v>190.01</v>
      </c>
      <c r="P89">
        <v>487</v>
      </c>
      <c r="Q89">
        <v>346</v>
      </c>
      <c r="R89" s="33">
        <v>189.06</v>
      </c>
      <c r="S89">
        <v>341</v>
      </c>
      <c r="T89">
        <v>204</v>
      </c>
      <c r="U89" s="33">
        <v>187.03</v>
      </c>
      <c r="V89">
        <v>731</v>
      </c>
      <c r="W89">
        <v>445</v>
      </c>
    </row>
    <row r="90" spans="1:23">
      <c r="A90" s="61" t="s">
        <v>374</v>
      </c>
      <c r="B90" s="56">
        <v>190.03</v>
      </c>
      <c r="C90" s="56">
        <v>0.8</v>
      </c>
      <c r="D90" s="56">
        <v>502</v>
      </c>
      <c r="E90" s="57">
        <v>190.04</v>
      </c>
      <c r="F90" s="57">
        <v>0.1</v>
      </c>
      <c r="G90" s="57">
        <v>58</v>
      </c>
      <c r="H90" s="58"/>
      <c r="I90" s="58"/>
      <c r="J90" s="58">
        <v>0</v>
      </c>
      <c r="K90" s="59"/>
      <c r="L90" s="59"/>
      <c r="M90" s="59">
        <v>0</v>
      </c>
      <c r="N90" s="60">
        <f t="shared" si="0"/>
        <v>560</v>
      </c>
      <c r="O90" s="33">
        <v>190.03</v>
      </c>
      <c r="P90">
        <v>627</v>
      </c>
      <c r="Q90">
        <v>534</v>
      </c>
      <c r="R90" s="33">
        <v>190.04</v>
      </c>
      <c r="S90">
        <v>581</v>
      </c>
      <c r="T90">
        <v>522</v>
      </c>
    </row>
    <row r="91" spans="1:23">
      <c r="A91" s="61" t="s">
        <v>349</v>
      </c>
      <c r="B91" s="56">
        <v>190.04</v>
      </c>
      <c r="C91" s="56">
        <v>0.3</v>
      </c>
      <c r="D91" s="56">
        <v>174</v>
      </c>
      <c r="E91" s="57">
        <v>189.03</v>
      </c>
      <c r="F91" s="57">
        <v>0.25</v>
      </c>
      <c r="G91" s="57">
        <v>76</v>
      </c>
      <c r="H91" s="58"/>
      <c r="I91" s="58"/>
      <c r="J91" s="58">
        <v>0</v>
      </c>
      <c r="K91" s="59"/>
      <c r="L91" s="59"/>
      <c r="M91" s="59">
        <v>0</v>
      </c>
      <c r="N91" s="60">
        <f t="shared" si="0"/>
        <v>250</v>
      </c>
      <c r="O91" s="33">
        <v>190.04</v>
      </c>
      <c r="P91">
        <v>581</v>
      </c>
      <c r="Q91">
        <v>522</v>
      </c>
      <c r="R91" s="36">
        <v>189.03</v>
      </c>
      <c r="S91">
        <v>303</v>
      </c>
      <c r="T91">
        <v>284</v>
      </c>
    </row>
    <row r="92" spans="1:23">
      <c r="A92" s="61" t="s">
        <v>364</v>
      </c>
      <c r="B92" s="56">
        <v>190.04</v>
      </c>
      <c r="C92" s="56">
        <v>0.6</v>
      </c>
      <c r="D92" s="56">
        <v>349</v>
      </c>
      <c r="E92" s="57"/>
      <c r="F92" s="57"/>
      <c r="G92" s="57">
        <v>0</v>
      </c>
      <c r="H92" s="58"/>
      <c r="I92" s="58"/>
      <c r="J92" s="58">
        <v>0</v>
      </c>
      <c r="K92" s="59"/>
      <c r="L92" s="59"/>
      <c r="M92" s="59">
        <v>0</v>
      </c>
      <c r="N92" s="60">
        <f t="shared" si="0"/>
        <v>349</v>
      </c>
      <c r="O92" s="33">
        <v>190.04</v>
      </c>
      <c r="P92">
        <v>581</v>
      </c>
      <c r="Q92">
        <v>522</v>
      </c>
    </row>
    <row r="93" spans="1:23">
      <c r="A93" s="61" t="s">
        <v>378</v>
      </c>
      <c r="B93" s="56">
        <v>191.03</v>
      </c>
      <c r="C93" s="56">
        <v>0.5</v>
      </c>
      <c r="D93" s="56">
        <v>278</v>
      </c>
      <c r="E93" s="57">
        <v>191.04</v>
      </c>
      <c r="F93" s="57">
        <v>0.5</v>
      </c>
      <c r="G93" s="57">
        <v>236</v>
      </c>
      <c r="H93" s="58"/>
      <c r="I93" s="58"/>
      <c r="J93" s="58">
        <v>0</v>
      </c>
      <c r="K93" s="59"/>
      <c r="L93" s="59"/>
      <c r="M93" s="59">
        <v>0</v>
      </c>
      <c r="N93" s="60">
        <f t="shared" si="0"/>
        <v>514</v>
      </c>
      <c r="O93" s="33">
        <v>191.03</v>
      </c>
      <c r="P93">
        <v>556</v>
      </c>
      <c r="Q93">
        <v>355</v>
      </c>
      <c r="R93" s="33">
        <v>191.04</v>
      </c>
      <c r="S93">
        <v>471</v>
      </c>
      <c r="T93">
        <v>354</v>
      </c>
    </row>
    <row r="94" spans="1:23">
      <c r="A94" s="61" t="s">
        <v>288</v>
      </c>
      <c r="B94" s="56">
        <v>191.03</v>
      </c>
      <c r="C94" s="56">
        <v>0.5</v>
      </c>
      <c r="D94" s="56">
        <v>278</v>
      </c>
      <c r="E94" s="57">
        <v>191.04</v>
      </c>
      <c r="F94" s="57">
        <v>0.5</v>
      </c>
      <c r="G94" s="57">
        <v>236</v>
      </c>
      <c r="H94" s="58"/>
      <c r="I94" s="58"/>
      <c r="J94" s="58">
        <v>0</v>
      </c>
      <c r="K94" s="59"/>
      <c r="L94" s="59"/>
      <c r="M94" s="59">
        <v>0</v>
      </c>
      <c r="N94" s="60">
        <f t="shared" si="0"/>
        <v>514</v>
      </c>
      <c r="O94" s="33">
        <v>191.03</v>
      </c>
      <c r="P94">
        <v>556</v>
      </c>
      <c r="Q94">
        <v>355</v>
      </c>
      <c r="R94" s="33">
        <v>191.04</v>
      </c>
      <c r="S94">
        <v>471</v>
      </c>
      <c r="T94">
        <v>354</v>
      </c>
    </row>
    <row r="95" spans="1:23">
      <c r="A95" s="61" t="s">
        <v>338</v>
      </c>
      <c r="B95" s="56">
        <v>191.05</v>
      </c>
      <c r="C95" s="56">
        <v>1</v>
      </c>
      <c r="D95" s="56">
        <v>242</v>
      </c>
      <c r="E95" s="57">
        <v>191.07</v>
      </c>
      <c r="F95" s="57">
        <v>1</v>
      </c>
      <c r="G95" s="57">
        <v>151</v>
      </c>
      <c r="H95" s="58">
        <v>191.06</v>
      </c>
      <c r="I95" s="58">
        <v>0.5</v>
      </c>
      <c r="J95" s="58">
        <v>35</v>
      </c>
      <c r="K95" s="59"/>
      <c r="L95" s="59"/>
      <c r="M95" s="59">
        <v>0</v>
      </c>
      <c r="N95" s="60">
        <f t="shared" si="0"/>
        <v>428</v>
      </c>
      <c r="O95" s="33">
        <v>191.05</v>
      </c>
      <c r="P95">
        <v>242</v>
      </c>
      <c r="Q95">
        <v>109</v>
      </c>
      <c r="R95" s="33">
        <v>191.07</v>
      </c>
      <c r="S95">
        <v>151</v>
      </c>
      <c r="T95">
        <v>166</v>
      </c>
      <c r="U95" s="33">
        <v>191.06</v>
      </c>
      <c r="V95">
        <v>69</v>
      </c>
      <c r="W95">
        <v>76</v>
      </c>
    </row>
    <row r="96" spans="1:23">
      <c r="A96" s="61" t="s">
        <v>350</v>
      </c>
      <c r="B96" s="56">
        <v>191.06</v>
      </c>
      <c r="C96" s="56">
        <v>0.5</v>
      </c>
      <c r="D96" s="56">
        <v>35</v>
      </c>
      <c r="E96" s="57">
        <v>190.05</v>
      </c>
      <c r="F96" s="57">
        <v>1</v>
      </c>
      <c r="G96" s="57">
        <v>173</v>
      </c>
      <c r="H96" s="58">
        <v>190.03</v>
      </c>
      <c r="I96" s="58">
        <v>0.33300000000000002</v>
      </c>
      <c r="J96" s="58">
        <v>209</v>
      </c>
      <c r="K96" s="59"/>
      <c r="L96" s="59"/>
      <c r="M96" s="59">
        <v>0</v>
      </c>
      <c r="N96" s="60">
        <f t="shared" si="0"/>
        <v>417</v>
      </c>
      <c r="O96" s="33">
        <v>191.06</v>
      </c>
      <c r="P96">
        <v>69</v>
      </c>
      <c r="Q96">
        <v>76</v>
      </c>
      <c r="R96" s="33">
        <v>190.05</v>
      </c>
      <c r="S96">
        <v>173</v>
      </c>
      <c r="T96">
        <v>135</v>
      </c>
      <c r="U96" s="33">
        <v>190.03</v>
      </c>
      <c r="V96">
        <v>627</v>
      </c>
      <c r="W96">
        <v>534</v>
      </c>
    </row>
    <row r="97" spans="1:17">
      <c r="A97" s="61" t="s">
        <v>314</v>
      </c>
      <c r="B97" s="56">
        <v>192</v>
      </c>
      <c r="C97" s="56">
        <v>0.66700000000000004</v>
      </c>
      <c r="D97" s="56">
        <v>275</v>
      </c>
      <c r="E97" s="57"/>
      <c r="F97" s="57"/>
      <c r="G97" s="57">
        <v>0</v>
      </c>
      <c r="H97" s="58"/>
      <c r="I97" s="58"/>
      <c r="J97" s="58">
        <v>0</v>
      </c>
      <c r="K97" s="59"/>
      <c r="L97" s="59"/>
      <c r="M97" s="59">
        <v>0</v>
      </c>
      <c r="N97" s="60">
        <f t="shared" si="0"/>
        <v>275</v>
      </c>
      <c r="O97" s="32">
        <v>192</v>
      </c>
      <c r="P97">
        <v>412</v>
      </c>
      <c r="Q97">
        <v>271</v>
      </c>
    </row>
    <row r="99" spans="1:17" ht="15.75" customHeight="1">
      <c r="A99" s="26"/>
      <c r="B99" s="26"/>
      <c r="C99" s="26"/>
      <c r="D99" s="26"/>
      <c r="E99" s="26"/>
      <c r="F99" s="26"/>
    </row>
    <row r="100" spans="1:17" ht="15.75" customHeight="1">
      <c r="A100" s="26"/>
      <c r="E100" s="26"/>
      <c r="F100" s="26"/>
    </row>
    <row r="101" spans="1:17">
      <c r="A101" s="64" t="s">
        <v>928</v>
      </c>
      <c r="B101" s="65" t="s">
        <v>517</v>
      </c>
      <c r="C101" s="65" t="s">
        <v>518</v>
      </c>
      <c r="D101" s="65" t="s">
        <v>519</v>
      </c>
      <c r="E101" s="26"/>
      <c r="F101" s="26"/>
    </row>
    <row r="102" spans="1:17" ht="15.75" customHeight="1">
      <c r="A102" s="26" t="s">
        <v>520</v>
      </c>
      <c r="B102" s="26"/>
      <c r="C102" s="26"/>
      <c r="D102" s="26"/>
      <c r="E102" s="26"/>
      <c r="F102" s="26"/>
      <c r="G102" s="1"/>
    </row>
    <row r="103" spans="1:17" ht="15.75" customHeight="1">
      <c r="A103" s="26" t="s">
        <v>521</v>
      </c>
      <c r="B103" s="26"/>
      <c r="C103" s="26"/>
      <c r="D103" s="26"/>
      <c r="E103" s="26"/>
      <c r="F103" s="26"/>
    </row>
    <row r="104" spans="1:17" ht="15.75" customHeight="1">
      <c r="A104" s="26" t="s">
        <v>522</v>
      </c>
      <c r="B104" s="26"/>
      <c r="C104" s="26"/>
      <c r="D104" s="26"/>
      <c r="E104" s="26"/>
      <c r="F104" s="26"/>
    </row>
    <row r="105" spans="1:17" ht="15.75" customHeight="1">
      <c r="A105" s="26" t="s">
        <v>523</v>
      </c>
      <c r="B105" s="26"/>
      <c r="C105" s="26"/>
      <c r="D105" s="26"/>
      <c r="E105" s="26"/>
      <c r="F105" s="26"/>
      <c r="O105" s="14"/>
    </row>
    <row r="106" spans="1:17" ht="15.75" customHeight="1">
      <c r="A106" s="26" t="s">
        <v>524</v>
      </c>
      <c r="B106" s="26"/>
      <c r="C106" s="26"/>
      <c r="D106" s="26"/>
      <c r="E106" s="26"/>
      <c r="F106" s="26"/>
    </row>
    <row r="107" spans="1:17" ht="15.75" customHeight="1">
      <c r="A107" s="26" t="s">
        <v>525</v>
      </c>
      <c r="B107" s="26"/>
      <c r="C107" s="26"/>
      <c r="D107" s="26"/>
      <c r="E107" s="26"/>
      <c r="F107" s="26"/>
    </row>
    <row r="108" spans="1:17" ht="15.75" customHeight="1">
      <c r="A108" s="26" t="s">
        <v>526</v>
      </c>
      <c r="B108" s="26"/>
      <c r="C108" s="26"/>
      <c r="D108" s="26"/>
      <c r="E108" s="26"/>
      <c r="F108" s="26"/>
    </row>
    <row r="109" spans="1:17" ht="15.75" customHeight="1">
      <c r="A109" s="26" t="s">
        <v>527</v>
      </c>
      <c r="B109" s="26"/>
      <c r="C109" s="26"/>
      <c r="D109" s="26"/>
      <c r="E109" s="26"/>
      <c r="F109" s="26"/>
    </row>
    <row r="110" spans="1:17" ht="15.75" customHeight="1">
      <c r="A110" s="26" t="s">
        <v>528</v>
      </c>
      <c r="B110" s="26"/>
      <c r="C110" s="26"/>
      <c r="D110" s="26"/>
      <c r="E110" s="26"/>
      <c r="F110" s="26"/>
    </row>
    <row r="111" spans="1:17" ht="15.75" customHeight="1">
      <c r="A111" s="26"/>
      <c r="B111" s="26"/>
      <c r="C111" s="26"/>
      <c r="D111" s="26"/>
      <c r="E111" s="26"/>
      <c r="F111" s="26"/>
    </row>
    <row r="112" spans="1:17" ht="15.75" customHeight="1">
      <c r="A112" s="26"/>
      <c r="E112" s="26"/>
      <c r="F112" s="26"/>
    </row>
    <row r="113" spans="1:6">
      <c r="A113" s="64" t="s">
        <v>929</v>
      </c>
      <c r="B113" s="65" t="s">
        <v>517</v>
      </c>
      <c r="C113" s="65" t="s">
        <v>518</v>
      </c>
      <c r="D113" s="65" t="s">
        <v>519</v>
      </c>
      <c r="E113" s="26"/>
      <c r="F113" s="26"/>
    </row>
    <row r="114" spans="1:6" ht="15.75" customHeight="1">
      <c r="A114" s="26" t="s">
        <v>530</v>
      </c>
      <c r="B114" s="26">
        <v>181.07</v>
      </c>
      <c r="C114" s="26">
        <v>1</v>
      </c>
      <c r="D114">
        <f>Q11</f>
        <v>266</v>
      </c>
      <c r="E114" s="26"/>
      <c r="F114" s="26"/>
    </row>
    <row r="115" spans="1:6" ht="15.75" customHeight="1">
      <c r="A115" s="26" t="s">
        <v>531</v>
      </c>
      <c r="B115" s="67">
        <v>181.03</v>
      </c>
      <c r="C115" s="67">
        <v>0.5</v>
      </c>
      <c r="D115" s="67">
        <v>173</v>
      </c>
      <c r="E115" s="26"/>
      <c r="F115" s="26"/>
    </row>
    <row r="116" spans="1:6" ht="15.75" customHeight="1">
      <c r="A116" s="26" t="s">
        <v>532</v>
      </c>
      <c r="B116" s="67">
        <v>181.12</v>
      </c>
      <c r="C116" s="67">
        <v>0.5</v>
      </c>
      <c r="D116" s="67">
        <v>152</v>
      </c>
      <c r="E116" s="26"/>
      <c r="F116" s="26"/>
    </row>
    <row r="117" spans="1:6" ht="15.75" customHeight="1">
      <c r="A117" s="26" t="s">
        <v>533</v>
      </c>
      <c r="B117" s="67">
        <v>181.08</v>
      </c>
      <c r="C117" s="67">
        <v>1</v>
      </c>
      <c r="D117" s="67">
        <f>Q12</f>
        <v>161</v>
      </c>
      <c r="E117" s="26"/>
      <c r="F117" s="26"/>
    </row>
    <row r="118" spans="1:6" ht="15.75" customHeight="1">
      <c r="A118" s="26"/>
      <c r="B118" s="68">
        <v>181.03</v>
      </c>
      <c r="C118" s="68">
        <v>0.5</v>
      </c>
      <c r="D118" s="68">
        <v>173</v>
      </c>
      <c r="E118" s="26"/>
      <c r="F118" s="26"/>
    </row>
    <row r="119" spans="1:6" ht="15.75" customHeight="1">
      <c r="A119" s="26"/>
      <c r="B119" s="68">
        <v>181.09</v>
      </c>
      <c r="C119" s="68">
        <v>1</v>
      </c>
      <c r="D119" s="68">
        <f>T12</f>
        <v>561</v>
      </c>
      <c r="E119" s="26"/>
      <c r="F119" s="26"/>
    </row>
    <row r="120" spans="1:6">
      <c r="A120" s="64" t="s">
        <v>529</v>
      </c>
      <c r="B120" s="26"/>
      <c r="C120" s="26"/>
      <c r="D120" s="26">
        <f>SUM(D114:D119)</f>
        <v>1486</v>
      </c>
      <c r="E120" s="26"/>
      <c r="F120" s="26"/>
    </row>
    <row r="121" spans="1:6">
      <c r="A121" s="64"/>
      <c r="B121" s="65"/>
      <c r="C121" s="65"/>
      <c r="D121" s="65"/>
      <c r="E121" s="26"/>
      <c r="F121" s="26"/>
    </row>
    <row r="122" spans="1:6">
      <c r="A122" s="64"/>
      <c r="E122" s="26"/>
      <c r="F122" s="26"/>
    </row>
    <row r="123" spans="1:6">
      <c r="A123" s="64" t="s">
        <v>930</v>
      </c>
      <c r="B123" s="65" t="s">
        <v>517</v>
      </c>
      <c r="C123" s="65" t="s">
        <v>518</v>
      </c>
      <c r="D123" s="65" t="s">
        <v>519</v>
      </c>
      <c r="E123" s="26"/>
      <c r="F123" s="26"/>
    </row>
    <row r="124" spans="1:6" ht="15.75" customHeight="1">
      <c r="A124" s="26" t="s">
        <v>534</v>
      </c>
      <c r="B124" s="69">
        <v>188.01</v>
      </c>
      <c r="C124" s="69">
        <v>1</v>
      </c>
      <c r="D124" s="69">
        <f>Q79</f>
        <v>272</v>
      </c>
      <c r="E124" s="26"/>
      <c r="F124" s="26"/>
    </row>
    <row r="125" spans="1:6" ht="15.75" customHeight="1">
      <c r="A125" s="26"/>
      <c r="B125" s="69">
        <v>188.02</v>
      </c>
      <c r="C125" s="69">
        <v>0.75</v>
      </c>
      <c r="D125" s="69">
        <v>305</v>
      </c>
      <c r="E125" s="26"/>
      <c r="F125" s="26"/>
    </row>
    <row r="126" spans="1:6" ht="15.75" customHeight="1">
      <c r="A126" s="26" t="s">
        <v>535</v>
      </c>
      <c r="B126" s="69">
        <v>188.02</v>
      </c>
      <c r="C126" s="69">
        <v>0.25</v>
      </c>
      <c r="D126" s="69">
        <v>102</v>
      </c>
      <c r="E126" s="26"/>
      <c r="F126" s="26"/>
    </row>
    <row r="127" spans="1:6" ht="15.75" customHeight="1">
      <c r="A127" s="26"/>
      <c r="B127" s="69">
        <v>188.08</v>
      </c>
      <c r="C127" s="69">
        <v>0.5</v>
      </c>
      <c r="D127" s="69">
        <v>276</v>
      </c>
      <c r="E127" s="26"/>
      <c r="F127" s="26"/>
    </row>
    <row r="128" spans="1:6" ht="15.75" customHeight="1">
      <c r="A128" s="26"/>
      <c r="B128" s="69">
        <v>188.07</v>
      </c>
      <c r="C128" s="69">
        <v>0.25</v>
      </c>
      <c r="D128" s="69">
        <v>116</v>
      </c>
      <c r="E128" s="26"/>
      <c r="F128" s="26"/>
    </row>
    <row r="129" spans="1:26" ht="15.75" customHeight="1">
      <c r="A129" s="26" t="s">
        <v>536</v>
      </c>
      <c r="B129" s="69">
        <v>188.07</v>
      </c>
      <c r="C129" s="69">
        <v>0.75</v>
      </c>
      <c r="D129" s="69">
        <v>347</v>
      </c>
      <c r="E129" s="26"/>
      <c r="F129" s="26"/>
    </row>
    <row r="130" spans="1:26" ht="15.75" customHeight="1">
      <c r="A130" s="26"/>
      <c r="B130" s="69">
        <v>188.08</v>
      </c>
      <c r="C130" s="69">
        <v>0.5</v>
      </c>
      <c r="D130" s="69">
        <v>276</v>
      </c>
      <c r="E130" s="26"/>
      <c r="F130" s="26"/>
    </row>
    <row r="131" spans="1:26" ht="15.75" customHeight="1">
      <c r="A131" s="26" t="s">
        <v>537</v>
      </c>
      <c r="B131" s="69">
        <v>188.05</v>
      </c>
      <c r="C131" s="69">
        <v>1</v>
      </c>
      <c r="D131" s="69">
        <f>Q81</f>
        <v>215</v>
      </c>
      <c r="E131" s="26"/>
      <c r="F131" s="26"/>
    </row>
    <row r="132" spans="1:26" ht="15.75" customHeight="1">
      <c r="A132" s="26"/>
      <c r="B132" s="69">
        <v>188.06</v>
      </c>
      <c r="C132" s="69">
        <v>0.8</v>
      </c>
      <c r="D132" s="69">
        <v>94</v>
      </c>
      <c r="E132" s="26"/>
      <c r="F132" s="26"/>
    </row>
    <row r="133" spans="1:26" ht="15.75" customHeight="1">
      <c r="A133" s="65" t="s">
        <v>529</v>
      </c>
      <c r="B133" s="65"/>
      <c r="C133" s="65"/>
      <c r="D133" s="65">
        <f>SUM(D124:D132)</f>
        <v>2003</v>
      </c>
      <c r="E133" s="65"/>
      <c r="F133" s="6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5.75" customHeight="1">
      <c r="A134" s="26"/>
      <c r="B134" s="26"/>
      <c r="C134" s="26"/>
      <c r="D134" s="26"/>
      <c r="E134" s="26"/>
      <c r="F134" s="26"/>
    </row>
    <row r="135" spans="1:26">
      <c r="A135" s="64"/>
      <c r="E135" s="26"/>
      <c r="F135" s="26"/>
    </row>
    <row r="136" spans="1:26">
      <c r="A136" s="64" t="s">
        <v>931</v>
      </c>
      <c r="B136" s="65" t="s">
        <v>517</v>
      </c>
      <c r="C136" s="65" t="s">
        <v>518</v>
      </c>
      <c r="D136" s="65" t="s">
        <v>519</v>
      </c>
      <c r="E136" s="26"/>
      <c r="F136" s="26"/>
    </row>
    <row r="137" spans="1:26">
      <c r="A137" s="26" t="s">
        <v>538</v>
      </c>
      <c r="B137" s="12">
        <v>192</v>
      </c>
      <c r="C137" s="12">
        <v>0.66700000000000004</v>
      </c>
      <c r="D137" s="12">
        <v>181</v>
      </c>
      <c r="E137" s="26"/>
      <c r="F137" s="26"/>
    </row>
    <row r="138" spans="1:26">
      <c r="A138" s="26" t="s">
        <v>539</v>
      </c>
      <c r="B138" s="12">
        <v>191.05</v>
      </c>
      <c r="C138" s="12">
        <v>1</v>
      </c>
      <c r="D138" s="12">
        <f>Q95</f>
        <v>109</v>
      </c>
    </row>
    <row r="139" spans="1:26">
      <c r="A139" s="26"/>
      <c r="B139" s="12">
        <v>191.07</v>
      </c>
      <c r="C139" s="12">
        <v>1</v>
      </c>
      <c r="D139" s="12">
        <f>T95</f>
        <v>166</v>
      </c>
      <c r="E139" s="26"/>
      <c r="F139" s="26"/>
    </row>
    <row r="140" spans="1:26">
      <c r="A140" s="26"/>
      <c r="B140" s="12">
        <v>191.06</v>
      </c>
      <c r="C140" s="12">
        <v>0.5</v>
      </c>
      <c r="D140" s="12">
        <v>38</v>
      </c>
      <c r="E140" s="26"/>
      <c r="F140" s="26"/>
    </row>
    <row r="141" spans="1:26">
      <c r="A141" s="26" t="s">
        <v>540</v>
      </c>
      <c r="B141" s="12">
        <v>191.03</v>
      </c>
      <c r="C141" s="12">
        <v>0.5</v>
      </c>
      <c r="D141" s="12">
        <v>178</v>
      </c>
    </row>
    <row r="142" spans="1:26">
      <c r="A142" s="26"/>
      <c r="B142" s="12">
        <v>191.04</v>
      </c>
      <c r="C142" s="12">
        <v>0.5</v>
      </c>
      <c r="D142" s="12">
        <v>177</v>
      </c>
      <c r="E142" s="26"/>
      <c r="F142" s="26"/>
    </row>
    <row r="143" spans="1:26">
      <c r="A143" s="26" t="s">
        <v>541</v>
      </c>
      <c r="B143" s="12">
        <v>191.06</v>
      </c>
      <c r="C143" s="12">
        <v>0.5</v>
      </c>
      <c r="D143" s="12">
        <v>38</v>
      </c>
    </row>
    <row r="144" spans="1:26">
      <c r="A144" s="26"/>
      <c r="B144" s="12">
        <v>190.05</v>
      </c>
      <c r="C144" s="12">
        <v>1</v>
      </c>
      <c r="D144" s="12">
        <f>T96</f>
        <v>135</v>
      </c>
      <c r="E144" s="26"/>
      <c r="F144" s="26"/>
    </row>
    <row r="145" spans="1:6">
      <c r="A145" s="26"/>
      <c r="B145" s="12">
        <v>190.03</v>
      </c>
      <c r="C145" s="12">
        <v>0.33300000000000002</v>
      </c>
      <c r="D145" s="12">
        <v>178</v>
      </c>
      <c r="E145" s="26"/>
      <c r="F145" s="26"/>
    </row>
    <row r="146" spans="1:6">
      <c r="A146" s="26" t="s">
        <v>542</v>
      </c>
      <c r="B146" s="12">
        <v>190.04</v>
      </c>
      <c r="C146" s="12">
        <v>0.6</v>
      </c>
      <c r="D146" s="12">
        <v>313</v>
      </c>
      <c r="E146" s="26"/>
      <c r="F146" s="26"/>
    </row>
    <row r="147" spans="1:6" ht="15.75" customHeight="1">
      <c r="A147" s="65" t="s">
        <v>529</v>
      </c>
      <c r="B147" s="26"/>
      <c r="C147" s="26"/>
      <c r="D147" s="65">
        <f>SUM(D137:D146)</f>
        <v>1513</v>
      </c>
      <c r="E147" s="26"/>
      <c r="F147" s="26"/>
    </row>
    <row r="148" spans="1:6" ht="15.75" customHeight="1">
      <c r="A148" s="26"/>
      <c r="B148" s="26"/>
      <c r="C148" s="26"/>
      <c r="D148" s="26"/>
      <c r="E148" s="26"/>
      <c r="F148" s="26"/>
    </row>
    <row r="149" spans="1:6">
      <c r="A149" s="64"/>
      <c r="E149" s="26"/>
      <c r="F149" s="26"/>
    </row>
    <row r="150" spans="1:6">
      <c r="A150" s="64" t="s">
        <v>932</v>
      </c>
      <c r="B150" s="65" t="s">
        <v>517</v>
      </c>
      <c r="C150" s="65" t="s">
        <v>518</v>
      </c>
      <c r="D150" s="65" t="s">
        <v>519</v>
      </c>
      <c r="E150" s="26"/>
      <c r="F150" s="26"/>
    </row>
    <row r="151" spans="1:6">
      <c r="A151" s="70" t="s">
        <v>543</v>
      </c>
      <c r="B151" s="12">
        <v>182.02</v>
      </c>
      <c r="C151" s="12">
        <v>0.5</v>
      </c>
      <c r="D151" s="12">
        <v>399</v>
      </c>
      <c r="E151" s="26"/>
      <c r="F151" s="26"/>
    </row>
    <row r="152" spans="1:6" ht="15.75" customHeight="1">
      <c r="A152" s="70" t="s">
        <v>544</v>
      </c>
      <c r="B152" s="12">
        <v>182.02</v>
      </c>
      <c r="C152" s="12">
        <v>0.5</v>
      </c>
      <c r="D152" s="4">
        <v>399</v>
      </c>
      <c r="E152" s="26"/>
      <c r="F152" s="26"/>
    </row>
    <row r="153" spans="1:6" ht="15.75" customHeight="1">
      <c r="A153" s="70" t="s">
        <v>545</v>
      </c>
      <c r="B153" s="12">
        <v>182.02</v>
      </c>
      <c r="C153" s="12">
        <v>0.5</v>
      </c>
      <c r="D153" s="4">
        <v>399</v>
      </c>
      <c r="E153" s="26"/>
      <c r="F153" s="26"/>
    </row>
    <row r="154" spans="1:6">
      <c r="A154" s="26" t="s">
        <v>546</v>
      </c>
      <c r="B154" s="12">
        <v>183.05</v>
      </c>
      <c r="C154" s="12">
        <v>0.5</v>
      </c>
      <c r="D154" s="12">
        <v>516</v>
      </c>
      <c r="E154" s="26"/>
      <c r="F154" s="26"/>
    </row>
    <row r="155" spans="1:6">
      <c r="A155" s="26" t="s">
        <v>547</v>
      </c>
      <c r="B155" s="12">
        <v>183.03</v>
      </c>
      <c r="C155" s="12">
        <v>0.5</v>
      </c>
      <c r="D155" s="12">
        <v>171</v>
      </c>
    </row>
    <row r="156" spans="1:6">
      <c r="A156" s="26"/>
      <c r="B156" s="12">
        <v>183.07</v>
      </c>
      <c r="C156" s="12">
        <v>0.2</v>
      </c>
      <c r="D156" s="12">
        <v>166</v>
      </c>
      <c r="E156" s="26"/>
      <c r="F156" s="26"/>
    </row>
    <row r="157" spans="1:6">
      <c r="A157" s="26" t="s">
        <v>548</v>
      </c>
      <c r="B157" s="12">
        <v>183.03</v>
      </c>
      <c r="C157" s="12">
        <v>0.5</v>
      </c>
      <c r="D157" s="12">
        <v>171</v>
      </c>
    </row>
    <row r="158" spans="1:6">
      <c r="A158" s="26"/>
      <c r="B158" s="12">
        <v>183.07</v>
      </c>
      <c r="C158" s="12">
        <v>0.1</v>
      </c>
      <c r="D158" s="12">
        <v>83</v>
      </c>
      <c r="E158" s="26"/>
      <c r="F158" s="26"/>
    </row>
    <row r="159" spans="1:6">
      <c r="A159" s="26"/>
      <c r="B159" s="12">
        <v>182.01</v>
      </c>
      <c r="C159" s="12">
        <v>0.25</v>
      </c>
      <c r="D159" s="12">
        <v>100</v>
      </c>
      <c r="E159" s="26"/>
      <c r="F159" s="26"/>
    </row>
    <row r="160" spans="1:6">
      <c r="A160" s="26" t="s">
        <v>549</v>
      </c>
      <c r="B160" s="12">
        <v>182.01</v>
      </c>
      <c r="C160" s="12">
        <v>0.25</v>
      </c>
      <c r="D160" s="12">
        <v>100</v>
      </c>
    </row>
    <row r="161" spans="1:6">
      <c r="A161" s="26"/>
      <c r="B161" s="12">
        <v>183.07</v>
      </c>
      <c r="C161" s="12">
        <v>0.3</v>
      </c>
      <c r="D161" s="12">
        <v>249</v>
      </c>
      <c r="E161" s="26"/>
      <c r="F161" s="26"/>
    </row>
    <row r="162" spans="1:6" ht="15.75" customHeight="1">
      <c r="A162" s="65" t="s">
        <v>529</v>
      </c>
      <c r="B162" s="26"/>
      <c r="C162" s="26"/>
      <c r="D162" s="65">
        <f>SUM(D151:D161)</f>
        <v>2753</v>
      </c>
      <c r="E162" s="26"/>
      <c r="F162" s="26"/>
    </row>
    <row r="163" spans="1:6" ht="15.75" customHeight="1">
      <c r="A163" s="26"/>
      <c r="B163" s="26"/>
      <c r="C163" s="26"/>
      <c r="D163" s="26"/>
      <c r="E163" s="26"/>
      <c r="F163" s="26"/>
    </row>
    <row r="164" spans="1:6">
      <c r="A164" s="64"/>
      <c r="E164" s="26"/>
      <c r="F164" s="26"/>
    </row>
    <row r="165" spans="1:6">
      <c r="A165" s="64" t="s">
        <v>933</v>
      </c>
      <c r="B165" s="65" t="s">
        <v>517</v>
      </c>
      <c r="C165" s="65" t="s">
        <v>518</v>
      </c>
      <c r="D165" s="65" t="s">
        <v>519</v>
      </c>
      <c r="E165" s="26"/>
      <c r="F165" s="26"/>
    </row>
    <row r="166" spans="1:6">
      <c r="A166" s="26" t="s">
        <v>550</v>
      </c>
      <c r="B166" s="12">
        <v>185.18</v>
      </c>
      <c r="C166" s="12">
        <v>0.33300000000000002</v>
      </c>
      <c r="D166" s="12">
        <v>124</v>
      </c>
    </row>
    <row r="167" spans="1:6">
      <c r="A167" s="26"/>
      <c r="B167" s="12">
        <v>185.08</v>
      </c>
      <c r="C167" s="12">
        <v>1</v>
      </c>
      <c r="D167" s="12">
        <f>T58</f>
        <v>113</v>
      </c>
      <c r="E167" s="26"/>
      <c r="F167" s="26"/>
    </row>
    <row r="168" spans="1:6">
      <c r="A168" s="26"/>
      <c r="B168" s="12">
        <v>185.07</v>
      </c>
      <c r="C168" s="12">
        <v>0.33300000000000002</v>
      </c>
      <c r="D168" s="12">
        <v>303</v>
      </c>
      <c r="E168" s="26"/>
      <c r="F168" s="26"/>
    </row>
    <row r="169" spans="1:6" ht="15.75" customHeight="1">
      <c r="A169" s="26" t="s">
        <v>551</v>
      </c>
      <c r="B169" s="56">
        <v>185.07</v>
      </c>
      <c r="C169" s="56">
        <v>0.33300000000000002</v>
      </c>
      <c r="D169" s="26">
        <v>303</v>
      </c>
      <c r="E169" s="26"/>
      <c r="F169" s="26"/>
    </row>
    <row r="170" spans="1:6">
      <c r="A170" s="26" t="s">
        <v>552</v>
      </c>
      <c r="B170" s="12">
        <v>185.12</v>
      </c>
      <c r="C170" s="12">
        <v>0.5</v>
      </c>
      <c r="D170" s="12">
        <v>265</v>
      </c>
    </row>
    <row r="171" spans="1:6">
      <c r="A171" s="26"/>
      <c r="B171" s="12">
        <v>185.05</v>
      </c>
      <c r="C171" s="12">
        <v>0.2</v>
      </c>
      <c r="D171" s="12">
        <v>126</v>
      </c>
      <c r="E171" s="26"/>
      <c r="F171" s="26"/>
    </row>
    <row r="172" spans="1:6">
      <c r="A172" s="26" t="s">
        <v>553</v>
      </c>
      <c r="B172" s="12">
        <v>185.07</v>
      </c>
      <c r="C172" s="12">
        <v>0.33300000000000002</v>
      </c>
      <c r="D172" s="12">
        <v>303</v>
      </c>
    </row>
    <row r="173" spans="1:6">
      <c r="A173" s="26"/>
      <c r="B173" s="12">
        <v>184.12</v>
      </c>
      <c r="C173" s="12">
        <v>0.2</v>
      </c>
      <c r="D173" s="12">
        <v>154</v>
      </c>
      <c r="E173" s="26"/>
      <c r="F173" s="26"/>
    </row>
    <row r="174" spans="1:6">
      <c r="A174" s="26"/>
      <c r="B174" s="12">
        <v>184.13</v>
      </c>
      <c r="C174" s="12">
        <v>0.2</v>
      </c>
      <c r="D174" s="12">
        <v>69</v>
      </c>
      <c r="E174" s="26"/>
      <c r="F174" s="26"/>
    </row>
    <row r="175" spans="1:6" ht="15.75" customHeight="1">
      <c r="A175" s="65" t="s">
        <v>529</v>
      </c>
      <c r="B175" s="26"/>
      <c r="C175" s="26"/>
      <c r="D175" s="65">
        <f>SUM(D166:D174)</f>
        <v>1760</v>
      </c>
      <c r="E175" s="26"/>
      <c r="F175" s="26"/>
    </row>
    <row r="176" spans="1:6" ht="15.75" customHeight="1">
      <c r="A176" s="26"/>
      <c r="B176" s="26"/>
      <c r="C176" s="26"/>
      <c r="D176" s="26"/>
      <c r="E176" s="26"/>
      <c r="F176" s="26"/>
    </row>
    <row r="177" spans="1:6">
      <c r="A177" s="64"/>
      <c r="E177" s="26"/>
      <c r="F177" s="26"/>
    </row>
    <row r="178" spans="1:6">
      <c r="A178" s="64" t="s">
        <v>934</v>
      </c>
      <c r="B178" s="65" t="s">
        <v>517</v>
      </c>
      <c r="C178" s="65" t="s">
        <v>518</v>
      </c>
      <c r="D178" s="65" t="s">
        <v>519</v>
      </c>
      <c r="E178" s="26"/>
      <c r="F178" s="26"/>
    </row>
    <row r="179" spans="1:6">
      <c r="A179" s="26" t="s">
        <v>554</v>
      </c>
      <c r="B179" s="12">
        <v>184.16</v>
      </c>
      <c r="C179" s="12">
        <v>0.15</v>
      </c>
      <c r="D179" s="12">
        <v>38</v>
      </c>
    </row>
    <row r="180" spans="1:6">
      <c r="A180" s="26"/>
      <c r="B180" s="12">
        <v>184.15</v>
      </c>
      <c r="C180" s="12">
        <v>1</v>
      </c>
      <c r="D180" s="12">
        <f>T45</f>
        <v>276</v>
      </c>
      <c r="E180" s="26"/>
      <c r="F180" s="26"/>
    </row>
    <row r="181" spans="1:6">
      <c r="A181" s="26"/>
      <c r="B181" s="12">
        <v>184.09</v>
      </c>
      <c r="C181" s="12">
        <v>0.5</v>
      </c>
      <c r="D181" s="12">
        <v>184</v>
      </c>
      <c r="E181" s="26"/>
      <c r="F181" s="26"/>
    </row>
    <row r="182" spans="1:6">
      <c r="A182" s="26" t="s">
        <v>555</v>
      </c>
      <c r="B182" s="12">
        <v>187.03</v>
      </c>
      <c r="C182" s="12">
        <v>0.5</v>
      </c>
      <c r="D182" s="12">
        <v>223</v>
      </c>
    </row>
    <row r="183" spans="1:6">
      <c r="A183" s="26"/>
      <c r="B183" s="12">
        <v>187.05</v>
      </c>
      <c r="C183" s="12">
        <v>0.25</v>
      </c>
      <c r="D183" s="12">
        <v>140</v>
      </c>
      <c r="E183" s="26"/>
      <c r="F183" s="26"/>
    </row>
    <row r="184" spans="1:6">
      <c r="A184" s="26" t="s">
        <v>556</v>
      </c>
      <c r="B184" s="12">
        <v>184.1</v>
      </c>
      <c r="C184" s="12">
        <v>0.5</v>
      </c>
      <c r="D184" s="12">
        <v>305</v>
      </c>
      <c r="E184" s="26"/>
      <c r="F184" s="26"/>
    </row>
    <row r="185" spans="1:6">
      <c r="A185" s="26" t="s">
        <v>557</v>
      </c>
      <c r="B185" s="12">
        <v>184.09</v>
      </c>
      <c r="C185" s="12">
        <v>0.5</v>
      </c>
      <c r="D185" s="12">
        <v>184</v>
      </c>
    </row>
    <row r="186" spans="1:6">
      <c r="A186" s="26"/>
      <c r="B186" s="12">
        <v>184.1</v>
      </c>
      <c r="C186" s="12">
        <v>0.5</v>
      </c>
      <c r="D186" s="12">
        <v>305</v>
      </c>
      <c r="E186" s="26"/>
      <c r="F186" s="26"/>
    </row>
    <row r="187" spans="1:6" ht="15.75" customHeight="1">
      <c r="A187" s="65" t="s">
        <v>529</v>
      </c>
      <c r="B187" s="26"/>
      <c r="C187" s="26"/>
      <c r="D187" s="65">
        <f>SUM(D179:D186)</f>
        <v>1655</v>
      </c>
      <c r="E187" s="26"/>
      <c r="F187" s="26"/>
    </row>
    <row r="188" spans="1:6" ht="15.75" customHeight="1">
      <c r="A188" s="26"/>
      <c r="B188" s="26"/>
      <c r="C188" s="26"/>
      <c r="D188" s="26"/>
      <c r="E188" s="26"/>
      <c r="F188" s="26"/>
    </row>
    <row r="189" spans="1:6">
      <c r="A189" s="64"/>
      <c r="E189" s="26"/>
      <c r="F189" s="26"/>
    </row>
    <row r="190" spans="1:6">
      <c r="A190" s="64" t="s">
        <v>935</v>
      </c>
      <c r="B190" s="65" t="s">
        <v>517</v>
      </c>
      <c r="C190" s="65" t="s">
        <v>518</v>
      </c>
      <c r="D190" s="65" t="s">
        <v>519</v>
      </c>
      <c r="E190" s="26"/>
      <c r="F190" s="26"/>
    </row>
    <row r="191" spans="1:6">
      <c r="A191" s="26" t="s">
        <v>558</v>
      </c>
      <c r="B191" s="12">
        <v>182.04</v>
      </c>
      <c r="C191" s="12">
        <v>1</v>
      </c>
      <c r="D191" s="12"/>
    </row>
    <row r="192" spans="1:6">
      <c r="A192" s="26"/>
      <c r="B192" s="12">
        <v>187.16</v>
      </c>
      <c r="C192" s="12">
        <v>0.66700000000000004</v>
      </c>
      <c r="D192" s="12"/>
      <c r="E192" s="26"/>
      <c r="F192" s="26"/>
    </row>
    <row r="193" spans="1:6">
      <c r="A193" s="26" t="s">
        <v>559</v>
      </c>
      <c r="B193" s="12">
        <v>187.13</v>
      </c>
      <c r="C193" s="12">
        <v>1</v>
      </c>
      <c r="D193" s="12"/>
    </row>
    <row r="194" spans="1:6">
      <c r="A194" s="26"/>
      <c r="B194" s="12">
        <v>182.03</v>
      </c>
      <c r="C194" s="12">
        <v>0.4</v>
      </c>
      <c r="D194" s="12"/>
      <c r="E194" s="26"/>
      <c r="F194" s="26"/>
    </row>
    <row r="195" spans="1:6">
      <c r="A195" s="26" t="s">
        <v>560</v>
      </c>
      <c r="B195" s="12">
        <v>187.16</v>
      </c>
      <c r="C195" s="12">
        <v>0.33300000000000002</v>
      </c>
      <c r="D195" s="12"/>
    </row>
    <row r="196" spans="1:6">
      <c r="A196" s="26"/>
      <c r="B196" s="12">
        <v>187.14</v>
      </c>
      <c r="C196" s="12">
        <v>1</v>
      </c>
      <c r="D196" s="12"/>
      <c r="E196" s="26"/>
      <c r="F196" s="26"/>
    </row>
    <row r="197" spans="1:6">
      <c r="A197" s="26"/>
      <c r="B197" s="12">
        <v>187.15</v>
      </c>
      <c r="C197" s="12">
        <v>1</v>
      </c>
      <c r="D197" s="12"/>
      <c r="E197" s="26"/>
      <c r="F197" s="26"/>
    </row>
    <row r="198" spans="1:6">
      <c r="A198" s="65" t="s">
        <v>529</v>
      </c>
      <c r="B198" s="12"/>
      <c r="C198" s="12"/>
      <c r="D198" s="71">
        <f>SUM(D191:D197)</f>
        <v>0</v>
      </c>
      <c r="E198" s="26"/>
      <c r="F198" s="26"/>
    </row>
    <row r="199" spans="1:6">
      <c r="A199" s="26"/>
      <c r="B199" s="12"/>
      <c r="C199" s="12"/>
      <c r="D199" s="12"/>
      <c r="E199" s="26"/>
      <c r="F199" s="26"/>
    </row>
    <row r="200" spans="1:6">
      <c r="A200" s="64"/>
      <c r="E200" s="26"/>
      <c r="F200" s="26"/>
    </row>
    <row r="201" spans="1:6">
      <c r="A201" s="64" t="s">
        <v>936</v>
      </c>
      <c r="B201" s="65" t="s">
        <v>517</v>
      </c>
      <c r="C201" s="65" t="s">
        <v>518</v>
      </c>
      <c r="D201" s="65" t="s">
        <v>519</v>
      </c>
      <c r="E201" s="26"/>
      <c r="F201" s="26"/>
    </row>
    <row r="202" spans="1:6">
      <c r="A202" s="26" t="s">
        <v>561</v>
      </c>
      <c r="B202" s="12">
        <v>184.02</v>
      </c>
      <c r="C202" s="12">
        <v>1</v>
      </c>
      <c r="D202" s="12"/>
    </row>
    <row r="203" spans="1:6">
      <c r="A203" s="26"/>
      <c r="B203" s="12">
        <v>184.16</v>
      </c>
      <c r="C203" s="12">
        <v>0.25</v>
      </c>
      <c r="D203" s="12"/>
      <c r="E203" s="26"/>
      <c r="F203" s="26"/>
    </row>
    <row r="204" spans="1:6">
      <c r="A204" s="26" t="s">
        <v>562</v>
      </c>
      <c r="B204" s="12">
        <v>184.16</v>
      </c>
      <c r="C204" s="12">
        <v>0.6</v>
      </c>
      <c r="D204" s="12"/>
      <c r="E204" s="26"/>
      <c r="F204" s="26"/>
    </row>
    <row r="205" spans="1:6">
      <c r="A205" s="26" t="s">
        <v>563</v>
      </c>
      <c r="B205" s="12">
        <v>184.06</v>
      </c>
      <c r="C205" s="12">
        <v>0.33300000000000002</v>
      </c>
      <c r="D205" s="12"/>
    </row>
    <row r="206" spans="1:6">
      <c r="A206" s="26"/>
      <c r="B206" s="12">
        <v>184.07</v>
      </c>
      <c r="C206" s="12">
        <v>1</v>
      </c>
      <c r="D206" s="12"/>
      <c r="E206" s="26"/>
      <c r="F206" s="26"/>
    </row>
    <row r="207" spans="1:6">
      <c r="A207" s="26" t="s">
        <v>564</v>
      </c>
      <c r="B207" s="12">
        <v>184.06</v>
      </c>
      <c r="C207" s="12">
        <v>0.66700000000000004</v>
      </c>
      <c r="D207" s="12"/>
    </row>
    <row r="208" spans="1:6">
      <c r="A208" s="26"/>
      <c r="B208" s="12">
        <v>182.03</v>
      </c>
      <c r="C208" s="12">
        <v>0.2</v>
      </c>
      <c r="D208" s="12"/>
      <c r="E208" s="26"/>
      <c r="F208" s="26"/>
    </row>
    <row r="209" spans="1:6">
      <c r="A209" s="26" t="s">
        <v>565</v>
      </c>
      <c r="B209" s="12">
        <v>184.11</v>
      </c>
      <c r="C209" s="12">
        <v>1</v>
      </c>
      <c r="D209" s="12"/>
      <c r="E209" s="26"/>
      <c r="F209" s="26"/>
    </row>
    <row r="210" spans="1:6" ht="15.75" customHeight="1">
      <c r="A210" s="65" t="s">
        <v>529</v>
      </c>
      <c r="B210" s="26"/>
      <c r="C210" s="26"/>
      <c r="D210" s="65">
        <f>SUM(D202:D209)</f>
        <v>0</v>
      </c>
      <c r="E210" s="26"/>
      <c r="F210" s="26"/>
    </row>
    <row r="211" spans="1:6" ht="15.75" customHeight="1">
      <c r="A211" s="26"/>
      <c r="B211" s="26"/>
      <c r="C211" s="26"/>
      <c r="D211" s="26"/>
      <c r="E211" s="26"/>
      <c r="F211" s="26"/>
    </row>
    <row r="212" spans="1:6">
      <c r="A212" s="64"/>
      <c r="E212" s="26"/>
      <c r="F212" s="26"/>
    </row>
    <row r="213" spans="1:6">
      <c r="A213" s="64" t="s">
        <v>937</v>
      </c>
      <c r="B213" s="65" t="s">
        <v>517</v>
      </c>
      <c r="C213" s="65" t="s">
        <v>518</v>
      </c>
      <c r="D213" s="65" t="s">
        <v>519</v>
      </c>
      <c r="E213" s="26"/>
      <c r="F213" s="26"/>
    </row>
    <row r="214" spans="1:6">
      <c r="A214" s="26" t="s">
        <v>566</v>
      </c>
      <c r="B214" s="12">
        <v>190.01</v>
      </c>
      <c r="C214" s="12">
        <v>0.75</v>
      </c>
      <c r="D214" s="12"/>
    </row>
    <row r="215" spans="1:6">
      <c r="A215" s="26"/>
      <c r="B215" s="12">
        <v>189.06</v>
      </c>
      <c r="C215" s="12">
        <v>1</v>
      </c>
      <c r="D215" s="12"/>
      <c r="E215" s="26"/>
      <c r="F215" s="26"/>
    </row>
    <row r="216" spans="1:6">
      <c r="A216" s="26"/>
      <c r="B216" s="12">
        <v>187.03</v>
      </c>
      <c r="C216" s="12">
        <v>0.25</v>
      </c>
      <c r="D216" s="12"/>
      <c r="E216" s="26"/>
      <c r="F216" s="26"/>
    </row>
    <row r="217" spans="1:6">
      <c r="A217" s="26" t="s">
        <v>567</v>
      </c>
      <c r="B217" s="12">
        <v>190.03</v>
      </c>
      <c r="C217" s="12">
        <v>0.8</v>
      </c>
      <c r="D217" s="12"/>
    </row>
    <row r="218" spans="1:6">
      <c r="A218" s="26"/>
      <c r="B218" s="12">
        <v>190.04</v>
      </c>
      <c r="C218" s="12">
        <v>0.1</v>
      </c>
      <c r="D218" s="12"/>
      <c r="E218" s="26"/>
      <c r="F218" s="26"/>
    </row>
    <row r="219" spans="1:6">
      <c r="A219" s="26" t="s">
        <v>568</v>
      </c>
      <c r="B219" s="12">
        <v>189.05</v>
      </c>
      <c r="C219" s="12">
        <v>0.33300000000000002</v>
      </c>
      <c r="D219" s="12"/>
    </row>
    <row r="220" spans="1:6">
      <c r="A220" s="26"/>
      <c r="B220" s="12">
        <v>190.03</v>
      </c>
      <c r="C220" s="12">
        <v>0.2</v>
      </c>
      <c r="D220" s="12"/>
      <c r="E220" s="26"/>
      <c r="F220" s="26"/>
    </row>
    <row r="221" spans="1:6">
      <c r="A221" s="26" t="s">
        <v>569</v>
      </c>
      <c r="B221" s="12">
        <v>189.08</v>
      </c>
      <c r="C221" s="12">
        <v>1</v>
      </c>
      <c r="D221" s="12"/>
      <c r="E221" s="26"/>
      <c r="F221" s="26"/>
    </row>
    <row r="222" spans="1:6">
      <c r="A222" s="26" t="s">
        <v>570</v>
      </c>
      <c r="B222" s="12">
        <v>189.03</v>
      </c>
      <c r="C222" s="12">
        <v>0.75</v>
      </c>
      <c r="D222" s="12"/>
      <c r="E222" s="26"/>
      <c r="F222" s="26"/>
    </row>
    <row r="223" spans="1:6">
      <c r="A223" s="26" t="s">
        <v>571</v>
      </c>
      <c r="B223" s="12">
        <v>190.04</v>
      </c>
      <c r="C223" s="12">
        <v>0.3</v>
      </c>
      <c r="D223" s="12"/>
    </row>
    <row r="224" spans="1:6">
      <c r="A224" s="26"/>
      <c r="B224" s="12">
        <v>189.03</v>
      </c>
      <c r="C224" s="12">
        <v>0.25</v>
      </c>
      <c r="D224" s="12"/>
      <c r="E224" s="26"/>
      <c r="F224" s="26"/>
    </row>
    <row r="225" spans="1:6" ht="15.75" customHeight="1">
      <c r="A225" s="65" t="s">
        <v>529</v>
      </c>
      <c r="B225" s="26"/>
      <c r="C225" s="26"/>
      <c r="D225" s="65">
        <f>SUM(D214:D224)</f>
        <v>0</v>
      </c>
      <c r="E225" s="26"/>
      <c r="F225" s="26"/>
    </row>
    <row r="226" spans="1:6">
      <c r="A226" s="64"/>
      <c r="B226" s="26"/>
      <c r="C226" s="26"/>
      <c r="D226" s="26"/>
      <c r="E226" s="26"/>
      <c r="F226" s="26"/>
    </row>
    <row r="227" spans="1:6">
      <c r="A227" s="64"/>
      <c r="E227" s="26"/>
      <c r="F227" s="26"/>
    </row>
    <row r="228" spans="1:6">
      <c r="A228" s="64" t="s">
        <v>938</v>
      </c>
      <c r="B228" s="65" t="s">
        <v>517</v>
      </c>
      <c r="C228" s="65" t="s">
        <v>518</v>
      </c>
      <c r="D228" s="65" t="s">
        <v>519</v>
      </c>
      <c r="E228" s="26"/>
      <c r="F228" s="26"/>
    </row>
    <row r="229" spans="1:6" ht="15.75" customHeight="1">
      <c r="A229" s="26" t="s">
        <v>572</v>
      </c>
      <c r="B229" s="26"/>
      <c r="C229" s="26"/>
      <c r="D229" s="26"/>
      <c r="E229" s="26"/>
      <c r="F229" s="26"/>
    </row>
    <row r="230" spans="1:6" ht="15.75" customHeight="1">
      <c r="A230" s="26" t="s">
        <v>573</v>
      </c>
      <c r="B230" s="26"/>
      <c r="C230" s="26"/>
      <c r="D230" s="26"/>
      <c r="E230" s="26"/>
      <c r="F230" s="26"/>
    </row>
    <row r="231" spans="1:6" ht="15.75" customHeight="1">
      <c r="A231" s="26" t="s">
        <v>574</v>
      </c>
      <c r="B231" s="26"/>
      <c r="C231" s="26"/>
      <c r="D231" s="26"/>
      <c r="E231" s="26"/>
      <c r="F231" s="26"/>
    </row>
    <row r="232" spans="1:6" ht="15.75" customHeight="1">
      <c r="A232" s="26" t="s">
        <v>575</v>
      </c>
      <c r="B232" s="26"/>
      <c r="C232" s="26"/>
      <c r="D232" s="26"/>
      <c r="E232" s="26"/>
      <c r="F232" s="26"/>
    </row>
    <row r="233" spans="1:6" ht="15.75" customHeight="1">
      <c r="A233" s="26"/>
      <c r="B233" s="26"/>
      <c r="C233" s="26"/>
      <c r="D233" s="26"/>
      <c r="E233" s="26"/>
      <c r="F233" s="26"/>
    </row>
    <row r="234" spans="1:6" ht="15.75" customHeight="1">
      <c r="A234" s="26"/>
      <c r="B234" s="26"/>
      <c r="C234" s="26"/>
      <c r="D234" s="26"/>
      <c r="E234" s="26"/>
      <c r="F234" s="26"/>
    </row>
    <row r="235" spans="1:6">
      <c r="A235" s="64"/>
      <c r="E235" s="26"/>
      <c r="F235" s="26"/>
    </row>
    <row r="236" spans="1:6">
      <c r="A236" s="64" t="s">
        <v>939</v>
      </c>
      <c r="B236" s="65" t="s">
        <v>517</v>
      </c>
      <c r="C236" s="65" t="s">
        <v>518</v>
      </c>
      <c r="D236" s="65" t="s">
        <v>519</v>
      </c>
      <c r="E236" s="26"/>
      <c r="F236" s="26"/>
    </row>
    <row r="237" spans="1:6" ht="15.75" customHeight="1">
      <c r="A237" s="26" t="s">
        <v>576</v>
      </c>
      <c r="B237" s="26"/>
      <c r="C237" s="26"/>
      <c r="D237" s="26"/>
      <c r="E237" s="26"/>
      <c r="F237" s="26"/>
    </row>
    <row r="238" spans="1:6" ht="15.75" customHeight="1">
      <c r="A238" s="26" t="s">
        <v>577</v>
      </c>
      <c r="B238" s="26"/>
      <c r="C238" s="26"/>
      <c r="D238" s="26"/>
      <c r="E238" s="26"/>
      <c r="F238" s="26"/>
    </row>
    <row r="239" spans="1:6" ht="15.75" customHeight="1">
      <c r="A239" s="26" t="s">
        <v>578</v>
      </c>
      <c r="B239" s="26"/>
      <c r="C239" s="26"/>
      <c r="D239" s="26"/>
      <c r="E239" s="26"/>
      <c r="F239" s="26"/>
    </row>
    <row r="240" spans="1:6" ht="15.75" customHeight="1">
      <c r="A240" s="26" t="s">
        <v>579</v>
      </c>
      <c r="B240" s="26"/>
      <c r="C240" s="26"/>
      <c r="D240" s="26"/>
      <c r="E240" s="26"/>
      <c r="F240" s="26"/>
    </row>
    <row r="241" spans="1:6" ht="15.75" customHeight="1">
      <c r="A241" s="26" t="s">
        <v>580</v>
      </c>
      <c r="B241" s="26"/>
      <c r="C241" s="26"/>
      <c r="D241" s="26"/>
      <c r="E241" s="26"/>
      <c r="F241" s="26"/>
    </row>
    <row r="242" spans="1:6" ht="15.75" customHeight="1">
      <c r="A242" s="26" t="s">
        <v>581</v>
      </c>
      <c r="B242" s="26"/>
      <c r="C242" s="26"/>
      <c r="D242" s="26"/>
      <c r="E242" s="26"/>
      <c r="F242" s="26"/>
    </row>
    <row r="243" spans="1:6" ht="15.75" customHeight="1">
      <c r="A243" s="26"/>
      <c r="B243" s="26"/>
      <c r="C243" s="26"/>
      <c r="D243" s="26"/>
      <c r="E243" s="26"/>
      <c r="F243" s="26"/>
    </row>
    <row r="244" spans="1:6" ht="15.75" customHeight="1">
      <c r="A244" s="26"/>
      <c r="E244" s="26"/>
      <c r="F244" s="26"/>
    </row>
    <row r="245" spans="1:6">
      <c r="A245" s="64" t="s">
        <v>940</v>
      </c>
      <c r="B245" s="65" t="s">
        <v>517</v>
      </c>
      <c r="C245" s="65" t="s">
        <v>518</v>
      </c>
      <c r="D245" s="65" t="s">
        <v>519</v>
      </c>
      <c r="E245" s="26"/>
      <c r="F245" s="26"/>
    </row>
    <row r="246" spans="1:6" ht="15.75" customHeight="1">
      <c r="A246" s="26" t="s">
        <v>582</v>
      </c>
      <c r="B246" s="26"/>
      <c r="C246" s="26"/>
      <c r="D246" s="26"/>
      <c r="E246" s="26"/>
      <c r="F246" s="26"/>
    </row>
    <row r="247" spans="1:6" ht="15.75" customHeight="1">
      <c r="A247" s="26" t="s">
        <v>583</v>
      </c>
      <c r="B247" s="26"/>
      <c r="C247" s="26"/>
      <c r="D247" s="26"/>
      <c r="E247" s="26"/>
      <c r="F247" s="26"/>
    </row>
    <row r="248" spans="1:6" ht="15.75" customHeight="1">
      <c r="A248" s="26" t="s">
        <v>584</v>
      </c>
      <c r="B248" s="26"/>
      <c r="C248" s="26"/>
      <c r="D248" s="26"/>
      <c r="E248" s="26"/>
      <c r="F248" s="26"/>
    </row>
    <row r="249" spans="1:6" ht="15.75" customHeight="1">
      <c r="A249" s="26" t="s">
        <v>585</v>
      </c>
      <c r="B249" s="26"/>
      <c r="C249" s="26"/>
      <c r="D249" s="26"/>
      <c r="E249" s="26"/>
      <c r="F249" s="26"/>
    </row>
    <row r="250" spans="1:6" ht="15.75" customHeight="1">
      <c r="A250" s="26" t="s">
        <v>572</v>
      </c>
      <c r="B250" s="26"/>
      <c r="C250" s="26"/>
      <c r="D250" s="26"/>
      <c r="E250" s="26"/>
      <c r="F250" s="26"/>
    </row>
    <row r="251" spans="1:6" ht="15.75" customHeight="1">
      <c r="A251" s="26"/>
      <c r="B251" s="26"/>
      <c r="C251" s="26"/>
      <c r="D251" s="26"/>
      <c r="E251" s="26"/>
      <c r="F251" s="26"/>
    </row>
    <row r="252" spans="1:6" ht="15.75" customHeight="1">
      <c r="A252" s="26"/>
      <c r="E252" s="26"/>
      <c r="F252" s="26"/>
    </row>
    <row r="253" spans="1:6">
      <c r="A253" s="64" t="s">
        <v>941</v>
      </c>
      <c r="B253" s="65" t="s">
        <v>517</v>
      </c>
      <c r="C253" s="65" t="s">
        <v>518</v>
      </c>
      <c r="D253" s="65" t="s">
        <v>519</v>
      </c>
      <c r="E253" s="26"/>
      <c r="F253" s="26"/>
    </row>
    <row r="254" spans="1:6" ht="15.75" customHeight="1">
      <c r="A254" s="26" t="s">
        <v>586</v>
      </c>
      <c r="B254" s="26"/>
      <c r="C254" s="26"/>
      <c r="D254" s="26"/>
      <c r="E254" s="26"/>
      <c r="F254" s="26"/>
    </row>
    <row r="255" spans="1:6" ht="15.75" customHeight="1">
      <c r="A255" s="26" t="s">
        <v>587</v>
      </c>
      <c r="B255" s="26"/>
      <c r="C255" s="26"/>
      <c r="D255" s="26"/>
      <c r="E255" s="26"/>
      <c r="F255" s="26"/>
    </row>
    <row r="256" spans="1:6" ht="15.75" customHeight="1">
      <c r="A256" s="26" t="s">
        <v>588</v>
      </c>
      <c r="B256" s="26"/>
      <c r="C256" s="26"/>
      <c r="D256" s="26"/>
      <c r="E256" s="26"/>
      <c r="F256" s="26"/>
    </row>
    <row r="257" spans="1:6" ht="15.75" customHeight="1">
      <c r="A257" s="26" t="s">
        <v>589</v>
      </c>
      <c r="B257" s="26"/>
      <c r="C257" s="26"/>
      <c r="D257" s="26"/>
      <c r="E257" s="26"/>
      <c r="F257" s="26"/>
    </row>
    <row r="258" spans="1:6" ht="15.75" customHeight="1">
      <c r="A258" s="26" t="s">
        <v>590</v>
      </c>
      <c r="B258" s="26"/>
      <c r="C258" s="26"/>
      <c r="D258" s="26"/>
      <c r="E258" s="26"/>
      <c r="F258" s="26"/>
    </row>
    <row r="259" spans="1:6" ht="15.75" customHeight="1">
      <c r="A259" s="26"/>
      <c r="B259" s="26"/>
      <c r="C259" s="26"/>
      <c r="D259" s="26"/>
      <c r="E259" s="26"/>
      <c r="F259" s="26"/>
    </row>
    <row r="260" spans="1:6" ht="15.75" customHeight="1">
      <c r="A260" s="26"/>
      <c r="E260" s="26"/>
      <c r="F260" s="26"/>
    </row>
    <row r="261" spans="1:6">
      <c r="A261" s="64" t="s">
        <v>942</v>
      </c>
      <c r="B261" s="65" t="s">
        <v>517</v>
      </c>
      <c r="C261" s="65" t="s">
        <v>518</v>
      </c>
      <c r="D261" s="65" t="s">
        <v>519</v>
      </c>
      <c r="E261" s="26"/>
      <c r="F261" s="26"/>
    </row>
    <row r="262" spans="1:6" ht="15.75" customHeight="1">
      <c r="A262" s="26" t="s">
        <v>591</v>
      </c>
      <c r="B262" s="26"/>
      <c r="C262" s="26"/>
      <c r="D262" s="26"/>
      <c r="E262" s="26"/>
      <c r="F262" s="26"/>
    </row>
    <row r="263" spans="1:6" ht="15.75" customHeight="1">
      <c r="A263" s="26" t="s">
        <v>592</v>
      </c>
      <c r="B263" s="26"/>
      <c r="C263" s="26"/>
      <c r="D263" s="26"/>
      <c r="E263" s="26"/>
      <c r="F263" s="26"/>
    </row>
    <row r="264" spans="1:6" ht="15.75" customHeight="1">
      <c r="A264" s="26" t="s">
        <v>593</v>
      </c>
      <c r="B264" s="26"/>
      <c r="C264" s="26"/>
      <c r="D264" s="26"/>
      <c r="E264" s="26"/>
      <c r="F264" s="26"/>
    </row>
    <row r="265" spans="1:6" ht="15.75" customHeight="1">
      <c r="A265" s="26" t="s">
        <v>594</v>
      </c>
      <c r="B265" s="26"/>
      <c r="C265" s="26"/>
      <c r="D265" s="26"/>
      <c r="E265" s="26"/>
      <c r="F265" s="26"/>
    </row>
    <row r="266" spans="1:6" ht="15.75" customHeight="1">
      <c r="A266" s="26" t="s">
        <v>595</v>
      </c>
      <c r="B266" s="26"/>
      <c r="C266" s="26"/>
      <c r="D266" s="26"/>
      <c r="E266" s="26"/>
      <c r="F266" s="26"/>
    </row>
    <row r="267" spans="1:6" ht="15.75" customHeight="1">
      <c r="A267" s="26" t="s">
        <v>596</v>
      </c>
      <c r="B267" s="26"/>
      <c r="C267" s="26"/>
      <c r="D267" s="26"/>
      <c r="E267" s="26"/>
      <c r="F267" s="26"/>
    </row>
    <row r="268" spans="1:6" ht="15.75" customHeight="1">
      <c r="A268" s="26"/>
      <c r="B268" s="26"/>
      <c r="C268" s="26"/>
      <c r="D268" s="26"/>
      <c r="E268" s="26"/>
      <c r="F268" s="26"/>
    </row>
    <row r="269" spans="1:6" ht="15.75" customHeight="1">
      <c r="A269" s="26"/>
      <c r="E269" s="26"/>
      <c r="F269" s="26"/>
    </row>
    <row r="270" spans="1:6">
      <c r="A270" s="64" t="s">
        <v>943</v>
      </c>
      <c r="B270" s="65" t="s">
        <v>517</v>
      </c>
      <c r="C270" s="65" t="s">
        <v>518</v>
      </c>
      <c r="D270" s="65" t="s">
        <v>519</v>
      </c>
      <c r="E270" s="26"/>
      <c r="F270" s="26"/>
    </row>
    <row r="271" spans="1:6" ht="15.75" customHeight="1">
      <c r="A271" s="26" t="s">
        <v>597</v>
      </c>
      <c r="B271" s="26"/>
      <c r="C271" s="26"/>
      <c r="D271" s="26"/>
      <c r="E271" s="26"/>
      <c r="F271" s="26"/>
    </row>
    <row r="272" spans="1:6" ht="15.75" customHeight="1">
      <c r="A272" s="26" t="s">
        <v>598</v>
      </c>
      <c r="B272" s="26"/>
      <c r="C272" s="26"/>
      <c r="D272" s="26"/>
      <c r="E272" s="26"/>
      <c r="F272" s="26"/>
    </row>
    <row r="273" spans="1:6" ht="15.75" customHeight="1">
      <c r="A273" s="26" t="s">
        <v>520</v>
      </c>
      <c r="B273" s="26"/>
      <c r="C273" s="26"/>
      <c r="D273" s="26"/>
      <c r="E273" s="26"/>
      <c r="F273" s="26"/>
    </row>
    <row r="274" spans="1:6" ht="15.75" customHeight="1">
      <c r="A274" s="26" t="s">
        <v>521</v>
      </c>
      <c r="B274" s="26"/>
      <c r="C274" s="26"/>
      <c r="D274" s="26"/>
      <c r="E274" s="26"/>
      <c r="F274" s="26"/>
    </row>
    <row r="275" spans="1:6" ht="15.75" customHeight="1">
      <c r="A275" s="26"/>
      <c r="B275" s="26"/>
      <c r="C275" s="26"/>
      <c r="D275" s="26"/>
      <c r="E275" s="26"/>
      <c r="F275" s="26"/>
    </row>
    <row r="276" spans="1:6" ht="15.75" customHeight="1">
      <c r="A276" s="26"/>
      <c r="E276" s="26"/>
      <c r="F276" s="26"/>
    </row>
    <row r="277" spans="1:6">
      <c r="A277" s="64" t="s">
        <v>944</v>
      </c>
      <c r="B277" s="65" t="s">
        <v>517</v>
      </c>
      <c r="C277" s="65" t="s">
        <v>518</v>
      </c>
      <c r="D277" s="65" t="s">
        <v>519</v>
      </c>
      <c r="E277" s="26"/>
      <c r="F277" s="26"/>
    </row>
    <row r="278" spans="1:6" ht="15.75" customHeight="1">
      <c r="A278" s="26" t="s">
        <v>599</v>
      </c>
      <c r="B278" s="26"/>
      <c r="C278" s="26"/>
      <c r="D278" s="26"/>
      <c r="E278" s="26"/>
      <c r="F278" s="26"/>
    </row>
    <row r="279" spans="1:6" ht="15.75" customHeight="1">
      <c r="A279" s="26" t="s">
        <v>600</v>
      </c>
      <c r="B279" s="26"/>
      <c r="C279" s="26"/>
      <c r="D279" s="26"/>
      <c r="E279" s="26"/>
      <c r="F279" s="26"/>
    </row>
    <row r="280" spans="1:6" ht="15.75" customHeight="1">
      <c r="A280" s="26" t="s">
        <v>601</v>
      </c>
      <c r="B280" s="26"/>
      <c r="C280" s="26"/>
      <c r="D280" s="26"/>
      <c r="E280" s="26"/>
      <c r="F280" s="26"/>
    </row>
    <row r="281" spans="1:6" ht="15.75" customHeight="1">
      <c r="A281" s="26" t="s">
        <v>602</v>
      </c>
      <c r="B281" s="26"/>
      <c r="C281" s="26"/>
      <c r="D281" s="26"/>
      <c r="E281" s="26"/>
      <c r="F281" s="26"/>
    </row>
    <row r="282" spans="1:6" ht="15.75" customHeight="1">
      <c r="A282" s="26"/>
      <c r="B282" s="26"/>
      <c r="C282" s="26"/>
      <c r="D282" s="26"/>
      <c r="E282" s="26"/>
      <c r="F282" s="26"/>
    </row>
    <row r="283" spans="1:6" ht="15.75" customHeight="1">
      <c r="A283" s="26"/>
      <c r="E283" s="26"/>
      <c r="F283" s="26"/>
    </row>
    <row r="284" spans="1:6">
      <c r="A284" s="64" t="s">
        <v>945</v>
      </c>
      <c r="B284" s="65" t="s">
        <v>517</v>
      </c>
      <c r="C284" s="65" t="s">
        <v>518</v>
      </c>
      <c r="D284" s="65" t="s">
        <v>519</v>
      </c>
      <c r="E284" s="26"/>
      <c r="F284" s="26"/>
    </row>
    <row r="285" spans="1:6" ht="15.75" customHeight="1">
      <c r="A285" s="26" t="s">
        <v>603</v>
      </c>
      <c r="B285" s="26"/>
      <c r="C285" s="26"/>
      <c r="D285" s="26"/>
      <c r="E285" s="26"/>
      <c r="F285" s="26"/>
    </row>
    <row r="286" spans="1:6" ht="15.75" customHeight="1">
      <c r="A286" s="26" t="s">
        <v>604</v>
      </c>
      <c r="B286" s="26"/>
      <c r="C286" s="26"/>
      <c r="D286" s="26"/>
      <c r="E286" s="26"/>
      <c r="F286" s="26"/>
    </row>
    <row r="287" spans="1:6" ht="15.75" customHeight="1">
      <c r="A287" s="26" t="s">
        <v>605</v>
      </c>
      <c r="B287" s="26"/>
      <c r="C287" s="26"/>
      <c r="D287" s="26"/>
      <c r="E287" s="26"/>
      <c r="F287" s="26"/>
    </row>
    <row r="288" spans="1:6" ht="15.75" customHeight="1">
      <c r="A288" s="26" t="s">
        <v>606</v>
      </c>
      <c r="B288" s="26"/>
      <c r="C288" s="26"/>
      <c r="D288" s="26"/>
      <c r="E288" s="26"/>
      <c r="F288" s="26"/>
    </row>
    <row r="289" spans="1:6" ht="15.75" customHeight="1">
      <c r="A289" s="26" t="s">
        <v>607</v>
      </c>
      <c r="B289" s="26"/>
      <c r="C289" s="26"/>
      <c r="D289" s="26"/>
      <c r="E289" s="26"/>
      <c r="F289" s="26"/>
    </row>
    <row r="290" spans="1:6" ht="15.75" customHeight="1">
      <c r="A290" s="26"/>
      <c r="B290" s="26"/>
      <c r="C290" s="26"/>
      <c r="D290" s="26"/>
      <c r="E290" s="26"/>
      <c r="F290" s="26"/>
    </row>
    <row r="291" spans="1:6" ht="15.75" customHeight="1">
      <c r="A291" s="26"/>
      <c r="E291" s="26"/>
      <c r="F291" s="26"/>
    </row>
    <row r="292" spans="1:6">
      <c r="A292" s="64" t="s">
        <v>946</v>
      </c>
      <c r="B292" s="65" t="s">
        <v>517</v>
      </c>
      <c r="C292" s="65" t="s">
        <v>518</v>
      </c>
      <c r="D292" s="65" t="s">
        <v>519</v>
      </c>
      <c r="E292" s="26"/>
      <c r="F292" s="26"/>
    </row>
    <row r="293" spans="1:6" ht="15.75" customHeight="1">
      <c r="A293" s="26" t="s">
        <v>608</v>
      </c>
      <c r="B293" s="26"/>
      <c r="C293" s="26"/>
      <c r="D293" s="26"/>
      <c r="E293" s="26"/>
      <c r="F293" s="26"/>
    </row>
    <row r="294" spans="1:6" ht="15.75" customHeight="1">
      <c r="A294" s="26" t="s">
        <v>609</v>
      </c>
      <c r="B294" s="26"/>
      <c r="C294" s="26"/>
      <c r="D294" s="26"/>
      <c r="E294" s="26"/>
      <c r="F294" s="26"/>
    </row>
    <row r="295" spans="1:6" ht="15.75" customHeight="1">
      <c r="A295" s="26" t="s">
        <v>610</v>
      </c>
      <c r="B295" s="26"/>
      <c r="C295" s="26"/>
      <c r="D295" s="26"/>
      <c r="E295" s="26"/>
      <c r="F295" s="26"/>
    </row>
    <row r="296" spans="1:6" ht="15.75" customHeight="1">
      <c r="A296" s="26" t="s">
        <v>611</v>
      </c>
      <c r="B296" s="26"/>
      <c r="C296" s="26"/>
      <c r="D296" s="26"/>
      <c r="E296" s="26"/>
      <c r="F296" s="26"/>
    </row>
    <row r="297" spans="1:6" ht="15.75" customHeight="1">
      <c r="A297" s="26" t="s">
        <v>612</v>
      </c>
      <c r="B297" s="26"/>
      <c r="C297" s="26"/>
      <c r="D297" s="26"/>
      <c r="E297" s="26"/>
      <c r="F297" s="26"/>
    </row>
    <row r="298" spans="1:6" ht="15.75" customHeight="1">
      <c r="A298" s="26" t="s">
        <v>613</v>
      </c>
      <c r="B298" s="26"/>
      <c r="C298" s="26"/>
      <c r="D298" s="26"/>
      <c r="E298" s="26"/>
      <c r="F298" s="26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Z299"/>
  <sheetViews>
    <sheetView workbookViewId="0"/>
  </sheetViews>
  <sheetFormatPr defaultColWidth="14.42578125" defaultRowHeight="15.75" customHeight="1"/>
  <cols>
    <col min="1" max="1" width="29.85546875" customWidth="1"/>
  </cols>
  <sheetData>
    <row r="1" spans="1:26" ht="15.75" customHeight="1">
      <c r="B1" s="56" t="s">
        <v>761</v>
      </c>
      <c r="C1" s="56" t="s">
        <v>515</v>
      </c>
      <c r="D1" s="56" t="s">
        <v>516</v>
      </c>
      <c r="E1" s="57" t="s">
        <v>761</v>
      </c>
      <c r="F1" s="57" t="s">
        <v>515</v>
      </c>
      <c r="G1" s="57" t="s">
        <v>516</v>
      </c>
      <c r="H1" s="58" t="s">
        <v>761</v>
      </c>
      <c r="I1" s="58" t="s">
        <v>515</v>
      </c>
      <c r="J1" s="58" t="s">
        <v>516</v>
      </c>
      <c r="K1" s="59" t="s">
        <v>761</v>
      </c>
      <c r="L1" s="59" t="s">
        <v>515</v>
      </c>
      <c r="M1" s="59" t="s">
        <v>516</v>
      </c>
      <c r="P1" s="1" t="s">
        <v>774</v>
      </c>
      <c r="Q1" s="1" t="s">
        <v>775</v>
      </c>
      <c r="S1" s="1" t="s">
        <v>774</v>
      </c>
      <c r="T1" s="1" t="s">
        <v>775</v>
      </c>
      <c r="V1" s="1" t="s">
        <v>774</v>
      </c>
      <c r="W1" s="1" t="s">
        <v>775</v>
      </c>
      <c r="Y1" s="1" t="s">
        <v>774</v>
      </c>
      <c r="Z1" s="1" t="s">
        <v>775</v>
      </c>
    </row>
    <row r="2" spans="1:26" ht="15.75" customHeight="1">
      <c r="A2" s="61" t="s">
        <v>355</v>
      </c>
      <c r="B2" s="56">
        <v>170.03</v>
      </c>
      <c r="C2" s="56">
        <v>0.25</v>
      </c>
      <c r="D2" s="56">
        <v>19</v>
      </c>
      <c r="E2" s="57">
        <v>170.04</v>
      </c>
      <c r="F2" s="57">
        <v>0.25</v>
      </c>
      <c r="G2" s="57">
        <v>75</v>
      </c>
      <c r="H2" s="58">
        <v>181.11</v>
      </c>
      <c r="I2" s="58">
        <v>1</v>
      </c>
      <c r="J2" s="58">
        <v>203</v>
      </c>
      <c r="K2" s="59">
        <v>181.1</v>
      </c>
      <c r="L2" s="59">
        <v>0.5</v>
      </c>
      <c r="M2" s="59">
        <v>158</v>
      </c>
      <c r="N2">
        <f t="shared" ref="N2:N97" si="0">$D2+$G2+$J2+$M2</f>
        <v>455</v>
      </c>
      <c r="O2" s="44">
        <v>170.03</v>
      </c>
      <c r="P2">
        <v>50</v>
      </c>
      <c r="Q2">
        <v>76</v>
      </c>
      <c r="R2" s="44">
        <v>170.04</v>
      </c>
      <c r="S2">
        <v>266</v>
      </c>
      <c r="T2">
        <v>299</v>
      </c>
      <c r="U2" s="44">
        <v>181.11</v>
      </c>
      <c r="V2">
        <v>192</v>
      </c>
      <c r="W2">
        <v>203</v>
      </c>
      <c r="X2" s="44">
        <v>181.1</v>
      </c>
      <c r="Y2">
        <v>337</v>
      </c>
      <c r="Z2">
        <v>316</v>
      </c>
    </row>
    <row r="3" spans="1:26" ht="15.75" customHeight="1">
      <c r="A3" s="61" t="s">
        <v>341</v>
      </c>
      <c r="B3" s="56">
        <v>170.07</v>
      </c>
      <c r="C3" s="56">
        <v>0.5</v>
      </c>
      <c r="D3" s="56">
        <v>121</v>
      </c>
      <c r="E3" s="57">
        <v>170.08</v>
      </c>
      <c r="F3" s="57">
        <v>0.5</v>
      </c>
      <c r="G3" s="57">
        <v>90</v>
      </c>
      <c r="H3" s="58"/>
      <c r="I3" s="58"/>
      <c r="J3" s="58">
        <v>0</v>
      </c>
      <c r="K3" s="59"/>
      <c r="L3" s="59"/>
      <c r="M3" s="59">
        <v>0</v>
      </c>
      <c r="N3">
        <f t="shared" si="0"/>
        <v>211</v>
      </c>
      <c r="O3" s="44">
        <v>170.07</v>
      </c>
      <c r="P3">
        <v>348</v>
      </c>
      <c r="Q3">
        <v>242</v>
      </c>
      <c r="R3" s="44">
        <v>170.08</v>
      </c>
      <c r="S3">
        <v>257</v>
      </c>
      <c r="T3">
        <v>180</v>
      </c>
    </row>
    <row r="4" spans="1:26" ht="15.75" customHeight="1">
      <c r="A4" s="61" t="s">
        <v>398</v>
      </c>
      <c r="B4" s="56">
        <v>170.08</v>
      </c>
      <c r="C4" s="56">
        <v>0.5</v>
      </c>
      <c r="D4" s="56">
        <v>90</v>
      </c>
      <c r="E4" s="57">
        <v>170.07</v>
      </c>
      <c r="F4" s="57">
        <v>0.5</v>
      </c>
      <c r="G4" s="57">
        <v>121</v>
      </c>
      <c r="H4" s="58">
        <v>170.05</v>
      </c>
      <c r="I4" s="58">
        <v>1</v>
      </c>
      <c r="J4" s="58">
        <v>91</v>
      </c>
      <c r="K4" s="59">
        <v>170.03</v>
      </c>
      <c r="L4" s="59">
        <v>0.75</v>
      </c>
      <c r="M4" s="59">
        <v>57</v>
      </c>
      <c r="N4">
        <f t="shared" si="0"/>
        <v>359</v>
      </c>
      <c r="O4" s="44">
        <v>170.08</v>
      </c>
      <c r="P4">
        <v>257</v>
      </c>
      <c r="Q4">
        <v>180</v>
      </c>
      <c r="R4" s="44">
        <v>170.07</v>
      </c>
      <c r="S4">
        <v>348</v>
      </c>
      <c r="T4">
        <v>242</v>
      </c>
      <c r="U4" s="44">
        <v>170.05</v>
      </c>
      <c r="V4">
        <v>202</v>
      </c>
      <c r="W4">
        <v>91</v>
      </c>
      <c r="X4" s="44">
        <v>170.03</v>
      </c>
      <c r="Y4">
        <v>50</v>
      </c>
      <c r="Z4">
        <v>76</v>
      </c>
    </row>
    <row r="5" spans="1:26" ht="15.75" customHeight="1">
      <c r="A5" s="61" t="s">
        <v>384</v>
      </c>
      <c r="B5" s="56">
        <v>180.01</v>
      </c>
      <c r="C5" s="56">
        <v>0.5</v>
      </c>
      <c r="D5" s="56">
        <v>393</v>
      </c>
      <c r="E5" s="57"/>
      <c r="F5" s="57"/>
      <c r="G5" s="57">
        <v>0</v>
      </c>
      <c r="H5" s="58"/>
      <c r="I5" s="58"/>
      <c r="J5" s="58">
        <v>0</v>
      </c>
      <c r="K5" s="59"/>
      <c r="L5" s="59"/>
      <c r="M5" s="59">
        <v>0</v>
      </c>
      <c r="N5">
        <f t="shared" si="0"/>
        <v>393</v>
      </c>
      <c r="O5" s="44">
        <v>180.01</v>
      </c>
      <c r="P5">
        <v>1438</v>
      </c>
      <c r="Q5">
        <v>785</v>
      </c>
    </row>
    <row r="6" spans="1:26" ht="15.75" customHeight="1">
      <c r="A6" s="61" t="s">
        <v>356</v>
      </c>
      <c r="B6" s="56">
        <v>180.03</v>
      </c>
      <c r="C6" s="56">
        <v>0.25</v>
      </c>
      <c r="D6" s="56">
        <v>153</v>
      </c>
      <c r="E6" s="57"/>
      <c r="F6" s="57"/>
      <c r="G6" s="57">
        <v>0</v>
      </c>
      <c r="H6" s="58"/>
      <c r="I6" s="58"/>
      <c r="J6" s="58">
        <v>0</v>
      </c>
      <c r="K6" s="59"/>
      <c r="L6" s="59"/>
      <c r="M6" s="59">
        <v>0</v>
      </c>
      <c r="N6">
        <f t="shared" si="0"/>
        <v>153</v>
      </c>
      <c r="O6" s="44">
        <v>180.03</v>
      </c>
      <c r="P6">
        <v>885</v>
      </c>
      <c r="Q6">
        <v>610</v>
      </c>
    </row>
    <row r="7" spans="1:26" ht="15.75" customHeight="1">
      <c r="A7" s="61" t="s">
        <v>379</v>
      </c>
      <c r="B7" s="56">
        <v>180.03</v>
      </c>
      <c r="C7" s="56">
        <v>0.5</v>
      </c>
      <c r="D7" s="56">
        <v>305</v>
      </c>
      <c r="E7" s="57"/>
      <c r="F7" s="57"/>
      <c r="G7" s="57">
        <v>0</v>
      </c>
      <c r="H7" s="58"/>
      <c r="I7" s="58"/>
      <c r="J7" s="58">
        <v>0</v>
      </c>
      <c r="K7" s="59"/>
      <c r="L7" s="59"/>
      <c r="M7" s="59">
        <v>0</v>
      </c>
      <c r="N7">
        <f t="shared" si="0"/>
        <v>305</v>
      </c>
      <c r="O7" s="44">
        <v>180.03</v>
      </c>
      <c r="P7">
        <v>885</v>
      </c>
      <c r="Q7">
        <v>610</v>
      </c>
    </row>
    <row r="8" spans="1:26" ht="15.75" customHeight="1">
      <c r="A8" s="61" t="s">
        <v>331</v>
      </c>
      <c r="B8" s="56">
        <v>180.03</v>
      </c>
      <c r="C8" s="56">
        <v>0.25</v>
      </c>
      <c r="D8" s="56">
        <v>153</v>
      </c>
      <c r="E8" s="57"/>
      <c r="F8" s="57"/>
      <c r="G8" s="57">
        <v>0</v>
      </c>
      <c r="H8" s="58"/>
      <c r="I8" s="58"/>
      <c r="J8" s="58">
        <v>0</v>
      </c>
      <c r="K8" s="59"/>
      <c r="L8" s="59"/>
      <c r="M8" s="59">
        <v>0</v>
      </c>
      <c r="N8">
        <f t="shared" si="0"/>
        <v>153</v>
      </c>
      <c r="O8" s="44">
        <v>180.03</v>
      </c>
      <c r="P8">
        <v>885</v>
      </c>
      <c r="Q8">
        <v>610</v>
      </c>
    </row>
    <row r="9" spans="1:26" ht="15.75" customHeight="1">
      <c r="A9" s="61" t="s">
        <v>392</v>
      </c>
      <c r="B9" s="56">
        <v>180.04</v>
      </c>
      <c r="C9" s="56">
        <v>1</v>
      </c>
      <c r="D9" s="56">
        <v>649</v>
      </c>
      <c r="E9" s="57"/>
      <c r="F9" s="57"/>
      <c r="G9" s="57">
        <v>0</v>
      </c>
      <c r="H9" s="58"/>
      <c r="I9" s="58"/>
      <c r="J9" s="58">
        <v>0</v>
      </c>
      <c r="K9" s="59"/>
      <c r="L9" s="59"/>
      <c r="M9" s="59">
        <v>0</v>
      </c>
      <c r="N9">
        <f t="shared" si="0"/>
        <v>649</v>
      </c>
      <c r="O9" s="44">
        <v>180.04</v>
      </c>
      <c r="P9">
        <v>943</v>
      </c>
      <c r="Q9">
        <v>649</v>
      </c>
    </row>
    <row r="10" spans="1:26" ht="15.75" customHeight="1">
      <c r="A10" s="61" t="s">
        <v>332</v>
      </c>
      <c r="B10" s="56">
        <v>181.03</v>
      </c>
      <c r="C10" s="56">
        <v>0.5</v>
      </c>
      <c r="D10" s="56">
        <v>173</v>
      </c>
      <c r="E10" s="57"/>
      <c r="F10" s="57"/>
      <c r="G10" s="57">
        <v>0</v>
      </c>
      <c r="H10" s="58"/>
      <c r="I10" s="58"/>
      <c r="J10" s="58">
        <v>0</v>
      </c>
      <c r="K10" s="59"/>
      <c r="L10" s="59"/>
      <c r="M10" s="59">
        <v>0</v>
      </c>
      <c r="N10">
        <f t="shared" si="0"/>
        <v>173</v>
      </c>
      <c r="O10" s="44">
        <v>181.03</v>
      </c>
      <c r="P10">
        <v>358</v>
      </c>
      <c r="Q10">
        <v>346</v>
      </c>
    </row>
    <row r="11" spans="1:26" ht="15.75" customHeight="1">
      <c r="A11" s="61" t="s">
        <v>340</v>
      </c>
      <c r="B11" s="56">
        <v>181.07</v>
      </c>
      <c r="C11" s="56">
        <v>1</v>
      </c>
      <c r="D11" s="56">
        <v>266</v>
      </c>
      <c r="E11" s="57"/>
      <c r="F11" s="57"/>
      <c r="G11" s="57">
        <v>0</v>
      </c>
      <c r="H11" s="58"/>
      <c r="I11" s="58"/>
      <c r="J11" s="58">
        <v>0</v>
      </c>
      <c r="K11" s="59"/>
      <c r="L11" s="59"/>
      <c r="M11" s="59">
        <v>0</v>
      </c>
      <c r="N11">
        <f t="shared" si="0"/>
        <v>266</v>
      </c>
      <c r="O11" s="44">
        <v>181.07</v>
      </c>
      <c r="P11">
        <v>172</v>
      </c>
      <c r="Q11">
        <v>266</v>
      </c>
    </row>
    <row r="12" spans="1:26" ht="15.75" customHeight="1">
      <c r="A12" s="61" t="s">
        <v>383</v>
      </c>
      <c r="B12" s="56">
        <v>181.08</v>
      </c>
      <c r="C12" s="56">
        <v>1</v>
      </c>
      <c r="D12" s="56">
        <v>161</v>
      </c>
      <c r="E12" s="57">
        <v>181.09</v>
      </c>
      <c r="F12" s="57">
        <v>1</v>
      </c>
      <c r="G12" s="57">
        <v>561</v>
      </c>
      <c r="H12" s="58"/>
      <c r="I12" s="58"/>
      <c r="J12" s="58">
        <v>0</v>
      </c>
      <c r="K12" s="59"/>
      <c r="L12" s="59"/>
      <c r="M12" s="59">
        <v>0</v>
      </c>
      <c r="N12">
        <f t="shared" si="0"/>
        <v>722</v>
      </c>
      <c r="O12" s="44">
        <v>181.08</v>
      </c>
      <c r="P12">
        <v>255</v>
      </c>
      <c r="Q12">
        <v>161</v>
      </c>
      <c r="R12" s="44">
        <v>181.09</v>
      </c>
      <c r="S12">
        <v>727</v>
      </c>
      <c r="T12">
        <v>561</v>
      </c>
    </row>
    <row r="13" spans="1:26" ht="15.75" customHeight="1">
      <c r="A13" s="61" t="s">
        <v>296</v>
      </c>
      <c r="B13" s="56">
        <v>181.1</v>
      </c>
      <c r="C13" s="56">
        <v>0.5</v>
      </c>
      <c r="D13" s="56">
        <v>158</v>
      </c>
      <c r="E13" s="57">
        <v>170.04</v>
      </c>
      <c r="F13" s="57">
        <v>0.75</v>
      </c>
      <c r="G13" s="57">
        <v>224</v>
      </c>
      <c r="H13" s="58"/>
      <c r="I13" s="58"/>
      <c r="J13" s="58">
        <v>0</v>
      </c>
      <c r="K13" s="59"/>
      <c r="L13" s="59"/>
      <c r="M13" s="59">
        <v>0</v>
      </c>
      <c r="N13">
        <f t="shared" si="0"/>
        <v>382</v>
      </c>
      <c r="O13" s="44">
        <v>181.1</v>
      </c>
      <c r="P13">
        <v>337</v>
      </c>
      <c r="Q13">
        <v>316</v>
      </c>
      <c r="R13" s="44">
        <v>170.04</v>
      </c>
      <c r="S13">
        <v>266</v>
      </c>
      <c r="T13">
        <v>299</v>
      </c>
    </row>
    <row r="14" spans="1:26" ht="15.75" customHeight="1">
      <c r="A14" s="61" t="s">
        <v>318</v>
      </c>
      <c r="B14" s="56">
        <v>181.12</v>
      </c>
      <c r="C14" s="56">
        <v>0.5</v>
      </c>
      <c r="D14" s="56">
        <v>152</v>
      </c>
      <c r="E14" s="57">
        <v>181.03</v>
      </c>
      <c r="F14" s="57">
        <v>0.5</v>
      </c>
      <c r="G14" s="57">
        <v>173</v>
      </c>
      <c r="H14" s="58"/>
      <c r="I14" s="58"/>
      <c r="J14" s="58">
        <v>0</v>
      </c>
      <c r="K14" s="59"/>
      <c r="L14" s="59"/>
      <c r="M14" s="59">
        <v>0</v>
      </c>
      <c r="N14">
        <f t="shared" si="0"/>
        <v>325</v>
      </c>
      <c r="O14" s="44">
        <v>181.12</v>
      </c>
      <c r="P14">
        <v>346</v>
      </c>
      <c r="Q14">
        <v>303</v>
      </c>
      <c r="R14" s="44">
        <v>181.03</v>
      </c>
      <c r="S14">
        <v>358</v>
      </c>
      <c r="T14">
        <v>346</v>
      </c>
    </row>
    <row r="15" spans="1:26" ht="15.75" customHeight="1">
      <c r="A15" s="61" t="s">
        <v>386</v>
      </c>
      <c r="B15" s="56">
        <v>181.13</v>
      </c>
      <c r="C15" s="56">
        <v>1</v>
      </c>
      <c r="D15" s="56">
        <v>239</v>
      </c>
      <c r="E15" s="57">
        <v>181.12</v>
      </c>
      <c r="F15" s="57">
        <v>0.5</v>
      </c>
      <c r="G15" s="57">
        <v>152</v>
      </c>
      <c r="H15" s="58">
        <v>181.14</v>
      </c>
      <c r="I15" s="58">
        <v>0.5</v>
      </c>
      <c r="J15" s="58">
        <v>118</v>
      </c>
      <c r="K15" s="59"/>
      <c r="L15" s="59"/>
      <c r="M15" s="59">
        <v>0</v>
      </c>
      <c r="N15">
        <f t="shared" si="0"/>
        <v>509</v>
      </c>
      <c r="O15" s="44">
        <v>181.13</v>
      </c>
      <c r="P15">
        <v>184</v>
      </c>
      <c r="Q15">
        <v>239</v>
      </c>
      <c r="R15" s="44">
        <v>181.12</v>
      </c>
      <c r="S15">
        <v>346</v>
      </c>
      <c r="T15">
        <v>303</v>
      </c>
      <c r="U15" s="44">
        <v>181.14</v>
      </c>
      <c r="V15">
        <v>321</v>
      </c>
      <c r="W15">
        <v>236</v>
      </c>
    </row>
    <row r="16" spans="1:26" ht="15.75" customHeight="1">
      <c r="A16" s="61" t="s">
        <v>337</v>
      </c>
      <c r="B16" s="56">
        <v>181.14</v>
      </c>
      <c r="C16" s="56">
        <v>0.5</v>
      </c>
      <c r="D16" s="56">
        <v>118</v>
      </c>
      <c r="E16" s="57">
        <v>181.05</v>
      </c>
      <c r="F16" s="57">
        <v>1</v>
      </c>
      <c r="G16" s="57">
        <v>205</v>
      </c>
      <c r="H16" s="58"/>
      <c r="I16" s="58"/>
      <c r="J16" s="58">
        <v>0</v>
      </c>
      <c r="K16" s="59"/>
      <c r="L16" s="59"/>
      <c r="M16" s="59">
        <v>0</v>
      </c>
      <c r="N16">
        <f t="shared" si="0"/>
        <v>323</v>
      </c>
      <c r="O16" s="44">
        <v>181.14</v>
      </c>
      <c r="P16">
        <v>321</v>
      </c>
      <c r="Q16">
        <v>236</v>
      </c>
      <c r="R16" s="44">
        <v>181.05</v>
      </c>
      <c r="S16">
        <v>2600</v>
      </c>
      <c r="T16">
        <v>205</v>
      </c>
    </row>
    <row r="17" spans="1:23" ht="15.75" customHeight="1">
      <c r="A17" s="61" t="s">
        <v>389</v>
      </c>
      <c r="B17" s="56">
        <v>181.16</v>
      </c>
      <c r="C17" s="56">
        <v>1</v>
      </c>
      <c r="D17" s="56">
        <v>140</v>
      </c>
      <c r="E17" s="57">
        <v>181.15</v>
      </c>
      <c r="F17" s="57">
        <v>1</v>
      </c>
      <c r="G17" s="57">
        <v>139</v>
      </c>
      <c r="H17" s="58"/>
      <c r="I17" s="58"/>
      <c r="J17" s="58">
        <v>0</v>
      </c>
      <c r="K17" s="59"/>
      <c r="L17" s="59"/>
      <c r="M17" s="59">
        <v>0</v>
      </c>
      <c r="N17">
        <f t="shared" si="0"/>
        <v>279</v>
      </c>
      <c r="O17" s="44">
        <v>181.16</v>
      </c>
      <c r="P17">
        <v>181</v>
      </c>
      <c r="Q17">
        <v>140</v>
      </c>
      <c r="R17" s="44">
        <v>181.15</v>
      </c>
      <c r="S17">
        <v>181</v>
      </c>
      <c r="T17">
        <v>139</v>
      </c>
    </row>
    <row r="18" spans="1:23" ht="15.75" customHeight="1">
      <c r="A18" s="61" t="s">
        <v>344</v>
      </c>
      <c r="B18" s="56">
        <v>182.01</v>
      </c>
      <c r="C18" s="56">
        <v>0.25</v>
      </c>
      <c r="D18" s="56">
        <v>100</v>
      </c>
      <c r="E18" s="57">
        <v>183.07</v>
      </c>
      <c r="F18" s="57">
        <v>0.3</v>
      </c>
      <c r="G18" s="57">
        <v>249</v>
      </c>
      <c r="H18" s="58"/>
      <c r="I18" s="58"/>
      <c r="J18" s="58">
        <v>0</v>
      </c>
      <c r="K18" s="59"/>
      <c r="L18" s="59"/>
      <c r="M18" s="59">
        <v>0</v>
      </c>
      <c r="N18">
        <f t="shared" si="0"/>
        <v>349</v>
      </c>
      <c r="O18" s="44">
        <v>182.01</v>
      </c>
      <c r="P18">
        <v>598</v>
      </c>
      <c r="Q18">
        <v>398</v>
      </c>
      <c r="R18" s="36">
        <v>183.07</v>
      </c>
      <c r="S18">
        <v>996</v>
      </c>
      <c r="T18">
        <v>829</v>
      </c>
    </row>
    <row r="19" spans="1:23" ht="15.75" customHeight="1">
      <c r="A19" s="61" t="s">
        <v>375</v>
      </c>
      <c r="B19" s="56">
        <v>182.01</v>
      </c>
      <c r="C19" s="56">
        <v>0.25</v>
      </c>
      <c r="D19" s="56">
        <v>100</v>
      </c>
      <c r="E19" s="57">
        <v>180.01</v>
      </c>
      <c r="F19" s="57">
        <v>0.5</v>
      </c>
      <c r="G19" s="57">
        <v>393</v>
      </c>
      <c r="H19" s="58"/>
      <c r="I19" s="58"/>
      <c r="J19" s="58">
        <v>0</v>
      </c>
      <c r="K19" s="59"/>
      <c r="L19" s="59"/>
      <c r="M19" s="59">
        <v>0</v>
      </c>
      <c r="N19">
        <f t="shared" si="0"/>
        <v>493</v>
      </c>
      <c r="O19" s="44">
        <v>182.01</v>
      </c>
      <c r="P19">
        <v>598</v>
      </c>
      <c r="Q19">
        <v>398</v>
      </c>
      <c r="R19" s="44">
        <v>180.01</v>
      </c>
      <c r="S19">
        <v>1438</v>
      </c>
      <c r="T19">
        <v>785</v>
      </c>
    </row>
    <row r="20" spans="1:23" ht="15.75" customHeight="1">
      <c r="A20" s="61" t="s">
        <v>393</v>
      </c>
      <c r="B20" s="56">
        <v>182.02</v>
      </c>
      <c r="C20" s="56">
        <v>0.5</v>
      </c>
      <c r="D20" s="56">
        <v>399</v>
      </c>
      <c r="E20" s="57"/>
      <c r="F20" s="57"/>
      <c r="G20" s="57">
        <v>0</v>
      </c>
      <c r="H20" s="58"/>
      <c r="I20" s="58"/>
      <c r="J20" s="58">
        <v>0</v>
      </c>
      <c r="K20" s="59"/>
      <c r="L20" s="59"/>
      <c r="M20" s="59">
        <v>0</v>
      </c>
      <c r="N20">
        <f t="shared" si="0"/>
        <v>399</v>
      </c>
      <c r="O20" s="36">
        <v>182.02</v>
      </c>
      <c r="P20">
        <v>1625</v>
      </c>
      <c r="Q20">
        <v>798</v>
      </c>
    </row>
    <row r="21" spans="1:23" ht="15.75" customHeight="1">
      <c r="A21" s="61" t="s">
        <v>291</v>
      </c>
      <c r="B21" s="56">
        <v>182.02</v>
      </c>
      <c r="C21" s="56">
        <v>0.5</v>
      </c>
      <c r="D21" s="56">
        <v>399</v>
      </c>
      <c r="E21" s="57"/>
      <c r="F21" s="57"/>
      <c r="G21" s="57">
        <v>0</v>
      </c>
      <c r="H21" s="58"/>
      <c r="I21" s="58"/>
      <c r="J21" s="58">
        <v>0</v>
      </c>
      <c r="K21" s="59"/>
      <c r="L21" s="59"/>
      <c r="M21" s="59">
        <v>0</v>
      </c>
      <c r="N21">
        <f t="shared" si="0"/>
        <v>399</v>
      </c>
      <c r="O21" s="36">
        <v>182.02</v>
      </c>
      <c r="P21">
        <v>1625</v>
      </c>
      <c r="Q21">
        <v>798</v>
      </c>
    </row>
    <row r="22" spans="1:23" ht="15.75" customHeight="1">
      <c r="A22" s="61" t="s">
        <v>400</v>
      </c>
      <c r="B22" s="56">
        <v>182.04</v>
      </c>
      <c r="C22" s="56">
        <v>1</v>
      </c>
      <c r="D22" s="56">
        <v>151</v>
      </c>
      <c r="E22" s="57">
        <v>187.16</v>
      </c>
      <c r="F22" s="57">
        <v>0.66700000000000004</v>
      </c>
      <c r="G22" s="57">
        <v>286</v>
      </c>
      <c r="H22" s="58"/>
      <c r="I22" s="58"/>
      <c r="J22" s="58">
        <v>0</v>
      </c>
      <c r="K22" s="59"/>
      <c r="L22" s="59"/>
      <c r="M22" s="59">
        <v>0</v>
      </c>
      <c r="N22">
        <f t="shared" si="0"/>
        <v>437</v>
      </c>
      <c r="O22" s="36">
        <v>182.04</v>
      </c>
      <c r="P22">
        <v>177</v>
      </c>
      <c r="Q22">
        <v>151</v>
      </c>
      <c r="R22" s="36">
        <v>187.16</v>
      </c>
      <c r="S22">
        <v>576</v>
      </c>
      <c r="T22">
        <v>429</v>
      </c>
    </row>
    <row r="23" spans="1:23" ht="15.75" customHeight="1">
      <c r="A23" s="61" t="s">
        <v>322</v>
      </c>
      <c r="B23" s="56">
        <v>182.05</v>
      </c>
      <c r="C23" s="56">
        <v>1</v>
      </c>
      <c r="D23" s="56">
        <v>618</v>
      </c>
      <c r="E23" s="57"/>
      <c r="F23" s="57"/>
      <c r="G23" s="57">
        <v>0</v>
      </c>
      <c r="H23" s="58"/>
      <c r="I23" s="58"/>
      <c r="J23" s="58">
        <v>0</v>
      </c>
      <c r="K23" s="59"/>
      <c r="L23" s="59"/>
      <c r="M23" s="59">
        <v>0</v>
      </c>
      <c r="N23">
        <f t="shared" si="0"/>
        <v>618</v>
      </c>
      <c r="O23" s="36">
        <v>182.05</v>
      </c>
      <c r="P23">
        <v>917</v>
      </c>
      <c r="Q23">
        <v>618</v>
      </c>
    </row>
    <row r="24" spans="1:23" ht="15.75" customHeight="1">
      <c r="A24" s="61" t="s">
        <v>351</v>
      </c>
      <c r="B24" s="56">
        <v>183.01</v>
      </c>
      <c r="C24" s="56">
        <v>1</v>
      </c>
      <c r="D24" s="56">
        <v>464</v>
      </c>
      <c r="E24" s="57"/>
      <c r="F24" s="57"/>
      <c r="G24" s="57">
        <v>0</v>
      </c>
      <c r="H24" s="58"/>
      <c r="I24" s="58"/>
      <c r="J24" s="58">
        <v>0</v>
      </c>
      <c r="K24" s="59"/>
      <c r="L24" s="59"/>
      <c r="M24" s="59">
        <v>0</v>
      </c>
      <c r="N24">
        <f t="shared" si="0"/>
        <v>464</v>
      </c>
      <c r="O24" s="36">
        <v>183.01</v>
      </c>
      <c r="P24">
        <v>549</v>
      </c>
      <c r="Q24">
        <v>464</v>
      </c>
    </row>
    <row r="25" spans="1:23" ht="15.75" customHeight="1">
      <c r="A25" s="61" t="s">
        <v>329</v>
      </c>
      <c r="B25" s="56">
        <v>183.03</v>
      </c>
      <c r="C25" s="56">
        <v>0.5</v>
      </c>
      <c r="D25" s="56">
        <v>171</v>
      </c>
      <c r="E25" s="57">
        <v>183.07</v>
      </c>
      <c r="F25" s="57">
        <v>0.2</v>
      </c>
      <c r="G25" s="57">
        <v>166</v>
      </c>
      <c r="H25" s="58"/>
      <c r="I25" s="58"/>
      <c r="J25" s="58">
        <v>0</v>
      </c>
      <c r="K25" s="59"/>
      <c r="L25" s="59"/>
      <c r="M25" s="59">
        <v>0</v>
      </c>
      <c r="N25">
        <f t="shared" si="0"/>
        <v>337</v>
      </c>
      <c r="O25" s="36">
        <v>183.03</v>
      </c>
      <c r="P25">
        <v>519</v>
      </c>
      <c r="Q25">
        <v>341</v>
      </c>
      <c r="R25" s="36">
        <v>183.07</v>
      </c>
      <c r="S25">
        <v>996</v>
      </c>
      <c r="T25">
        <v>829</v>
      </c>
    </row>
    <row r="26" spans="1:23" ht="15.75" customHeight="1">
      <c r="A26" s="61" t="s">
        <v>339</v>
      </c>
      <c r="B26" s="56">
        <v>183.03</v>
      </c>
      <c r="C26" s="56">
        <v>0.5</v>
      </c>
      <c r="D26" s="56">
        <v>171</v>
      </c>
      <c r="E26" s="57">
        <v>183.07</v>
      </c>
      <c r="F26" s="57">
        <v>0.1</v>
      </c>
      <c r="G26" s="57">
        <v>83</v>
      </c>
      <c r="H26" s="58">
        <v>182.01</v>
      </c>
      <c r="I26" s="58">
        <v>0.25</v>
      </c>
      <c r="J26" s="58">
        <v>100</v>
      </c>
      <c r="K26" s="59"/>
      <c r="L26" s="59"/>
      <c r="M26" s="59">
        <v>0</v>
      </c>
      <c r="N26">
        <f t="shared" si="0"/>
        <v>354</v>
      </c>
      <c r="O26" s="36">
        <v>183.03</v>
      </c>
      <c r="P26">
        <v>519</v>
      </c>
      <c r="Q26">
        <v>341</v>
      </c>
      <c r="R26" s="36">
        <v>183.07</v>
      </c>
      <c r="S26">
        <v>996</v>
      </c>
      <c r="T26">
        <v>829</v>
      </c>
      <c r="U26" s="44">
        <v>182.01</v>
      </c>
      <c r="V26">
        <v>598</v>
      </c>
      <c r="W26">
        <v>398</v>
      </c>
    </row>
    <row r="27" spans="1:23" ht="15.75" customHeight="1">
      <c r="A27" s="61" t="s">
        <v>359</v>
      </c>
      <c r="B27" s="56">
        <v>183.05</v>
      </c>
      <c r="C27" s="56">
        <v>0.5</v>
      </c>
      <c r="D27" s="56">
        <v>516</v>
      </c>
      <c r="E27" s="57"/>
      <c r="F27" s="57"/>
      <c r="G27" s="57">
        <v>0</v>
      </c>
      <c r="H27" s="58"/>
      <c r="I27" s="58"/>
      <c r="J27" s="58">
        <v>0</v>
      </c>
      <c r="K27" s="59"/>
      <c r="L27" s="59"/>
      <c r="M27" s="59">
        <v>0</v>
      </c>
      <c r="N27">
        <f t="shared" si="0"/>
        <v>516</v>
      </c>
      <c r="O27" s="36">
        <v>183.05</v>
      </c>
      <c r="P27">
        <v>2046</v>
      </c>
      <c r="Q27">
        <v>1031</v>
      </c>
    </row>
    <row r="28" spans="1:23" ht="15.75" customHeight="1">
      <c r="A28" s="61" t="s">
        <v>294</v>
      </c>
      <c r="B28" s="56">
        <v>183.05</v>
      </c>
      <c r="C28" s="56">
        <v>0.5</v>
      </c>
      <c r="D28" s="56">
        <v>516</v>
      </c>
      <c r="E28" s="57"/>
      <c r="F28" s="57"/>
      <c r="G28" s="57">
        <v>0</v>
      </c>
      <c r="H28" s="58"/>
      <c r="I28" s="58"/>
      <c r="J28" s="58">
        <v>0</v>
      </c>
      <c r="K28" s="59"/>
      <c r="L28" s="59"/>
      <c r="M28" s="59">
        <v>0</v>
      </c>
      <c r="N28">
        <f t="shared" si="0"/>
        <v>516</v>
      </c>
      <c r="O28" s="36">
        <v>183.05</v>
      </c>
      <c r="P28">
        <v>2046</v>
      </c>
      <c r="Q28">
        <v>1031</v>
      </c>
    </row>
    <row r="29" spans="1:23" ht="15.75" customHeight="1">
      <c r="A29" s="61" t="s">
        <v>369</v>
      </c>
      <c r="B29" s="56">
        <v>183.07</v>
      </c>
      <c r="C29" s="56">
        <v>0.4</v>
      </c>
      <c r="D29" s="56">
        <v>332</v>
      </c>
      <c r="E29" s="57">
        <v>183.06</v>
      </c>
      <c r="F29" s="57">
        <v>1</v>
      </c>
      <c r="G29" s="57">
        <v>136</v>
      </c>
      <c r="H29" s="58">
        <v>182.01</v>
      </c>
      <c r="I29" s="58">
        <v>0.25</v>
      </c>
      <c r="J29" s="58">
        <v>100</v>
      </c>
      <c r="K29" s="59"/>
      <c r="L29" s="59"/>
      <c r="M29" s="59">
        <v>0</v>
      </c>
      <c r="N29">
        <f t="shared" si="0"/>
        <v>568</v>
      </c>
      <c r="O29" s="36">
        <v>183.07</v>
      </c>
      <c r="P29">
        <v>996</v>
      </c>
      <c r="Q29">
        <v>829</v>
      </c>
      <c r="R29" s="36">
        <v>183.06</v>
      </c>
      <c r="S29">
        <v>216</v>
      </c>
      <c r="T29">
        <v>136</v>
      </c>
      <c r="U29" s="44">
        <v>182.01</v>
      </c>
      <c r="V29">
        <v>598</v>
      </c>
      <c r="W29">
        <v>398</v>
      </c>
    </row>
    <row r="30" spans="1:23" ht="15.75" customHeight="1">
      <c r="A30" s="61" t="s">
        <v>366</v>
      </c>
      <c r="B30" s="56">
        <v>183.08</v>
      </c>
      <c r="C30" s="56">
        <v>1</v>
      </c>
      <c r="D30" s="56">
        <v>701</v>
      </c>
      <c r="E30" s="57"/>
      <c r="F30" s="57"/>
      <c r="G30" s="57">
        <v>0</v>
      </c>
      <c r="H30" s="58"/>
      <c r="I30" s="58"/>
      <c r="J30" s="58">
        <v>0</v>
      </c>
      <c r="K30" s="59"/>
      <c r="L30" s="59"/>
      <c r="M30" s="59">
        <v>0</v>
      </c>
      <c r="N30">
        <f t="shared" si="0"/>
        <v>701</v>
      </c>
      <c r="O30" s="36">
        <v>183.08</v>
      </c>
      <c r="P30">
        <v>1379</v>
      </c>
      <c r="Q30">
        <v>701</v>
      </c>
    </row>
    <row r="31" spans="1:23" ht="15.75" customHeight="1">
      <c r="A31" s="61" t="s">
        <v>358</v>
      </c>
      <c r="B31" s="56">
        <v>183.09</v>
      </c>
      <c r="C31" s="56">
        <v>0.5</v>
      </c>
      <c r="D31" s="56">
        <v>294</v>
      </c>
      <c r="E31" s="57"/>
      <c r="F31" s="57"/>
      <c r="G31" s="57">
        <v>0</v>
      </c>
      <c r="H31" s="58"/>
      <c r="I31" s="58"/>
      <c r="J31" s="58">
        <v>0</v>
      </c>
      <c r="K31" s="59"/>
      <c r="L31" s="59"/>
      <c r="M31" s="59">
        <v>0</v>
      </c>
      <c r="N31">
        <f t="shared" si="0"/>
        <v>294</v>
      </c>
      <c r="O31" s="43">
        <v>183.09</v>
      </c>
      <c r="P31">
        <v>1410</v>
      </c>
      <c r="Q31">
        <v>587</v>
      </c>
    </row>
    <row r="32" spans="1:23" ht="15.75" customHeight="1">
      <c r="A32" s="61" t="s">
        <v>321</v>
      </c>
      <c r="B32" s="56">
        <v>183.09</v>
      </c>
      <c r="C32" s="56">
        <v>0.5</v>
      </c>
      <c r="D32" s="56">
        <v>294</v>
      </c>
      <c r="E32" s="57"/>
      <c r="F32" s="57"/>
      <c r="G32" s="57">
        <v>0</v>
      </c>
      <c r="H32" s="58"/>
      <c r="I32" s="58"/>
      <c r="J32" s="58">
        <v>0</v>
      </c>
      <c r="K32" s="59"/>
      <c r="L32" s="59"/>
      <c r="M32" s="59">
        <v>0</v>
      </c>
      <c r="N32">
        <f t="shared" si="0"/>
        <v>294</v>
      </c>
      <c r="O32" s="43">
        <v>183.09</v>
      </c>
      <c r="P32">
        <v>1410</v>
      </c>
      <c r="Q32">
        <v>587</v>
      </c>
    </row>
    <row r="33" spans="1:23" ht="15.75" customHeight="1">
      <c r="A33" s="61" t="s">
        <v>297</v>
      </c>
      <c r="B33" s="56">
        <v>184.02</v>
      </c>
      <c r="C33" s="56">
        <v>1</v>
      </c>
      <c r="D33" s="56">
        <v>467</v>
      </c>
      <c r="E33" s="57">
        <v>184.16</v>
      </c>
      <c r="F33" s="57">
        <v>0.25</v>
      </c>
      <c r="G33" s="57">
        <v>63</v>
      </c>
      <c r="H33" s="58"/>
      <c r="I33" s="58"/>
      <c r="J33" s="58">
        <v>0</v>
      </c>
      <c r="K33" s="59"/>
      <c r="L33" s="59"/>
      <c r="M33" s="59">
        <v>0</v>
      </c>
      <c r="N33">
        <f t="shared" si="0"/>
        <v>530</v>
      </c>
      <c r="O33" s="33">
        <v>184.02</v>
      </c>
      <c r="P33">
        <v>928</v>
      </c>
      <c r="Q33">
        <v>467</v>
      </c>
      <c r="R33" s="33">
        <v>184.16</v>
      </c>
      <c r="S33">
        <v>650</v>
      </c>
      <c r="T33">
        <v>252</v>
      </c>
    </row>
    <row r="34" spans="1:23" ht="15.75" customHeight="1">
      <c r="A34" s="61" t="s">
        <v>394</v>
      </c>
      <c r="B34" s="56">
        <v>184.06</v>
      </c>
      <c r="C34" s="56">
        <v>0.66700000000000004</v>
      </c>
      <c r="D34" s="56">
        <v>736</v>
      </c>
      <c r="E34" s="57">
        <v>182.03</v>
      </c>
      <c r="F34" s="57">
        <v>0.2</v>
      </c>
      <c r="G34" s="57">
        <v>33</v>
      </c>
      <c r="H34" s="58"/>
      <c r="I34" s="58"/>
      <c r="J34" s="58">
        <v>0</v>
      </c>
      <c r="K34" s="59"/>
      <c r="L34" s="59"/>
      <c r="M34" s="59">
        <v>0</v>
      </c>
      <c r="N34">
        <f t="shared" si="0"/>
        <v>769</v>
      </c>
      <c r="O34" s="33">
        <v>184.06</v>
      </c>
      <c r="P34">
        <v>2104</v>
      </c>
      <c r="Q34">
        <v>1103</v>
      </c>
      <c r="R34" s="33">
        <v>182.03</v>
      </c>
      <c r="S34">
        <v>120</v>
      </c>
      <c r="T34">
        <v>163</v>
      </c>
    </row>
    <row r="35" spans="1:23" ht="15.75" customHeight="1">
      <c r="A35" s="61" t="s">
        <v>352</v>
      </c>
      <c r="B35" s="56">
        <v>184.06</v>
      </c>
      <c r="C35" s="56">
        <v>0.33300000000000002</v>
      </c>
      <c r="D35" s="56">
        <v>367</v>
      </c>
      <c r="E35" s="57">
        <v>184.07</v>
      </c>
      <c r="F35" s="57">
        <v>1</v>
      </c>
      <c r="G35" s="57">
        <v>136</v>
      </c>
      <c r="H35" s="58"/>
      <c r="I35" s="58"/>
      <c r="J35" s="58">
        <v>0</v>
      </c>
      <c r="K35" s="59"/>
      <c r="L35" s="59"/>
      <c r="M35" s="59">
        <v>0</v>
      </c>
      <c r="N35">
        <f t="shared" si="0"/>
        <v>503</v>
      </c>
      <c r="O35" s="33">
        <v>184.06</v>
      </c>
      <c r="P35">
        <v>2104</v>
      </c>
      <c r="Q35">
        <v>1103</v>
      </c>
      <c r="R35" s="33">
        <v>184.07</v>
      </c>
      <c r="S35">
        <v>262</v>
      </c>
      <c r="T35">
        <v>136</v>
      </c>
    </row>
    <row r="36" spans="1:23" ht="12.75">
      <c r="A36" s="61" t="s">
        <v>362</v>
      </c>
      <c r="B36" s="56">
        <v>184.08</v>
      </c>
      <c r="C36" s="56">
        <v>1</v>
      </c>
      <c r="D36" s="56">
        <v>544</v>
      </c>
      <c r="E36" s="57"/>
      <c r="F36" s="57"/>
      <c r="G36" s="57">
        <v>0</v>
      </c>
      <c r="H36" s="58"/>
      <c r="I36" s="58"/>
      <c r="J36" s="58">
        <v>0</v>
      </c>
      <c r="K36" s="59"/>
      <c r="L36" s="59"/>
      <c r="M36" s="59">
        <v>0</v>
      </c>
      <c r="N36">
        <f t="shared" si="0"/>
        <v>544</v>
      </c>
      <c r="O36" s="33">
        <v>184.08</v>
      </c>
      <c r="P36">
        <v>763</v>
      </c>
      <c r="Q36">
        <v>544</v>
      </c>
    </row>
    <row r="37" spans="1:23" ht="12.75">
      <c r="A37" s="61" t="s">
        <v>372</v>
      </c>
      <c r="B37" s="56">
        <v>184.09</v>
      </c>
      <c r="C37" s="56">
        <v>0.5</v>
      </c>
      <c r="D37" s="56">
        <v>184</v>
      </c>
      <c r="E37" s="57">
        <v>184.1</v>
      </c>
      <c r="F37" s="57">
        <v>0.5</v>
      </c>
      <c r="G37" s="57">
        <v>305</v>
      </c>
      <c r="H37" s="58"/>
      <c r="I37" s="58"/>
      <c r="J37" s="58">
        <v>0</v>
      </c>
      <c r="K37" s="59"/>
      <c r="L37" s="59"/>
      <c r="M37" s="59">
        <v>0</v>
      </c>
      <c r="N37">
        <f t="shared" si="0"/>
        <v>489</v>
      </c>
      <c r="O37" s="33">
        <v>184.09</v>
      </c>
      <c r="P37">
        <v>566</v>
      </c>
      <c r="Q37">
        <v>368</v>
      </c>
      <c r="R37" s="33">
        <v>184.1</v>
      </c>
      <c r="S37">
        <v>708</v>
      </c>
      <c r="T37">
        <v>609</v>
      </c>
    </row>
    <row r="38" spans="1:23" ht="12.75">
      <c r="A38" s="61" t="s">
        <v>365</v>
      </c>
      <c r="B38" s="56">
        <v>184.1</v>
      </c>
      <c r="C38" s="56">
        <v>0.5</v>
      </c>
      <c r="D38" s="56">
        <v>305</v>
      </c>
      <c r="E38" s="57"/>
      <c r="F38" s="57"/>
      <c r="G38" s="57">
        <v>0</v>
      </c>
      <c r="H38" s="58"/>
      <c r="I38" s="58"/>
      <c r="J38" s="58">
        <v>0</v>
      </c>
      <c r="K38" s="59"/>
      <c r="L38" s="59"/>
      <c r="M38" s="59">
        <v>0</v>
      </c>
      <c r="N38">
        <f t="shared" si="0"/>
        <v>305</v>
      </c>
      <c r="O38" s="33">
        <v>184.1</v>
      </c>
      <c r="P38">
        <v>708</v>
      </c>
      <c r="Q38">
        <v>609</v>
      </c>
    </row>
    <row r="39" spans="1:23" ht="12.75">
      <c r="A39" s="61" t="s">
        <v>319</v>
      </c>
      <c r="B39" s="56">
        <v>184.11</v>
      </c>
      <c r="C39" s="56">
        <v>1</v>
      </c>
      <c r="D39" s="56">
        <v>1047</v>
      </c>
      <c r="E39" s="57"/>
      <c r="F39" s="57"/>
      <c r="G39" s="57">
        <v>0</v>
      </c>
      <c r="H39" s="58"/>
      <c r="I39" s="58"/>
      <c r="J39" s="58">
        <v>0</v>
      </c>
      <c r="K39" s="59"/>
      <c r="L39" s="59"/>
      <c r="M39" s="59">
        <v>0</v>
      </c>
      <c r="N39">
        <f t="shared" si="0"/>
        <v>1047</v>
      </c>
      <c r="O39" s="33">
        <v>184.11</v>
      </c>
      <c r="P39">
        <v>1099</v>
      </c>
      <c r="Q39">
        <v>1047</v>
      </c>
    </row>
    <row r="40" spans="1:23" ht="12.75">
      <c r="A40" s="61" t="s">
        <v>353</v>
      </c>
      <c r="B40" s="56">
        <v>184.12</v>
      </c>
      <c r="C40" s="56">
        <v>0.5</v>
      </c>
      <c r="D40" s="56">
        <v>386</v>
      </c>
      <c r="E40" s="57">
        <v>184.13</v>
      </c>
      <c r="F40" s="57">
        <v>0.1</v>
      </c>
      <c r="G40" s="57">
        <v>35</v>
      </c>
      <c r="H40" s="58">
        <v>184.14</v>
      </c>
      <c r="I40" s="58">
        <v>0.2</v>
      </c>
      <c r="J40" s="58">
        <v>136</v>
      </c>
      <c r="K40" s="59"/>
      <c r="L40" s="59"/>
      <c r="M40" s="59">
        <v>0</v>
      </c>
      <c r="N40">
        <f t="shared" si="0"/>
        <v>557</v>
      </c>
      <c r="O40" s="33">
        <v>184.12</v>
      </c>
      <c r="P40">
        <v>1480</v>
      </c>
      <c r="Q40">
        <v>771</v>
      </c>
      <c r="R40" s="33">
        <v>184.13</v>
      </c>
      <c r="S40">
        <v>328</v>
      </c>
      <c r="T40">
        <v>347</v>
      </c>
      <c r="U40" s="33">
        <v>184.14</v>
      </c>
      <c r="V40">
        <v>1664</v>
      </c>
      <c r="W40">
        <v>680</v>
      </c>
    </row>
    <row r="41" spans="1:23" ht="12.75">
      <c r="A41" s="61" t="s">
        <v>345</v>
      </c>
      <c r="B41" s="56">
        <v>184.13</v>
      </c>
      <c r="C41" s="56">
        <v>0.3</v>
      </c>
      <c r="D41" s="56">
        <v>104</v>
      </c>
      <c r="E41" s="57">
        <v>184.12</v>
      </c>
      <c r="F41" s="57">
        <v>0.3</v>
      </c>
      <c r="G41" s="57">
        <v>231</v>
      </c>
      <c r="H41" s="58"/>
      <c r="I41" s="58"/>
      <c r="J41" s="58">
        <v>0</v>
      </c>
      <c r="K41" s="59"/>
      <c r="L41" s="59"/>
      <c r="M41" s="59">
        <v>0</v>
      </c>
      <c r="N41">
        <f t="shared" si="0"/>
        <v>335</v>
      </c>
      <c r="O41" s="33">
        <v>184.13</v>
      </c>
      <c r="P41">
        <v>328</v>
      </c>
      <c r="Q41">
        <v>347</v>
      </c>
      <c r="R41" s="33">
        <v>184.12</v>
      </c>
      <c r="S41">
        <v>1480</v>
      </c>
      <c r="T41">
        <v>771</v>
      </c>
    </row>
    <row r="42" spans="1:23" ht="12.75">
      <c r="A42" s="61" t="s">
        <v>391</v>
      </c>
      <c r="B42" s="56">
        <v>184.13</v>
      </c>
      <c r="C42" s="56">
        <v>0.2</v>
      </c>
      <c r="D42" s="56">
        <v>69</v>
      </c>
      <c r="E42" s="57">
        <v>182.03</v>
      </c>
      <c r="F42" s="57">
        <v>0.4</v>
      </c>
      <c r="G42" s="57">
        <v>65</v>
      </c>
      <c r="H42" s="58"/>
      <c r="I42" s="58"/>
      <c r="J42" s="58">
        <v>0</v>
      </c>
      <c r="K42" s="59"/>
      <c r="L42" s="59"/>
      <c r="M42" s="59">
        <v>0</v>
      </c>
      <c r="N42">
        <f t="shared" si="0"/>
        <v>134</v>
      </c>
      <c r="O42" s="33">
        <v>184.13</v>
      </c>
      <c r="P42">
        <v>328</v>
      </c>
      <c r="Q42">
        <v>347</v>
      </c>
      <c r="R42" s="33">
        <v>182.03</v>
      </c>
      <c r="S42">
        <v>120</v>
      </c>
      <c r="T42">
        <v>163</v>
      </c>
    </row>
    <row r="43" spans="1:23" ht="12.75">
      <c r="A43" s="61" t="s">
        <v>316</v>
      </c>
      <c r="B43" s="56">
        <v>184.14</v>
      </c>
      <c r="C43" s="56">
        <v>0.8</v>
      </c>
      <c r="D43" s="56">
        <v>544</v>
      </c>
      <c r="E43" s="57">
        <v>184.13</v>
      </c>
      <c r="F43" s="57">
        <v>0.2</v>
      </c>
      <c r="G43" s="57">
        <v>69</v>
      </c>
      <c r="H43" s="58"/>
      <c r="I43" s="58"/>
      <c r="J43" s="58">
        <v>0</v>
      </c>
      <c r="K43" s="59"/>
      <c r="L43" s="59"/>
      <c r="M43" s="59">
        <v>0</v>
      </c>
      <c r="N43">
        <f t="shared" si="0"/>
        <v>613</v>
      </c>
      <c r="O43" s="33">
        <v>184.14</v>
      </c>
      <c r="P43">
        <v>1664</v>
      </c>
      <c r="Q43">
        <v>680</v>
      </c>
      <c r="R43" s="33">
        <v>184.13</v>
      </c>
      <c r="S43">
        <v>328</v>
      </c>
      <c r="T43">
        <v>347</v>
      </c>
    </row>
    <row r="44" spans="1:23" ht="12.75">
      <c r="A44" s="61" t="s">
        <v>371</v>
      </c>
      <c r="B44" s="56">
        <v>184.16</v>
      </c>
      <c r="C44" s="56">
        <v>0.6</v>
      </c>
      <c r="D44" s="56">
        <v>151</v>
      </c>
      <c r="E44" s="57"/>
      <c r="F44" s="57"/>
      <c r="G44" s="57">
        <v>0</v>
      </c>
      <c r="H44" s="58"/>
      <c r="I44" s="58"/>
      <c r="J44" s="58">
        <v>0</v>
      </c>
      <c r="K44" s="59"/>
      <c r="L44" s="59"/>
      <c r="M44" s="59">
        <v>0</v>
      </c>
      <c r="N44">
        <f t="shared" si="0"/>
        <v>151</v>
      </c>
      <c r="O44" s="33">
        <v>184.16</v>
      </c>
      <c r="P44">
        <v>650</v>
      </c>
      <c r="Q44">
        <v>252</v>
      </c>
    </row>
    <row r="45" spans="1:23" ht="12.75">
      <c r="A45" s="61" t="s">
        <v>315</v>
      </c>
      <c r="B45" s="56">
        <v>184.16</v>
      </c>
      <c r="C45" s="56">
        <v>0.15</v>
      </c>
      <c r="D45" s="56">
        <v>38</v>
      </c>
      <c r="E45" s="57">
        <v>184.15</v>
      </c>
      <c r="F45" s="57">
        <v>1</v>
      </c>
      <c r="G45" s="57">
        <v>276</v>
      </c>
      <c r="H45" s="58">
        <v>184.09</v>
      </c>
      <c r="I45" s="58">
        <v>0.5</v>
      </c>
      <c r="J45" s="58">
        <v>184</v>
      </c>
      <c r="K45" s="59"/>
      <c r="L45" s="59"/>
      <c r="M45" s="59">
        <v>0</v>
      </c>
      <c r="N45">
        <f t="shared" si="0"/>
        <v>498</v>
      </c>
      <c r="O45" s="33">
        <v>184.16</v>
      </c>
      <c r="P45">
        <v>650</v>
      </c>
      <c r="Q45">
        <v>252</v>
      </c>
      <c r="R45" s="33">
        <v>184.15</v>
      </c>
      <c r="S45">
        <v>237</v>
      </c>
      <c r="T45">
        <v>276</v>
      </c>
      <c r="U45" s="33">
        <v>184.09</v>
      </c>
      <c r="V45">
        <v>566</v>
      </c>
      <c r="W45">
        <v>368</v>
      </c>
    </row>
    <row r="46" spans="1:23" ht="12.75">
      <c r="A46" s="61" t="s">
        <v>395</v>
      </c>
      <c r="B46" s="56">
        <v>185.05</v>
      </c>
      <c r="C46" s="56">
        <v>0.8</v>
      </c>
      <c r="D46" s="56">
        <v>502</v>
      </c>
      <c r="E46" s="57"/>
      <c r="F46" s="57"/>
      <c r="G46" s="57">
        <v>0</v>
      </c>
      <c r="H46" s="58"/>
      <c r="I46" s="58"/>
      <c r="J46" s="58">
        <v>0</v>
      </c>
      <c r="K46" s="59"/>
      <c r="L46" s="59"/>
      <c r="M46" s="59">
        <v>0</v>
      </c>
      <c r="N46">
        <f t="shared" si="0"/>
        <v>502</v>
      </c>
      <c r="O46" s="1">
        <v>185.05</v>
      </c>
      <c r="P46">
        <v>381</v>
      </c>
      <c r="Q46">
        <v>628</v>
      </c>
    </row>
    <row r="47" spans="1:23" ht="12.75">
      <c r="A47" s="61" t="s">
        <v>380</v>
      </c>
      <c r="B47" s="56">
        <v>185.07</v>
      </c>
      <c r="C47" s="56">
        <v>0.33300000000000002</v>
      </c>
      <c r="D47" s="56">
        <v>303</v>
      </c>
      <c r="E47" s="57"/>
      <c r="F47" s="57"/>
      <c r="G47" s="57">
        <v>0</v>
      </c>
      <c r="H47" s="58"/>
      <c r="I47" s="58"/>
      <c r="J47" s="58">
        <v>0</v>
      </c>
      <c r="K47" s="59"/>
      <c r="L47" s="59"/>
      <c r="M47" s="59">
        <v>0</v>
      </c>
      <c r="N47">
        <f t="shared" si="0"/>
        <v>303</v>
      </c>
      <c r="O47" s="32">
        <v>185.07</v>
      </c>
      <c r="P47">
        <v>1061</v>
      </c>
      <c r="Q47">
        <v>911</v>
      </c>
    </row>
    <row r="48" spans="1:23" ht="12.75">
      <c r="A48" s="61" t="s">
        <v>377</v>
      </c>
      <c r="B48" s="56">
        <v>185.07</v>
      </c>
      <c r="C48" s="56">
        <v>0.33300000000000002</v>
      </c>
      <c r="D48" s="56">
        <v>303</v>
      </c>
      <c r="E48" s="57">
        <v>184.12</v>
      </c>
      <c r="F48" s="57">
        <v>0.2</v>
      </c>
      <c r="G48" s="57">
        <v>154</v>
      </c>
      <c r="H48" s="58">
        <v>184.13</v>
      </c>
      <c r="I48" s="58">
        <v>0.2</v>
      </c>
      <c r="J48" s="58">
        <v>69</v>
      </c>
      <c r="K48" s="59"/>
      <c r="L48" s="59"/>
      <c r="M48" s="59">
        <v>0</v>
      </c>
      <c r="N48">
        <f t="shared" si="0"/>
        <v>526</v>
      </c>
      <c r="O48" s="32">
        <v>185.07</v>
      </c>
      <c r="P48">
        <v>1061</v>
      </c>
      <c r="Q48">
        <v>911</v>
      </c>
      <c r="R48" s="33">
        <v>184.12</v>
      </c>
      <c r="S48">
        <v>1480</v>
      </c>
      <c r="T48">
        <v>771</v>
      </c>
      <c r="U48" s="33">
        <v>184.13</v>
      </c>
      <c r="V48">
        <v>328</v>
      </c>
      <c r="W48">
        <v>347</v>
      </c>
    </row>
    <row r="49" spans="1:23" ht="12.75">
      <c r="A49" s="61" t="s">
        <v>367</v>
      </c>
      <c r="B49" s="56">
        <v>185.09</v>
      </c>
      <c r="C49" s="56">
        <v>0.66700000000000004</v>
      </c>
      <c r="D49" s="56">
        <v>249</v>
      </c>
      <c r="E49" s="57"/>
      <c r="F49" s="57"/>
      <c r="G49" s="57">
        <v>0</v>
      </c>
      <c r="H49" s="58"/>
      <c r="I49" s="58"/>
      <c r="J49" s="58">
        <v>0</v>
      </c>
      <c r="K49" s="59"/>
      <c r="L49" s="59"/>
      <c r="M49" s="59">
        <v>0</v>
      </c>
      <c r="N49">
        <f t="shared" si="0"/>
        <v>249</v>
      </c>
      <c r="O49" s="32">
        <v>185.09</v>
      </c>
      <c r="P49">
        <v>525</v>
      </c>
      <c r="Q49">
        <v>373</v>
      </c>
    </row>
    <row r="50" spans="1:23" ht="12.75">
      <c r="A50" s="61" t="s">
        <v>390</v>
      </c>
      <c r="B50" s="56">
        <v>185.1</v>
      </c>
      <c r="C50" s="56">
        <v>0.5</v>
      </c>
      <c r="D50" s="56">
        <v>219</v>
      </c>
      <c r="E50" s="57">
        <v>185.11</v>
      </c>
      <c r="F50" s="57">
        <v>0.33300000000000002</v>
      </c>
      <c r="G50" s="57">
        <v>197</v>
      </c>
      <c r="H50" s="58"/>
      <c r="I50" s="58"/>
      <c r="J50" s="58">
        <v>0</v>
      </c>
      <c r="K50" s="59"/>
      <c r="L50" s="59"/>
      <c r="M50" s="59">
        <v>0</v>
      </c>
      <c r="N50">
        <f t="shared" si="0"/>
        <v>416</v>
      </c>
      <c r="O50" s="32">
        <v>185.1</v>
      </c>
      <c r="P50">
        <v>358</v>
      </c>
      <c r="Q50">
        <v>438</v>
      </c>
      <c r="R50" s="32">
        <v>185.11</v>
      </c>
      <c r="S50">
        <v>1052</v>
      </c>
      <c r="T50">
        <v>593</v>
      </c>
    </row>
    <row r="51" spans="1:23" ht="12.75">
      <c r="A51" s="61" t="s">
        <v>397</v>
      </c>
      <c r="B51" s="56">
        <v>185.11</v>
      </c>
      <c r="C51" s="56">
        <v>0.66700000000000004</v>
      </c>
      <c r="D51" s="56">
        <v>396</v>
      </c>
      <c r="E51" s="57"/>
      <c r="F51" s="57"/>
      <c r="G51" s="57">
        <v>0</v>
      </c>
      <c r="H51" s="58"/>
      <c r="I51" s="58"/>
      <c r="J51" s="58">
        <v>0</v>
      </c>
      <c r="K51" s="59"/>
      <c r="L51" s="59"/>
      <c r="M51" s="59">
        <v>0</v>
      </c>
      <c r="N51">
        <f t="shared" si="0"/>
        <v>396</v>
      </c>
      <c r="O51" s="32">
        <v>185.11</v>
      </c>
      <c r="P51">
        <v>1052</v>
      </c>
      <c r="Q51">
        <v>593</v>
      </c>
    </row>
    <row r="52" spans="1:23" ht="12.75">
      <c r="A52" s="61" t="s">
        <v>373</v>
      </c>
      <c r="B52" s="56">
        <v>185.12</v>
      </c>
      <c r="C52" s="56">
        <v>0.5</v>
      </c>
      <c r="D52" s="56">
        <v>265</v>
      </c>
      <c r="E52" s="57"/>
      <c r="F52" s="57"/>
      <c r="G52" s="57">
        <v>0</v>
      </c>
      <c r="H52" s="58"/>
      <c r="I52" s="58"/>
      <c r="J52" s="58">
        <v>0</v>
      </c>
      <c r="K52" s="59"/>
      <c r="L52" s="59"/>
      <c r="M52" s="59">
        <v>0</v>
      </c>
      <c r="N52">
        <f t="shared" si="0"/>
        <v>265</v>
      </c>
      <c r="O52" s="32">
        <v>185.12</v>
      </c>
      <c r="P52">
        <v>818</v>
      </c>
      <c r="Q52">
        <v>529</v>
      </c>
    </row>
    <row r="53" spans="1:23" ht="12.75">
      <c r="A53" s="61" t="s">
        <v>336</v>
      </c>
      <c r="B53" s="56">
        <v>185.12</v>
      </c>
      <c r="C53" s="56">
        <v>0.5</v>
      </c>
      <c r="D53" s="56">
        <v>265</v>
      </c>
      <c r="E53" s="57">
        <v>185.05</v>
      </c>
      <c r="F53" s="57">
        <v>0.2</v>
      </c>
      <c r="G53" s="57">
        <v>126</v>
      </c>
      <c r="H53" s="58"/>
      <c r="I53" s="58"/>
      <c r="J53" s="58">
        <v>0</v>
      </c>
      <c r="K53" s="59"/>
      <c r="L53" s="59"/>
      <c r="M53" s="59">
        <v>0</v>
      </c>
      <c r="N53">
        <f t="shared" si="0"/>
        <v>391</v>
      </c>
      <c r="O53" s="32">
        <v>185.12</v>
      </c>
      <c r="P53">
        <v>818</v>
      </c>
      <c r="Q53">
        <v>529</v>
      </c>
      <c r="R53" s="1">
        <v>185.05</v>
      </c>
      <c r="S53">
        <v>381</v>
      </c>
      <c r="T53">
        <v>628</v>
      </c>
    </row>
    <row r="54" spans="1:23" ht="12.75">
      <c r="A54" s="61" t="s">
        <v>376</v>
      </c>
      <c r="B54" s="56">
        <v>185.15</v>
      </c>
      <c r="C54" s="56">
        <v>0.66700000000000004</v>
      </c>
      <c r="D54" s="56">
        <v>281</v>
      </c>
      <c r="E54" s="57">
        <v>185.16</v>
      </c>
      <c r="F54" s="57">
        <v>0.5</v>
      </c>
      <c r="G54" s="57">
        <v>198</v>
      </c>
      <c r="H54" s="58"/>
      <c r="I54" s="58"/>
      <c r="J54" s="58">
        <v>0</v>
      </c>
      <c r="K54" s="59"/>
      <c r="L54" s="59"/>
      <c r="M54" s="59">
        <v>0</v>
      </c>
      <c r="N54">
        <f t="shared" si="0"/>
        <v>479</v>
      </c>
      <c r="O54" s="32">
        <v>185.15</v>
      </c>
      <c r="P54">
        <v>648</v>
      </c>
      <c r="Q54">
        <v>421</v>
      </c>
      <c r="R54" s="32">
        <v>185.16</v>
      </c>
      <c r="S54">
        <v>284</v>
      </c>
      <c r="T54">
        <v>396</v>
      </c>
    </row>
    <row r="55" spans="1:23" ht="12.75">
      <c r="A55" s="61" t="s">
        <v>330</v>
      </c>
      <c r="B55" s="56">
        <v>185.16</v>
      </c>
      <c r="C55" s="56">
        <v>0.5</v>
      </c>
      <c r="D55" s="56">
        <v>198</v>
      </c>
      <c r="E55" s="57">
        <v>185.1</v>
      </c>
      <c r="F55" s="57">
        <v>0.5</v>
      </c>
      <c r="G55" s="57">
        <v>219</v>
      </c>
      <c r="H55" s="58"/>
      <c r="I55" s="58"/>
      <c r="J55" s="58">
        <v>0</v>
      </c>
      <c r="K55" s="59"/>
      <c r="L55" s="59"/>
      <c r="M55" s="59">
        <v>0</v>
      </c>
      <c r="N55">
        <f t="shared" si="0"/>
        <v>417</v>
      </c>
      <c r="O55" s="32">
        <v>185.16</v>
      </c>
      <c r="P55">
        <v>284</v>
      </c>
      <c r="Q55">
        <v>396</v>
      </c>
      <c r="R55" s="32">
        <v>185.1</v>
      </c>
      <c r="S55">
        <v>358</v>
      </c>
      <c r="T55">
        <v>438</v>
      </c>
    </row>
    <row r="56" spans="1:23" ht="12.75">
      <c r="A56" s="61" t="s">
        <v>313</v>
      </c>
      <c r="B56" s="56">
        <v>185.17</v>
      </c>
      <c r="C56" s="56">
        <v>1</v>
      </c>
      <c r="D56" s="56">
        <v>224</v>
      </c>
      <c r="E56" s="57"/>
      <c r="F56" s="57"/>
      <c r="G56" s="57">
        <v>0</v>
      </c>
      <c r="H56" s="58"/>
      <c r="I56" s="58"/>
      <c r="J56" s="58">
        <v>0</v>
      </c>
      <c r="K56" s="59"/>
      <c r="L56" s="59"/>
      <c r="M56" s="59">
        <v>0</v>
      </c>
      <c r="N56">
        <f t="shared" si="0"/>
        <v>224</v>
      </c>
      <c r="O56" s="32">
        <v>185.17</v>
      </c>
      <c r="P56">
        <v>241</v>
      </c>
      <c r="Q56">
        <v>224</v>
      </c>
    </row>
    <row r="57" spans="1:23" ht="12.75">
      <c r="A57" s="61" t="s">
        <v>363</v>
      </c>
      <c r="B57" s="56">
        <v>185.18</v>
      </c>
      <c r="C57" s="56">
        <v>0.66700000000000004</v>
      </c>
      <c r="D57" s="56">
        <v>249</v>
      </c>
      <c r="E57" s="57"/>
      <c r="F57" s="57"/>
      <c r="G57" s="57">
        <v>0</v>
      </c>
      <c r="H57" s="58"/>
      <c r="I57" s="58"/>
      <c r="J57" s="58">
        <v>0</v>
      </c>
      <c r="K57" s="59"/>
      <c r="L57" s="59"/>
      <c r="M57" s="59">
        <v>0</v>
      </c>
      <c r="N57">
        <f t="shared" si="0"/>
        <v>249</v>
      </c>
      <c r="O57" s="32">
        <v>185.18</v>
      </c>
      <c r="P57">
        <v>527</v>
      </c>
      <c r="Q57">
        <v>373</v>
      </c>
    </row>
    <row r="58" spans="1:23" ht="12.75">
      <c r="A58" s="61" t="s">
        <v>323</v>
      </c>
      <c r="B58" s="56">
        <v>185.18</v>
      </c>
      <c r="C58" s="56">
        <v>0.33300000000000002</v>
      </c>
      <c r="D58" s="56">
        <v>124</v>
      </c>
      <c r="E58" s="57">
        <v>185.08</v>
      </c>
      <c r="F58" s="57">
        <v>1</v>
      </c>
      <c r="G58" s="57">
        <v>113</v>
      </c>
      <c r="H58" s="58">
        <v>185.07</v>
      </c>
      <c r="I58" s="58">
        <v>0.33300000000000002</v>
      </c>
      <c r="J58" s="58">
        <v>303</v>
      </c>
      <c r="K58" s="59"/>
      <c r="L58" s="59"/>
      <c r="M58" s="59">
        <v>0</v>
      </c>
      <c r="N58">
        <f t="shared" si="0"/>
        <v>540</v>
      </c>
      <c r="O58" s="32">
        <v>185.18</v>
      </c>
      <c r="P58">
        <v>527</v>
      </c>
      <c r="Q58">
        <v>373</v>
      </c>
      <c r="R58" s="32">
        <v>185.08</v>
      </c>
      <c r="S58">
        <v>149</v>
      </c>
      <c r="T58">
        <v>113</v>
      </c>
      <c r="U58" s="32">
        <v>185.07</v>
      </c>
      <c r="V58">
        <v>1061</v>
      </c>
      <c r="W58">
        <v>911</v>
      </c>
    </row>
    <row r="59" spans="1:23" ht="12.75">
      <c r="A59" s="61" t="s">
        <v>298</v>
      </c>
      <c r="B59" s="56">
        <v>185.19</v>
      </c>
      <c r="C59" s="56">
        <v>1</v>
      </c>
      <c r="D59" s="56">
        <v>543</v>
      </c>
      <c r="E59" s="57">
        <v>185.2</v>
      </c>
      <c r="F59" s="57">
        <v>1</v>
      </c>
      <c r="G59" s="57">
        <v>603</v>
      </c>
      <c r="H59" s="58"/>
      <c r="I59" s="58"/>
      <c r="J59" s="58">
        <v>0</v>
      </c>
      <c r="K59" s="59"/>
      <c r="L59" s="59"/>
      <c r="M59" s="59">
        <v>0</v>
      </c>
      <c r="N59">
        <f t="shared" si="0"/>
        <v>1146</v>
      </c>
      <c r="O59" s="32">
        <v>185.19</v>
      </c>
      <c r="P59">
        <v>722</v>
      </c>
      <c r="Q59">
        <v>543</v>
      </c>
      <c r="R59" s="32">
        <v>185.2</v>
      </c>
      <c r="S59">
        <v>923</v>
      </c>
      <c r="T59">
        <v>603</v>
      </c>
    </row>
    <row r="60" spans="1:23" ht="12.75">
      <c r="A60" s="61" t="s">
        <v>324</v>
      </c>
      <c r="B60" s="56">
        <v>185.21</v>
      </c>
      <c r="C60" s="56">
        <v>1</v>
      </c>
      <c r="D60" s="56">
        <v>247</v>
      </c>
      <c r="E60" s="57">
        <v>185.22</v>
      </c>
      <c r="F60" s="57">
        <v>1</v>
      </c>
      <c r="G60" s="57">
        <v>309</v>
      </c>
      <c r="H60" s="58"/>
      <c r="I60" s="58"/>
      <c r="J60" s="58">
        <v>0</v>
      </c>
      <c r="K60" s="59"/>
      <c r="L60" s="59"/>
      <c r="M60" s="59">
        <v>0</v>
      </c>
      <c r="N60">
        <f t="shared" si="0"/>
        <v>556</v>
      </c>
      <c r="O60" s="32">
        <v>185.21</v>
      </c>
      <c r="P60">
        <v>550</v>
      </c>
      <c r="Q60">
        <v>247</v>
      </c>
      <c r="R60" s="32">
        <v>185.22</v>
      </c>
      <c r="S60">
        <v>483</v>
      </c>
      <c r="T60">
        <v>309</v>
      </c>
    </row>
    <row r="61" spans="1:23" ht="12.75">
      <c r="A61" s="61" t="s">
        <v>317</v>
      </c>
      <c r="B61" s="56">
        <v>186.01</v>
      </c>
      <c r="C61" s="56">
        <v>0.25</v>
      </c>
      <c r="D61" s="56">
        <v>122</v>
      </c>
      <c r="E61" s="57">
        <v>186.02</v>
      </c>
      <c r="F61" s="57">
        <v>0.25</v>
      </c>
      <c r="G61" s="57">
        <v>93</v>
      </c>
      <c r="H61" s="58"/>
      <c r="I61" s="58"/>
      <c r="J61" s="58">
        <v>0</v>
      </c>
      <c r="K61" s="59"/>
      <c r="L61" s="59"/>
      <c r="M61" s="59">
        <v>0</v>
      </c>
      <c r="N61">
        <f t="shared" si="0"/>
        <v>215</v>
      </c>
      <c r="O61" s="32">
        <v>186.01</v>
      </c>
      <c r="P61">
        <v>575</v>
      </c>
      <c r="Q61">
        <v>487</v>
      </c>
      <c r="R61" s="32">
        <v>186.02</v>
      </c>
      <c r="S61">
        <v>282</v>
      </c>
      <c r="T61">
        <v>370</v>
      </c>
    </row>
    <row r="62" spans="1:23" ht="12.75">
      <c r="A62" s="61" t="s">
        <v>382</v>
      </c>
      <c r="B62" s="56">
        <v>186.01</v>
      </c>
      <c r="C62" s="56">
        <v>0.25</v>
      </c>
      <c r="D62" s="56">
        <v>122</v>
      </c>
      <c r="E62" s="57">
        <v>186.02</v>
      </c>
      <c r="F62" s="57">
        <v>0.75</v>
      </c>
      <c r="G62" s="57">
        <v>278</v>
      </c>
      <c r="H62" s="58">
        <v>192</v>
      </c>
      <c r="I62" s="58">
        <v>0.33</v>
      </c>
      <c r="J62" s="58">
        <v>89</v>
      </c>
      <c r="K62" s="59"/>
      <c r="L62" s="59"/>
      <c r="M62" s="59">
        <v>0</v>
      </c>
      <c r="N62">
        <f t="shared" si="0"/>
        <v>489</v>
      </c>
      <c r="O62" s="32">
        <v>186.01</v>
      </c>
      <c r="P62">
        <v>575</v>
      </c>
      <c r="Q62">
        <v>487</v>
      </c>
      <c r="R62" s="32">
        <v>186.02</v>
      </c>
      <c r="S62">
        <v>282</v>
      </c>
      <c r="T62">
        <v>370</v>
      </c>
      <c r="U62" s="32">
        <v>192</v>
      </c>
      <c r="V62">
        <v>412</v>
      </c>
      <c r="W62">
        <v>271</v>
      </c>
    </row>
    <row r="63" spans="1:23" ht="12.75">
      <c r="A63" s="61" t="s">
        <v>385</v>
      </c>
      <c r="B63" s="56">
        <v>186.01</v>
      </c>
      <c r="C63" s="56">
        <v>0.5</v>
      </c>
      <c r="D63" s="56">
        <v>244</v>
      </c>
      <c r="E63" s="57"/>
      <c r="F63" s="57"/>
      <c r="G63" s="57">
        <v>0</v>
      </c>
      <c r="H63" s="58"/>
      <c r="I63" s="58"/>
      <c r="J63" s="58">
        <v>0</v>
      </c>
      <c r="K63" s="59"/>
      <c r="L63" s="59"/>
      <c r="M63" s="59">
        <v>0</v>
      </c>
      <c r="N63">
        <f t="shared" si="0"/>
        <v>244</v>
      </c>
      <c r="O63" s="32">
        <v>186.01</v>
      </c>
      <c r="P63">
        <v>575</v>
      </c>
      <c r="Q63">
        <v>487</v>
      </c>
    </row>
    <row r="64" spans="1:23" ht="12.75">
      <c r="A64" s="61" t="s">
        <v>368</v>
      </c>
      <c r="B64" s="56">
        <v>186.05</v>
      </c>
      <c r="C64" s="56">
        <v>0.5</v>
      </c>
      <c r="D64" s="56">
        <v>402</v>
      </c>
      <c r="E64" s="57">
        <v>186.06</v>
      </c>
      <c r="F64" s="57">
        <v>0.5</v>
      </c>
      <c r="G64" s="57">
        <v>207</v>
      </c>
      <c r="H64" s="58"/>
      <c r="I64" s="58"/>
      <c r="J64" s="58">
        <v>0</v>
      </c>
      <c r="K64" s="59"/>
      <c r="L64" s="59"/>
      <c r="M64" s="59">
        <v>0</v>
      </c>
      <c r="N64">
        <f t="shared" si="0"/>
        <v>609</v>
      </c>
      <c r="O64" s="32">
        <v>186.05</v>
      </c>
      <c r="P64">
        <v>1043</v>
      </c>
      <c r="Q64">
        <v>803</v>
      </c>
      <c r="R64" s="32">
        <v>186.06</v>
      </c>
      <c r="S64">
        <v>479</v>
      </c>
      <c r="T64">
        <v>413</v>
      </c>
    </row>
    <row r="65" spans="1:26" ht="12.75">
      <c r="A65" s="61" t="s">
        <v>387</v>
      </c>
      <c r="B65" s="56">
        <v>186.05</v>
      </c>
      <c r="C65" s="56">
        <v>0.5</v>
      </c>
      <c r="D65" s="56">
        <v>402</v>
      </c>
      <c r="E65" s="57">
        <v>186.06</v>
      </c>
      <c r="F65" s="57">
        <v>0.25</v>
      </c>
      <c r="G65" s="57">
        <v>103</v>
      </c>
      <c r="H65" s="58"/>
      <c r="I65" s="58"/>
      <c r="J65" s="58">
        <v>0</v>
      </c>
      <c r="K65" s="59"/>
      <c r="L65" s="59"/>
      <c r="M65" s="59">
        <v>0</v>
      </c>
      <c r="N65">
        <f t="shared" si="0"/>
        <v>505</v>
      </c>
      <c r="O65" s="32">
        <v>186.05</v>
      </c>
      <c r="P65">
        <v>1043</v>
      </c>
      <c r="Q65">
        <v>803</v>
      </c>
      <c r="R65" s="32">
        <v>186.06</v>
      </c>
      <c r="S65">
        <v>479</v>
      </c>
      <c r="T65">
        <v>413</v>
      </c>
    </row>
    <row r="66" spans="1:26" ht="12.75">
      <c r="A66" s="61" t="s">
        <v>303</v>
      </c>
      <c r="B66" s="56">
        <v>186.05</v>
      </c>
      <c r="C66" s="56">
        <v>0.5</v>
      </c>
      <c r="D66" s="56">
        <v>402</v>
      </c>
      <c r="E66" s="57">
        <v>186.06</v>
      </c>
      <c r="F66" s="57">
        <v>0.25</v>
      </c>
      <c r="G66" s="57">
        <v>103</v>
      </c>
      <c r="H66" s="58"/>
      <c r="I66" s="58"/>
      <c r="J66" s="58">
        <v>0</v>
      </c>
      <c r="K66" s="59"/>
      <c r="L66" s="59"/>
      <c r="M66" s="59">
        <v>0</v>
      </c>
      <c r="N66">
        <f t="shared" si="0"/>
        <v>505</v>
      </c>
      <c r="O66" s="32">
        <v>186.05</v>
      </c>
      <c r="P66">
        <v>1043</v>
      </c>
      <c r="Q66">
        <v>803</v>
      </c>
      <c r="R66" s="32">
        <v>186.06</v>
      </c>
      <c r="S66">
        <v>479</v>
      </c>
      <c r="T66">
        <v>413</v>
      </c>
    </row>
    <row r="67" spans="1:26" ht="12.75">
      <c r="A67" s="61" t="s">
        <v>327</v>
      </c>
      <c r="B67" s="56">
        <v>186.06</v>
      </c>
      <c r="C67" s="56">
        <v>0.25</v>
      </c>
      <c r="D67" s="56">
        <v>103</v>
      </c>
      <c r="E67" s="57">
        <v>185.09</v>
      </c>
      <c r="F67" s="57">
        <v>0.33300000000000002</v>
      </c>
      <c r="G67" s="57">
        <v>124</v>
      </c>
      <c r="H67" s="58">
        <v>186.07</v>
      </c>
      <c r="I67" s="58">
        <v>0.5</v>
      </c>
      <c r="J67" s="58">
        <v>263</v>
      </c>
      <c r="K67" s="59">
        <v>185.15</v>
      </c>
      <c r="L67" s="59">
        <v>0.33300000000000002</v>
      </c>
      <c r="M67" s="59">
        <v>140</v>
      </c>
      <c r="N67">
        <f t="shared" si="0"/>
        <v>630</v>
      </c>
      <c r="O67" s="32">
        <v>186.06</v>
      </c>
      <c r="P67">
        <v>479</v>
      </c>
      <c r="Q67">
        <v>413</v>
      </c>
      <c r="R67" s="32">
        <v>185.09</v>
      </c>
      <c r="S67">
        <v>525</v>
      </c>
      <c r="T67">
        <v>373</v>
      </c>
      <c r="U67" s="33">
        <v>186.07</v>
      </c>
      <c r="V67">
        <v>702</v>
      </c>
      <c r="W67">
        <v>525</v>
      </c>
      <c r="X67" s="32">
        <v>185.15</v>
      </c>
      <c r="Y67">
        <v>648</v>
      </c>
      <c r="Z67">
        <v>421</v>
      </c>
    </row>
    <row r="68" spans="1:26" ht="12.75">
      <c r="A68" s="61" t="s">
        <v>320</v>
      </c>
      <c r="B68" s="56">
        <v>186.08</v>
      </c>
      <c r="C68" s="56">
        <v>0.5</v>
      </c>
      <c r="D68" s="56">
        <v>296</v>
      </c>
      <c r="E68" s="57">
        <v>186.07</v>
      </c>
      <c r="F68" s="57">
        <v>0.5</v>
      </c>
      <c r="G68" s="57">
        <v>263</v>
      </c>
      <c r="H68" s="58"/>
      <c r="I68" s="58"/>
      <c r="J68" s="58">
        <v>0</v>
      </c>
      <c r="K68" s="59"/>
      <c r="L68" s="59"/>
      <c r="M68" s="59">
        <v>0</v>
      </c>
      <c r="N68">
        <f t="shared" si="0"/>
        <v>559</v>
      </c>
      <c r="O68" s="33">
        <v>186.08</v>
      </c>
      <c r="P68">
        <v>782</v>
      </c>
      <c r="Q68">
        <v>591</v>
      </c>
      <c r="R68" s="33">
        <v>186.07</v>
      </c>
      <c r="S68">
        <v>702</v>
      </c>
      <c r="T68">
        <v>525</v>
      </c>
    </row>
    <row r="69" spans="1:26" ht="12.75">
      <c r="A69" s="61" t="s">
        <v>354</v>
      </c>
      <c r="B69" s="56">
        <v>187.03</v>
      </c>
      <c r="C69" s="56">
        <v>0.5</v>
      </c>
      <c r="D69" s="56">
        <v>223</v>
      </c>
      <c r="E69" s="57">
        <v>187.05</v>
      </c>
      <c r="F69" s="57">
        <v>0.25</v>
      </c>
      <c r="G69" s="57">
        <v>140</v>
      </c>
      <c r="H69" s="58"/>
      <c r="I69" s="58"/>
      <c r="J69" s="58">
        <v>0</v>
      </c>
      <c r="K69" s="59"/>
      <c r="L69" s="59"/>
      <c r="M69" s="59">
        <v>0</v>
      </c>
      <c r="N69">
        <f t="shared" si="0"/>
        <v>363</v>
      </c>
      <c r="O69" s="33">
        <v>187.03</v>
      </c>
      <c r="P69">
        <v>731</v>
      </c>
      <c r="Q69">
        <v>445</v>
      </c>
      <c r="R69" s="33">
        <v>187.05</v>
      </c>
      <c r="S69">
        <v>762</v>
      </c>
      <c r="T69">
        <v>561</v>
      </c>
    </row>
    <row r="70" spans="1:26" ht="12.75">
      <c r="A70" s="61" t="s">
        <v>304</v>
      </c>
      <c r="B70" s="56">
        <v>187.03</v>
      </c>
      <c r="C70" s="56">
        <v>0.25</v>
      </c>
      <c r="D70" s="56">
        <v>111</v>
      </c>
      <c r="E70" s="57">
        <v>189.05</v>
      </c>
      <c r="F70" s="57">
        <v>0.66700000000000004</v>
      </c>
      <c r="G70" s="57">
        <v>331</v>
      </c>
      <c r="H70" s="58"/>
      <c r="I70" s="58"/>
      <c r="J70" s="58">
        <v>0</v>
      </c>
      <c r="K70" s="59"/>
      <c r="L70" s="59"/>
      <c r="M70" s="59">
        <v>0</v>
      </c>
      <c r="N70">
        <f t="shared" si="0"/>
        <v>442</v>
      </c>
      <c r="O70" s="33">
        <v>187.03</v>
      </c>
      <c r="P70">
        <v>731</v>
      </c>
      <c r="Q70">
        <v>445</v>
      </c>
      <c r="R70" s="36">
        <v>189.05</v>
      </c>
      <c r="S70">
        <v>760</v>
      </c>
      <c r="T70">
        <v>497</v>
      </c>
    </row>
    <row r="71" spans="1:26" ht="12.75">
      <c r="A71" s="61" t="s">
        <v>343</v>
      </c>
      <c r="B71" s="56">
        <v>187.04</v>
      </c>
      <c r="C71" s="56">
        <v>1</v>
      </c>
      <c r="D71" s="56">
        <v>113</v>
      </c>
      <c r="E71" s="57">
        <v>187.05</v>
      </c>
      <c r="F71" s="57">
        <v>0.25</v>
      </c>
      <c r="G71" s="57">
        <v>140</v>
      </c>
      <c r="H71" s="58">
        <v>190.01</v>
      </c>
      <c r="I71" s="58">
        <v>0.25</v>
      </c>
      <c r="J71" s="58">
        <v>87</v>
      </c>
      <c r="K71" s="59"/>
      <c r="L71" s="59"/>
      <c r="M71" s="59">
        <v>0</v>
      </c>
      <c r="N71">
        <f t="shared" si="0"/>
        <v>340</v>
      </c>
      <c r="O71" s="33">
        <v>187.04</v>
      </c>
      <c r="P71">
        <v>185</v>
      </c>
      <c r="Q71">
        <v>113</v>
      </c>
      <c r="R71" s="33">
        <v>187.05</v>
      </c>
      <c r="S71">
        <v>762</v>
      </c>
      <c r="T71">
        <v>561</v>
      </c>
      <c r="U71" s="33">
        <v>190.01</v>
      </c>
      <c r="V71">
        <v>487</v>
      </c>
      <c r="W71">
        <v>346</v>
      </c>
    </row>
    <row r="72" spans="1:26" ht="12.75">
      <c r="A72" s="61" t="s">
        <v>326</v>
      </c>
      <c r="B72" s="56">
        <v>187.05</v>
      </c>
      <c r="C72" s="56">
        <v>0.5</v>
      </c>
      <c r="D72" s="56">
        <v>281</v>
      </c>
      <c r="E72" s="57"/>
      <c r="F72" s="57"/>
      <c r="G72" s="57">
        <v>0</v>
      </c>
      <c r="H72" s="58"/>
      <c r="I72" s="58"/>
      <c r="J72" s="58">
        <v>0</v>
      </c>
      <c r="K72" s="59"/>
      <c r="L72" s="59"/>
      <c r="M72" s="59">
        <v>0</v>
      </c>
      <c r="N72">
        <f t="shared" si="0"/>
        <v>281</v>
      </c>
      <c r="O72" s="33">
        <v>187.05</v>
      </c>
      <c r="P72">
        <v>762</v>
      </c>
      <c r="Q72">
        <v>561</v>
      </c>
    </row>
    <row r="73" spans="1:26" ht="12.75">
      <c r="A73" s="61" t="s">
        <v>401</v>
      </c>
      <c r="B73" s="56">
        <v>187.06</v>
      </c>
      <c r="C73" s="56">
        <v>0.5</v>
      </c>
      <c r="D73" s="56">
        <v>374</v>
      </c>
      <c r="E73" s="57">
        <v>187.11</v>
      </c>
      <c r="F73" s="57">
        <v>0.33300000000000002</v>
      </c>
      <c r="G73" s="57">
        <v>233</v>
      </c>
      <c r="H73" s="58"/>
      <c r="I73" s="58"/>
      <c r="J73" s="58">
        <v>0</v>
      </c>
      <c r="K73" s="59"/>
      <c r="L73" s="59"/>
      <c r="M73" s="59">
        <v>0</v>
      </c>
      <c r="N73">
        <f t="shared" si="0"/>
        <v>607</v>
      </c>
      <c r="O73" s="36">
        <v>187.06</v>
      </c>
      <c r="P73">
        <v>898</v>
      </c>
      <c r="Q73">
        <v>748</v>
      </c>
      <c r="R73" s="36">
        <v>187.11</v>
      </c>
      <c r="S73">
        <v>1053</v>
      </c>
      <c r="T73">
        <v>701</v>
      </c>
    </row>
    <row r="74" spans="1:26" ht="12.75">
      <c r="A74" s="61" t="s">
        <v>388</v>
      </c>
      <c r="B74" s="56">
        <v>187.06</v>
      </c>
      <c r="C74" s="56">
        <v>0.5</v>
      </c>
      <c r="D74" s="56">
        <v>374</v>
      </c>
      <c r="E74" s="57">
        <v>188.04</v>
      </c>
      <c r="F74" s="57">
        <v>1</v>
      </c>
      <c r="G74" s="57">
        <v>439</v>
      </c>
      <c r="H74" s="58"/>
      <c r="I74" s="58"/>
      <c r="J74" s="58">
        <v>0</v>
      </c>
      <c r="K74" s="59"/>
      <c r="L74" s="59"/>
      <c r="M74" s="59">
        <v>0</v>
      </c>
      <c r="N74">
        <f t="shared" si="0"/>
        <v>813</v>
      </c>
      <c r="O74" s="36">
        <v>187.06</v>
      </c>
      <c r="P74">
        <v>898</v>
      </c>
      <c r="Q74">
        <v>748</v>
      </c>
      <c r="R74" s="36">
        <v>188.04</v>
      </c>
      <c r="S74">
        <v>516</v>
      </c>
      <c r="T74">
        <v>439</v>
      </c>
    </row>
    <row r="75" spans="1:26" ht="12.75">
      <c r="A75" s="61" t="s">
        <v>335</v>
      </c>
      <c r="B75" s="56">
        <v>187.11</v>
      </c>
      <c r="C75" s="56">
        <v>0.66700000000000004</v>
      </c>
      <c r="D75" s="56">
        <v>468</v>
      </c>
      <c r="E75" s="57">
        <v>187.07</v>
      </c>
      <c r="F75" s="57">
        <v>1</v>
      </c>
      <c r="G75" s="57">
        <v>157</v>
      </c>
      <c r="H75" s="58"/>
      <c r="I75" s="58"/>
      <c r="J75" s="58">
        <v>0</v>
      </c>
      <c r="K75" s="59"/>
      <c r="L75" s="59"/>
      <c r="M75" s="59">
        <v>0</v>
      </c>
      <c r="N75">
        <f t="shared" si="0"/>
        <v>625</v>
      </c>
      <c r="O75" s="36">
        <v>187.11</v>
      </c>
      <c r="P75">
        <v>1053</v>
      </c>
      <c r="Q75">
        <v>701</v>
      </c>
      <c r="R75" s="36">
        <v>187.07</v>
      </c>
      <c r="S75">
        <v>118</v>
      </c>
      <c r="T75">
        <v>157</v>
      </c>
    </row>
    <row r="76" spans="1:26" ht="12.75">
      <c r="A76" s="61" t="s">
        <v>301</v>
      </c>
      <c r="B76" s="56">
        <v>187.12</v>
      </c>
      <c r="C76" s="56">
        <v>1</v>
      </c>
      <c r="D76" s="56">
        <v>344</v>
      </c>
      <c r="E76" s="57"/>
      <c r="F76" s="57"/>
      <c r="G76" s="57">
        <v>0</v>
      </c>
      <c r="H76" s="58"/>
      <c r="I76" s="58"/>
      <c r="J76" s="58">
        <v>0</v>
      </c>
      <c r="K76" s="59"/>
      <c r="L76" s="59"/>
      <c r="M76" s="59">
        <v>0</v>
      </c>
      <c r="N76">
        <f t="shared" si="0"/>
        <v>344</v>
      </c>
      <c r="O76" s="36">
        <v>187.12</v>
      </c>
      <c r="P76">
        <v>462</v>
      </c>
      <c r="Q76">
        <v>344</v>
      </c>
    </row>
    <row r="77" spans="1:26" ht="12.75">
      <c r="A77" s="61" t="s">
        <v>325</v>
      </c>
      <c r="B77" s="56">
        <v>187.13</v>
      </c>
      <c r="C77" s="56">
        <v>1</v>
      </c>
      <c r="D77" s="56">
        <v>164</v>
      </c>
      <c r="E77" s="57">
        <v>182.03</v>
      </c>
      <c r="F77" s="57">
        <v>0.4</v>
      </c>
      <c r="G77" s="57">
        <v>65</v>
      </c>
      <c r="H77" s="58"/>
      <c r="I77" s="58"/>
      <c r="J77" s="58">
        <v>0</v>
      </c>
      <c r="K77" s="59"/>
      <c r="L77" s="59"/>
      <c r="M77" s="59">
        <v>0</v>
      </c>
      <c r="N77">
        <f t="shared" si="0"/>
        <v>229</v>
      </c>
      <c r="O77" s="36">
        <v>187.13</v>
      </c>
      <c r="P77">
        <v>213</v>
      </c>
      <c r="Q77">
        <v>164</v>
      </c>
      <c r="R77" s="33">
        <v>182.03</v>
      </c>
      <c r="S77">
        <v>120</v>
      </c>
      <c r="T77">
        <v>163</v>
      </c>
    </row>
    <row r="78" spans="1:26" ht="12.75">
      <c r="A78" s="61" t="s">
        <v>396</v>
      </c>
      <c r="B78" s="56">
        <v>187.16</v>
      </c>
      <c r="C78" s="56">
        <v>0.33300000000000002</v>
      </c>
      <c r="D78" s="56">
        <v>143</v>
      </c>
      <c r="E78" s="57">
        <v>187.14</v>
      </c>
      <c r="F78" s="57">
        <v>1</v>
      </c>
      <c r="G78" s="57">
        <v>80</v>
      </c>
      <c r="H78" s="58">
        <v>187.15</v>
      </c>
      <c r="I78" s="58">
        <v>1</v>
      </c>
      <c r="J78" s="58">
        <v>388</v>
      </c>
      <c r="K78" s="59"/>
      <c r="L78" s="59"/>
      <c r="M78" s="59">
        <v>0</v>
      </c>
      <c r="N78">
        <f t="shared" si="0"/>
        <v>611</v>
      </c>
      <c r="O78" s="36">
        <v>187.16</v>
      </c>
      <c r="P78">
        <v>576</v>
      </c>
      <c r="Q78">
        <v>429</v>
      </c>
      <c r="R78" s="36">
        <v>187.14</v>
      </c>
      <c r="S78">
        <v>329</v>
      </c>
      <c r="T78">
        <v>80</v>
      </c>
      <c r="U78" s="36">
        <v>187.15</v>
      </c>
      <c r="V78">
        <v>514</v>
      </c>
      <c r="W78">
        <v>388</v>
      </c>
    </row>
    <row r="79" spans="1:26" ht="12.75">
      <c r="A79" s="61" t="s">
        <v>328</v>
      </c>
      <c r="B79" s="56">
        <v>188.01</v>
      </c>
      <c r="C79" s="56">
        <v>1</v>
      </c>
      <c r="D79" s="56">
        <v>272</v>
      </c>
      <c r="E79" s="57">
        <v>188.02</v>
      </c>
      <c r="F79" s="57">
        <v>0.75</v>
      </c>
      <c r="G79" s="57">
        <v>305</v>
      </c>
      <c r="H79" s="58"/>
      <c r="I79" s="58"/>
      <c r="J79" s="58">
        <v>0</v>
      </c>
      <c r="K79" s="59"/>
      <c r="L79" s="59"/>
      <c r="M79" s="59">
        <v>0</v>
      </c>
      <c r="N79">
        <f t="shared" si="0"/>
        <v>577</v>
      </c>
      <c r="O79" s="36">
        <v>188.01</v>
      </c>
      <c r="P79">
        <v>301</v>
      </c>
      <c r="Q79">
        <v>272</v>
      </c>
      <c r="R79" s="36">
        <v>188.02</v>
      </c>
      <c r="S79">
        <v>263</v>
      </c>
      <c r="T79">
        <v>407</v>
      </c>
    </row>
    <row r="80" spans="1:26" ht="12.75">
      <c r="A80" s="61" t="s">
        <v>333</v>
      </c>
      <c r="B80" s="56">
        <v>188.02</v>
      </c>
      <c r="C80" s="56">
        <v>0.25</v>
      </c>
      <c r="D80" s="56">
        <v>102</v>
      </c>
      <c r="E80" s="57">
        <v>188.08</v>
      </c>
      <c r="F80" s="57">
        <v>0.5</v>
      </c>
      <c r="G80" s="57">
        <v>276</v>
      </c>
      <c r="H80" s="58">
        <v>188.07</v>
      </c>
      <c r="I80" s="58">
        <v>0.25</v>
      </c>
      <c r="J80" s="58">
        <v>116</v>
      </c>
      <c r="K80" s="59"/>
      <c r="L80" s="59"/>
      <c r="M80" s="59">
        <v>0</v>
      </c>
      <c r="N80">
        <f t="shared" si="0"/>
        <v>494</v>
      </c>
      <c r="O80" s="36">
        <v>188.02</v>
      </c>
      <c r="P80">
        <v>263</v>
      </c>
      <c r="Q80">
        <v>407</v>
      </c>
      <c r="R80" s="36">
        <v>188.08</v>
      </c>
      <c r="S80">
        <v>503</v>
      </c>
      <c r="T80">
        <v>551</v>
      </c>
      <c r="U80" s="36">
        <v>188.07</v>
      </c>
      <c r="V80">
        <v>451</v>
      </c>
      <c r="W80">
        <v>463</v>
      </c>
    </row>
    <row r="81" spans="1:23" ht="12.75">
      <c r="A81" s="61" t="s">
        <v>311</v>
      </c>
      <c r="B81" s="56">
        <v>188.05</v>
      </c>
      <c r="C81" s="56">
        <v>1</v>
      </c>
      <c r="D81" s="56">
        <v>215</v>
      </c>
      <c r="E81" s="57">
        <v>188.06</v>
      </c>
      <c r="F81" s="57">
        <v>0.8</v>
      </c>
      <c r="G81" s="57">
        <v>94</v>
      </c>
      <c r="H81" s="58"/>
      <c r="I81" s="58"/>
      <c r="J81" s="58">
        <v>0</v>
      </c>
      <c r="K81" s="59"/>
      <c r="L81" s="59"/>
      <c r="M81" s="59">
        <v>0</v>
      </c>
      <c r="N81">
        <f t="shared" si="0"/>
        <v>309</v>
      </c>
      <c r="O81" s="44">
        <v>188.05</v>
      </c>
      <c r="P81">
        <v>289</v>
      </c>
      <c r="Q81">
        <v>215</v>
      </c>
      <c r="R81" s="44">
        <v>188.06</v>
      </c>
      <c r="S81">
        <v>169</v>
      </c>
      <c r="T81">
        <v>118</v>
      </c>
    </row>
    <row r="82" spans="1:23" ht="12.75">
      <c r="A82" s="61" t="s">
        <v>381</v>
      </c>
      <c r="B82" s="56">
        <v>188.06</v>
      </c>
      <c r="C82" s="56">
        <v>0.2</v>
      </c>
      <c r="D82" s="56">
        <v>24</v>
      </c>
      <c r="E82" s="57">
        <v>182.06</v>
      </c>
      <c r="F82" s="57">
        <v>1</v>
      </c>
      <c r="G82" s="57">
        <v>100</v>
      </c>
      <c r="H82" s="58"/>
      <c r="I82" s="58"/>
      <c r="J82" s="58">
        <v>0</v>
      </c>
      <c r="K82" s="59"/>
      <c r="L82" s="59"/>
      <c r="M82" s="59">
        <v>0</v>
      </c>
      <c r="N82">
        <f t="shared" si="0"/>
        <v>124</v>
      </c>
      <c r="O82" s="44">
        <v>188.06</v>
      </c>
      <c r="P82">
        <v>169</v>
      </c>
      <c r="Q82">
        <v>118</v>
      </c>
      <c r="R82" s="44">
        <v>182.06</v>
      </c>
      <c r="S82">
        <v>124</v>
      </c>
      <c r="T82">
        <v>100</v>
      </c>
    </row>
    <row r="83" spans="1:23" ht="12.75">
      <c r="A83" s="61" t="s">
        <v>334</v>
      </c>
      <c r="B83" s="56">
        <v>188.07</v>
      </c>
      <c r="C83" s="56">
        <v>0.75</v>
      </c>
      <c r="D83" s="56">
        <v>347</v>
      </c>
      <c r="E83" s="57">
        <v>188.08</v>
      </c>
      <c r="F83" s="57">
        <v>0.5</v>
      </c>
      <c r="G83" s="57">
        <v>276</v>
      </c>
      <c r="H83" s="58"/>
      <c r="I83" s="58"/>
      <c r="J83" s="58">
        <v>0</v>
      </c>
      <c r="K83" s="59"/>
      <c r="L83" s="59"/>
      <c r="M83" s="59">
        <v>0</v>
      </c>
      <c r="N83">
        <f t="shared" si="0"/>
        <v>623</v>
      </c>
      <c r="O83" s="36">
        <v>188.07</v>
      </c>
      <c r="P83">
        <v>451</v>
      </c>
      <c r="Q83">
        <v>463</v>
      </c>
      <c r="R83" s="36">
        <v>188.08</v>
      </c>
      <c r="S83">
        <v>503</v>
      </c>
      <c r="T83">
        <v>551</v>
      </c>
    </row>
    <row r="84" spans="1:23" ht="12.75">
      <c r="A84" s="61" t="s">
        <v>342</v>
      </c>
      <c r="B84" s="56">
        <v>189.03</v>
      </c>
      <c r="C84" s="56">
        <v>0.75</v>
      </c>
      <c r="D84" s="56">
        <v>213</v>
      </c>
      <c r="E84" s="57"/>
      <c r="F84" s="57"/>
      <c r="G84" s="57">
        <v>0</v>
      </c>
      <c r="H84" s="58"/>
      <c r="I84" s="58"/>
      <c r="J84" s="58">
        <v>0</v>
      </c>
      <c r="K84" s="59"/>
      <c r="L84" s="59"/>
      <c r="M84" s="59">
        <v>0</v>
      </c>
      <c r="N84">
        <f t="shared" si="0"/>
        <v>213</v>
      </c>
      <c r="O84" s="36">
        <v>189.03</v>
      </c>
      <c r="P84">
        <v>303</v>
      </c>
      <c r="Q84">
        <v>284</v>
      </c>
    </row>
    <row r="85" spans="1:23" ht="12.75">
      <c r="A85" s="61" t="s">
        <v>360</v>
      </c>
      <c r="B85" s="56">
        <v>189.05</v>
      </c>
      <c r="C85" s="56">
        <v>0.33300000000000002</v>
      </c>
      <c r="D85" s="56">
        <v>166</v>
      </c>
      <c r="E85" s="57">
        <v>190.03</v>
      </c>
      <c r="F85" s="57">
        <v>0.2</v>
      </c>
      <c r="G85" s="57">
        <v>107</v>
      </c>
      <c r="H85" s="58"/>
      <c r="I85" s="58"/>
      <c r="J85" s="58">
        <v>0</v>
      </c>
      <c r="K85" s="59"/>
      <c r="L85" s="59"/>
      <c r="M85" s="59">
        <v>0</v>
      </c>
      <c r="N85">
        <f t="shared" si="0"/>
        <v>273</v>
      </c>
      <c r="O85" s="36">
        <v>189.05</v>
      </c>
      <c r="P85">
        <v>760</v>
      </c>
      <c r="Q85">
        <v>497</v>
      </c>
      <c r="R85" s="33">
        <v>190.03</v>
      </c>
      <c r="S85">
        <v>627</v>
      </c>
      <c r="T85">
        <v>534</v>
      </c>
    </row>
    <row r="86" spans="1:23" ht="12.75">
      <c r="A86" s="61" t="s">
        <v>357</v>
      </c>
      <c r="B86" s="56">
        <v>189.07</v>
      </c>
      <c r="C86" s="56">
        <v>1</v>
      </c>
      <c r="D86" s="56">
        <v>387</v>
      </c>
      <c r="E86" s="57">
        <v>189.1</v>
      </c>
      <c r="F86" s="57">
        <v>0.5</v>
      </c>
      <c r="G86" s="57">
        <v>355</v>
      </c>
      <c r="H86" s="58">
        <v>189.09</v>
      </c>
      <c r="I86" s="58">
        <v>0.5</v>
      </c>
      <c r="J86" s="58">
        <v>177</v>
      </c>
      <c r="K86" s="59"/>
      <c r="L86" s="59"/>
      <c r="M86" s="59">
        <v>0</v>
      </c>
      <c r="N86">
        <f t="shared" si="0"/>
        <v>919</v>
      </c>
      <c r="O86" s="36">
        <v>189.07</v>
      </c>
      <c r="P86">
        <v>339</v>
      </c>
      <c r="Q86">
        <v>387</v>
      </c>
      <c r="R86" s="36">
        <v>189.1</v>
      </c>
      <c r="S86">
        <v>765</v>
      </c>
      <c r="T86">
        <v>709</v>
      </c>
      <c r="U86" s="36">
        <v>189.09</v>
      </c>
      <c r="V86">
        <v>388</v>
      </c>
      <c r="W86">
        <v>354</v>
      </c>
    </row>
    <row r="87" spans="1:23" ht="12.75">
      <c r="A87" s="61" t="s">
        <v>361</v>
      </c>
      <c r="B87" s="56">
        <v>189.08</v>
      </c>
      <c r="C87" s="56">
        <v>1</v>
      </c>
      <c r="D87" s="56">
        <v>428</v>
      </c>
      <c r="E87" s="57"/>
      <c r="F87" s="57"/>
      <c r="G87" s="57">
        <v>0</v>
      </c>
      <c r="H87" s="58"/>
      <c r="I87" s="58"/>
      <c r="J87" s="58">
        <v>0</v>
      </c>
      <c r="K87" s="59"/>
      <c r="L87" s="59"/>
      <c r="M87" s="59">
        <v>0</v>
      </c>
      <c r="N87">
        <f t="shared" si="0"/>
        <v>428</v>
      </c>
      <c r="O87" s="36">
        <v>189.08</v>
      </c>
      <c r="P87">
        <v>602</v>
      </c>
      <c r="Q87">
        <v>428</v>
      </c>
    </row>
    <row r="88" spans="1:23" ht="12.75">
      <c r="A88" s="61" t="s">
        <v>399</v>
      </c>
      <c r="B88" s="56">
        <v>189.1</v>
      </c>
      <c r="C88" s="56">
        <v>0.5</v>
      </c>
      <c r="D88" s="56">
        <v>355</v>
      </c>
      <c r="E88" s="57">
        <v>189.09</v>
      </c>
      <c r="F88" s="57">
        <v>0.5</v>
      </c>
      <c r="G88" s="57">
        <v>177</v>
      </c>
      <c r="H88" s="58"/>
      <c r="I88" s="58"/>
      <c r="J88" s="58">
        <v>0</v>
      </c>
      <c r="K88" s="59"/>
      <c r="L88" s="59"/>
      <c r="M88" s="59">
        <v>0</v>
      </c>
      <c r="N88">
        <f t="shared" si="0"/>
        <v>532</v>
      </c>
      <c r="O88" s="36">
        <v>189.1</v>
      </c>
      <c r="P88">
        <v>765</v>
      </c>
      <c r="Q88">
        <v>709</v>
      </c>
      <c r="R88" s="36">
        <v>189.09</v>
      </c>
      <c r="S88">
        <v>388</v>
      </c>
      <c r="T88">
        <v>354</v>
      </c>
    </row>
    <row r="89" spans="1:23" ht="12.75">
      <c r="A89" s="61" t="s">
        <v>370</v>
      </c>
      <c r="B89" s="56">
        <v>190.01</v>
      </c>
      <c r="C89" s="56">
        <v>0.75</v>
      </c>
      <c r="D89" s="56">
        <v>260</v>
      </c>
      <c r="E89" s="57">
        <v>189.06</v>
      </c>
      <c r="F89" s="57">
        <v>1</v>
      </c>
      <c r="G89" s="57">
        <v>204</v>
      </c>
      <c r="H89" s="58">
        <v>187.03</v>
      </c>
      <c r="I89" s="58">
        <v>0.25</v>
      </c>
      <c r="J89" s="58">
        <v>111</v>
      </c>
      <c r="K89" s="59"/>
      <c r="L89" s="59"/>
      <c r="M89" s="59">
        <v>0</v>
      </c>
      <c r="N89">
        <f t="shared" si="0"/>
        <v>575</v>
      </c>
      <c r="O89" s="33">
        <v>190.01</v>
      </c>
      <c r="P89">
        <v>487</v>
      </c>
      <c r="Q89">
        <v>346</v>
      </c>
      <c r="R89" s="33">
        <v>189.06</v>
      </c>
      <c r="S89">
        <v>341</v>
      </c>
      <c r="T89">
        <v>204</v>
      </c>
      <c r="U89" s="33">
        <v>187.03</v>
      </c>
      <c r="V89">
        <v>731</v>
      </c>
      <c r="W89">
        <v>445</v>
      </c>
    </row>
    <row r="90" spans="1:23" ht="12.75">
      <c r="A90" s="61" t="s">
        <v>374</v>
      </c>
      <c r="B90" s="56">
        <v>190.03</v>
      </c>
      <c r="C90" s="56">
        <v>0.8</v>
      </c>
      <c r="D90" s="56">
        <v>427</v>
      </c>
      <c r="E90" s="57">
        <v>190.04</v>
      </c>
      <c r="F90" s="57">
        <v>0.1</v>
      </c>
      <c r="G90" s="57">
        <v>52</v>
      </c>
      <c r="H90" s="58"/>
      <c r="I90" s="58"/>
      <c r="J90" s="58">
        <v>0</v>
      </c>
      <c r="K90" s="59"/>
      <c r="L90" s="59"/>
      <c r="M90" s="59">
        <v>0</v>
      </c>
      <c r="N90">
        <f t="shared" si="0"/>
        <v>479</v>
      </c>
      <c r="O90" s="33">
        <v>190.03</v>
      </c>
      <c r="P90">
        <v>627</v>
      </c>
      <c r="Q90">
        <v>534</v>
      </c>
      <c r="R90" s="33">
        <v>190.04</v>
      </c>
      <c r="S90">
        <v>581</v>
      </c>
      <c r="T90">
        <v>522</v>
      </c>
    </row>
    <row r="91" spans="1:23" ht="12.75">
      <c r="A91" s="61" t="s">
        <v>349</v>
      </c>
      <c r="B91" s="56">
        <v>190.04</v>
      </c>
      <c r="C91" s="56">
        <v>0.3</v>
      </c>
      <c r="D91" s="56">
        <v>157</v>
      </c>
      <c r="E91" s="57">
        <v>189.03</v>
      </c>
      <c r="F91" s="57">
        <v>0.25</v>
      </c>
      <c r="G91" s="57">
        <v>71</v>
      </c>
      <c r="H91" s="58"/>
      <c r="I91" s="58"/>
      <c r="J91" s="58">
        <v>0</v>
      </c>
      <c r="K91" s="59"/>
      <c r="L91" s="59"/>
      <c r="M91" s="59">
        <v>0</v>
      </c>
      <c r="N91">
        <f t="shared" si="0"/>
        <v>228</v>
      </c>
      <c r="O91" s="33">
        <v>190.04</v>
      </c>
      <c r="P91">
        <v>581</v>
      </c>
      <c r="Q91">
        <v>522</v>
      </c>
      <c r="R91" s="36">
        <v>189.03</v>
      </c>
      <c r="S91">
        <v>303</v>
      </c>
      <c r="T91">
        <v>284</v>
      </c>
    </row>
    <row r="92" spans="1:23" ht="12.75">
      <c r="A92" s="61" t="s">
        <v>364</v>
      </c>
      <c r="B92" s="56">
        <v>190.04</v>
      </c>
      <c r="C92" s="56">
        <v>0.6</v>
      </c>
      <c r="D92" s="56">
        <v>313</v>
      </c>
      <c r="E92" s="57"/>
      <c r="F92" s="57"/>
      <c r="G92" s="57">
        <v>0</v>
      </c>
      <c r="H92" s="58"/>
      <c r="I92" s="58"/>
      <c r="J92" s="58">
        <v>0</v>
      </c>
      <c r="K92" s="59"/>
      <c r="L92" s="59"/>
      <c r="M92" s="59">
        <v>0</v>
      </c>
      <c r="N92">
        <f t="shared" si="0"/>
        <v>313</v>
      </c>
      <c r="O92" s="33">
        <v>190.04</v>
      </c>
      <c r="P92">
        <v>581</v>
      </c>
      <c r="Q92">
        <v>522</v>
      </c>
    </row>
    <row r="93" spans="1:23" ht="12.75">
      <c r="A93" s="61" t="s">
        <v>378</v>
      </c>
      <c r="B93" s="56">
        <v>191.03</v>
      </c>
      <c r="C93" s="56">
        <v>0.5</v>
      </c>
      <c r="D93" s="56">
        <v>178</v>
      </c>
      <c r="E93" s="57">
        <v>191.04</v>
      </c>
      <c r="F93" s="57">
        <v>0.5</v>
      </c>
      <c r="G93" s="57">
        <v>177</v>
      </c>
      <c r="H93" s="58"/>
      <c r="I93" s="58"/>
      <c r="J93" s="58">
        <v>0</v>
      </c>
      <c r="K93" s="59"/>
      <c r="L93" s="59"/>
      <c r="M93" s="59">
        <v>0</v>
      </c>
      <c r="N93">
        <f t="shared" si="0"/>
        <v>355</v>
      </c>
      <c r="O93" s="33">
        <v>191.03</v>
      </c>
      <c r="P93">
        <v>556</v>
      </c>
      <c r="Q93">
        <v>355</v>
      </c>
      <c r="R93" s="33">
        <v>191.04</v>
      </c>
      <c r="S93">
        <v>471</v>
      </c>
      <c r="T93">
        <v>354</v>
      </c>
    </row>
    <row r="94" spans="1:23" ht="12.75">
      <c r="A94" s="61" t="s">
        <v>288</v>
      </c>
      <c r="B94" s="56">
        <v>191.03</v>
      </c>
      <c r="C94" s="56">
        <v>0.5</v>
      </c>
      <c r="D94" s="56">
        <v>178</v>
      </c>
      <c r="E94" s="57">
        <v>191.04</v>
      </c>
      <c r="F94" s="57">
        <v>0.5</v>
      </c>
      <c r="G94" s="57">
        <v>177</v>
      </c>
      <c r="H94" s="58"/>
      <c r="I94" s="58"/>
      <c r="J94" s="58">
        <v>0</v>
      </c>
      <c r="K94" s="59"/>
      <c r="L94" s="59"/>
      <c r="M94" s="59">
        <v>0</v>
      </c>
      <c r="N94">
        <f t="shared" si="0"/>
        <v>355</v>
      </c>
      <c r="O94" s="33">
        <v>191.03</v>
      </c>
      <c r="P94">
        <v>556</v>
      </c>
      <c r="Q94">
        <v>355</v>
      </c>
      <c r="R94" s="33">
        <v>191.04</v>
      </c>
      <c r="S94">
        <v>471</v>
      </c>
      <c r="T94">
        <v>354</v>
      </c>
    </row>
    <row r="95" spans="1:23" ht="12.75">
      <c r="A95" s="61" t="s">
        <v>338</v>
      </c>
      <c r="B95" s="56">
        <v>191.05</v>
      </c>
      <c r="C95" s="56">
        <v>1</v>
      </c>
      <c r="D95" s="56">
        <v>109</v>
      </c>
      <c r="E95" s="57">
        <v>191.07</v>
      </c>
      <c r="F95" s="57">
        <v>1</v>
      </c>
      <c r="G95" s="57">
        <v>166</v>
      </c>
      <c r="H95" s="58">
        <v>191.06</v>
      </c>
      <c r="I95" s="58">
        <v>0.5</v>
      </c>
      <c r="J95" s="58">
        <v>38</v>
      </c>
      <c r="K95" s="59"/>
      <c r="L95" s="59"/>
      <c r="M95" s="59">
        <v>0</v>
      </c>
      <c r="N95">
        <f t="shared" si="0"/>
        <v>313</v>
      </c>
      <c r="O95" s="33">
        <v>191.05</v>
      </c>
      <c r="P95">
        <v>242</v>
      </c>
      <c r="Q95">
        <v>109</v>
      </c>
      <c r="R95" s="33">
        <v>191.07</v>
      </c>
      <c r="S95">
        <v>151</v>
      </c>
      <c r="T95">
        <v>166</v>
      </c>
      <c r="U95" s="33">
        <v>191.06</v>
      </c>
      <c r="V95">
        <v>69</v>
      </c>
      <c r="W95">
        <v>76</v>
      </c>
    </row>
    <row r="96" spans="1:23" ht="12.75">
      <c r="A96" s="61" t="s">
        <v>350</v>
      </c>
      <c r="B96" s="56">
        <v>191.06</v>
      </c>
      <c r="C96" s="56">
        <v>0.5</v>
      </c>
      <c r="D96" s="56">
        <v>38</v>
      </c>
      <c r="E96" s="57">
        <v>190.05</v>
      </c>
      <c r="F96" s="57">
        <v>1</v>
      </c>
      <c r="G96" s="57">
        <v>135</v>
      </c>
      <c r="H96" s="58">
        <v>190.03</v>
      </c>
      <c r="I96" s="58">
        <v>0.33300000000000002</v>
      </c>
      <c r="J96" s="58">
        <v>178</v>
      </c>
      <c r="K96" s="59"/>
      <c r="L96" s="59"/>
      <c r="M96" s="59">
        <v>0</v>
      </c>
      <c r="N96">
        <f t="shared" si="0"/>
        <v>351</v>
      </c>
      <c r="O96" s="33">
        <v>191.06</v>
      </c>
      <c r="P96">
        <v>69</v>
      </c>
      <c r="Q96">
        <v>76</v>
      </c>
      <c r="R96" s="33">
        <v>190.05</v>
      </c>
      <c r="S96">
        <v>173</v>
      </c>
      <c r="T96">
        <v>135</v>
      </c>
      <c r="U96" s="33">
        <v>190.03</v>
      </c>
      <c r="V96">
        <v>627</v>
      </c>
      <c r="W96">
        <v>534</v>
      </c>
    </row>
    <row r="97" spans="1:17" ht="12.75">
      <c r="A97" s="61" t="s">
        <v>314</v>
      </c>
      <c r="B97" s="56">
        <v>192</v>
      </c>
      <c r="C97" s="56">
        <v>0.66700000000000004</v>
      </c>
      <c r="D97" s="56">
        <v>181</v>
      </c>
      <c r="E97" s="57"/>
      <c r="F97" s="57"/>
      <c r="G97" s="57">
        <v>0</v>
      </c>
      <c r="H97" s="58"/>
      <c r="I97" s="58"/>
      <c r="J97" s="58">
        <v>0</v>
      </c>
      <c r="K97" s="59"/>
      <c r="L97" s="59"/>
      <c r="M97" s="59">
        <v>0</v>
      </c>
      <c r="N97">
        <f t="shared" si="0"/>
        <v>181</v>
      </c>
      <c r="O97" s="32">
        <v>192</v>
      </c>
      <c r="P97">
        <v>412</v>
      </c>
      <c r="Q97">
        <v>271</v>
      </c>
    </row>
    <row r="99" spans="1:17" ht="12.75">
      <c r="A99" s="26"/>
      <c r="B99" s="26"/>
      <c r="C99" s="26"/>
      <c r="D99" s="26"/>
      <c r="E99" s="26"/>
      <c r="F99" s="26"/>
    </row>
    <row r="100" spans="1:17" ht="12.75">
      <c r="A100" s="26"/>
      <c r="E100" s="26"/>
      <c r="F100" s="26"/>
      <c r="G100" s="1" t="s">
        <v>673</v>
      </c>
      <c r="H100" s="1"/>
      <c r="I100" s="1" t="s">
        <v>519</v>
      </c>
    </row>
    <row r="101" spans="1:17" ht="15">
      <c r="A101" s="64" t="s">
        <v>54</v>
      </c>
      <c r="B101" s="65" t="s">
        <v>517</v>
      </c>
      <c r="C101" s="65" t="s">
        <v>518</v>
      </c>
      <c r="D101" s="65" t="s">
        <v>519</v>
      </c>
      <c r="E101" s="26"/>
      <c r="F101" s="26"/>
      <c r="G101" t="str">
        <f>A101</f>
        <v>Ecole Earl Marriott</v>
      </c>
      <c r="I101">
        <f>D111</f>
        <v>2329</v>
      </c>
      <c r="K101" s="1">
        <v>1</v>
      </c>
      <c r="L101">
        <v>2497</v>
      </c>
    </row>
    <row r="102" spans="1:17" ht="12.75">
      <c r="A102" s="26" t="s">
        <v>520</v>
      </c>
      <c r="B102" s="26"/>
      <c r="C102" s="26"/>
      <c r="D102" s="26">
        <v>162</v>
      </c>
      <c r="E102" s="26"/>
      <c r="F102" s="26"/>
      <c r="G102" s="1" t="str">
        <f>A113</f>
        <v>Ecole Elgin Park</v>
      </c>
      <c r="I102">
        <f>D120</f>
        <v>1486</v>
      </c>
      <c r="K102" s="1">
        <v>2</v>
      </c>
      <c r="L102">
        <v>2329</v>
      </c>
    </row>
    <row r="103" spans="1:17" ht="12.75">
      <c r="A103" s="26" t="s">
        <v>521</v>
      </c>
      <c r="B103" s="26"/>
      <c r="C103" s="26"/>
      <c r="D103" s="26">
        <v>180</v>
      </c>
      <c r="E103" s="26"/>
      <c r="F103" s="26"/>
      <c r="G103" t="str">
        <f>A123</f>
        <v>Ecole Fraser Heights</v>
      </c>
      <c r="I103">
        <f>D133</f>
        <v>2003</v>
      </c>
      <c r="K103" s="1">
        <v>3</v>
      </c>
      <c r="L103">
        <v>1486</v>
      </c>
    </row>
    <row r="104" spans="1:17" ht="12.75">
      <c r="A104" s="26" t="s">
        <v>522</v>
      </c>
      <c r="B104" s="26"/>
      <c r="C104" s="26"/>
      <c r="D104" s="26">
        <f>N3</f>
        <v>211</v>
      </c>
      <c r="E104" s="26"/>
      <c r="F104" s="26"/>
      <c r="G104" t="str">
        <f>A136</f>
        <v>Ecole Kwantlen Park</v>
      </c>
      <c r="I104">
        <f>D147</f>
        <v>1513</v>
      </c>
      <c r="K104" s="1">
        <v>4</v>
      </c>
      <c r="L104">
        <v>2003</v>
      </c>
    </row>
    <row r="105" spans="1:17" ht="12.75">
      <c r="A105" s="26" t="s">
        <v>523</v>
      </c>
      <c r="B105" s="26"/>
      <c r="C105" s="26"/>
      <c r="D105" s="26">
        <f>N17</f>
        <v>279</v>
      </c>
      <c r="E105" s="26"/>
      <c r="F105" s="26"/>
      <c r="G105" t="str">
        <f>A150</f>
        <v>Ecole Lord Tweedsmuir</v>
      </c>
      <c r="I105">
        <f>D162</f>
        <v>2818</v>
      </c>
      <c r="K105" s="1">
        <v>5</v>
      </c>
      <c r="L105">
        <v>1513</v>
      </c>
      <c r="O105" s="14"/>
    </row>
    <row r="106" spans="1:17" ht="12.75">
      <c r="A106" s="26" t="s">
        <v>524</v>
      </c>
      <c r="B106" s="26"/>
      <c r="C106" s="26"/>
      <c r="D106" s="26">
        <f t="shared" ref="D106:D108" si="1">N6</f>
        <v>153</v>
      </c>
      <c r="E106" s="26"/>
      <c r="F106" s="26"/>
      <c r="G106" t="str">
        <f>A165</f>
        <v>Ecole Panorama Ridge</v>
      </c>
      <c r="I106">
        <f>D175</f>
        <v>1760</v>
      </c>
      <c r="K106" s="1">
        <v>6</v>
      </c>
      <c r="L106">
        <v>2753</v>
      </c>
    </row>
    <row r="107" spans="1:17" ht="12.75">
      <c r="A107" s="26" t="s">
        <v>525</v>
      </c>
      <c r="B107" s="26"/>
      <c r="C107" s="26"/>
      <c r="D107" s="26">
        <f t="shared" si="1"/>
        <v>305</v>
      </c>
      <c r="E107" s="26"/>
      <c r="F107" s="26"/>
      <c r="G107" t="str">
        <f>A178</f>
        <v>Enver Creek Secondary</v>
      </c>
      <c r="I107">
        <f>D187</f>
        <v>1655</v>
      </c>
      <c r="K107" s="1">
        <v>7</v>
      </c>
      <c r="L107">
        <v>1760</v>
      </c>
    </row>
    <row r="108" spans="1:17" ht="12.75">
      <c r="A108" s="26" t="s">
        <v>526</v>
      </c>
      <c r="B108" s="26"/>
      <c r="C108" s="26"/>
      <c r="D108" s="26">
        <f t="shared" si="1"/>
        <v>153</v>
      </c>
      <c r="E108" s="26"/>
      <c r="F108" s="26"/>
      <c r="G108" t="str">
        <f>A190</f>
        <v>Fleetwood Park Secondary</v>
      </c>
      <c r="I108">
        <f>D198</f>
        <v>1277</v>
      </c>
      <c r="K108" s="1">
        <v>8</v>
      </c>
      <c r="L108">
        <v>1655</v>
      </c>
    </row>
    <row r="109" spans="1:17" ht="12.75">
      <c r="A109" s="26" t="s">
        <v>527</v>
      </c>
      <c r="B109" s="26"/>
      <c r="C109" s="26"/>
      <c r="D109" s="26">
        <f>N19</f>
        <v>493</v>
      </c>
      <c r="E109" s="26"/>
      <c r="F109" s="26"/>
      <c r="G109" t="str">
        <f>A201</f>
        <v>Frank Hurt Secondary</v>
      </c>
      <c r="I109">
        <f>D210</f>
        <v>3000</v>
      </c>
      <c r="K109" s="1">
        <v>9</v>
      </c>
      <c r="L109">
        <v>1277</v>
      </c>
    </row>
    <row r="110" spans="1:17" ht="12.75">
      <c r="A110" s="26" t="s">
        <v>528</v>
      </c>
      <c r="B110" s="26"/>
      <c r="C110" s="26"/>
      <c r="D110" s="26">
        <f>N5</f>
        <v>393</v>
      </c>
      <c r="E110" s="26"/>
      <c r="F110" s="26"/>
      <c r="G110" t="str">
        <f>A213</f>
        <v>Guildford Park Secondary</v>
      </c>
      <c r="I110">
        <f>D225</f>
        <v>2196</v>
      </c>
      <c r="K110" s="1">
        <v>10</v>
      </c>
      <c r="L110">
        <v>3000</v>
      </c>
    </row>
    <row r="111" spans="1:17" ht="15">
      <c r="A111" s="64" t="s">
        <v>529</v>
      </c>
      <c r="B111" s="26"/>
      <c r="C111" s="26"/>
      <c r="D111" s="65">
        <f>SUM(D102:D110)</f>
        <v>2329</v>
      </c>
      <c r="E111" s="26"/>
      <c r="F111" s="26"/>
      <c r="G111" t="str">
        <f>A228</f>
        <v>Johnston Heights Secondary</v>
      </c>
      <c r="I111">
        <f>D233</f>
        <v>1971</v>
      </c>
      <c r="K111" s="1">
        <v>11</v>
      </c>
      <c r="L111">
        <v>2196</v>
      </c>
    </row>
    <row r="112" spans="1:17" ht="12.75">
      <c r="A112" s="26"/>
      <c r="E112" s="26"/>
      <c r="F112" s="26"/>
      <c r="G112" t="str">
        <f>A236</f>
        <v>L. A. Matheson Secondary</v>
      </c>
      <c r="I112">
        <f>D243</f>
        <v>2311</v>
      </c>
      <c r="K112" s="1">
        <v>12</v>
      </c>
      <c r="L112">
        <v>1971</v>
      </c>
    </row>
    <row r="113" spans="1:12" ht="15">
      <c r="A113" s="64" t="s">
        <v>59</v>
      </c>
      <c r="B113" s="65" t="s">
        <v>517</v>
      </c>
      <c r="C113" s="65" t="s">
        <v>518</v>
      </c>
      <c r="D113" s="65" t="s">
        <v>519</v>
      </c>
      <c r="E113" s="26"/>
      <c r="F113" s="26"/>
      <c r="G113" t="str">
        <f>A245</f>
        <v>North Surrey Secondary</v>
      </c>
      <c r="I113">
        <f>D251</f>
        <v>2929</v>
      </c>
      <c r="K113" s="1">
        <v>13</v>
      </c>
      <c r="L113">
        <v>2311</v>
      </c>
    </row>
    <row r="114" spans="1:12" ht="12.75">
      <c r="A114" s="26" t="s">
        <v>530</v>
      </c>
      <c r="B114" s="26">
        <v>181.07</v>
      </c>
      <c r="C114" s="26">
        <v>1</v>
      </c>
      <c r="D114">
        <f>Q11</f>
        <v>266</v>
      </c>
      <c r="E114" s="26"/>
      <c r="F114" s="26"/>
      <c r="G114" t="str">
        <f>A253</f>
        <v>Princess Margaret Secondary</v>
      </c>
      <c r="I114">
        <f>D259</f>
        <v>2210</v>
      </c>
      <c r="K114" s="1">
        <v>14</v>
      </c>
      <c r="L114">
        <v>2929</v>
      </c>
    </row>
    <row r="115" spans="1:12" ht="14.25">
      <c r="A115" s="26" t="s">
        <v>531</v>
      </c>
      <c r="B115" s="67">
        <v>181.03</v>
      </c>
      <c r="C115" s="67">
        <v>0.5</v>
      </c>
      <c r="D115" s="67">
        <v>173</v>
      </c>
      <c r="E115" s="26"/>
      <c r="F115" s="26"/>
      <c r="G115" t="str">
        <f>A261</f>
        <v>Queen Elizabeth Secondary</v>
      </c>
      <c r="I115">
        <f>D268</f>
        <v>2670</v>
      </c>
      <c r="K115" s="1">
        <v>15</v>
      </c>
      <c r="L115">
        <v>2210</v>
      </c>
    </row>
    <row r="116" spans="1:12" ht="14.25">
      <c r="A116" s="26" t="s">
        <v>532</v>
      </c>
      <c r="B116" s="67">
        <v>181.12</v>
      </c>
      <c r="C116" s="67">
        <v>0.5</v>
      </c>
      <c r="D116" s="67">
        <v>152</v>
      </c>
      <c r="E116" s="26"/>
      <c r="F116" s="26"/>
      <c r="G116" t="str">
        <f>A270</f>
        <v>Semiahmoo Secondary</v>
      </c>
      <c r="I116">
        <f>D275</f>
        <v>1233</v>
      </c>
      <c r="K116" s="1">
        <v>16</v>
      </c>
      <c r="L116">
        <v>2670</v>
      </c>
    </row>
    <row r="117" spans="1:12" ht="14.25">
      <c r="A117" s="26" t="s">
        <v>533</v>
      </c>
      <c r="B117" s="67">
        <v>181.08</v>
      </c>
      <c r="C117" s="67">
        <v>1</v>
      </c>
      <c r="D117" s="67">
        <f>Q12</f>
        <v>161</v>
      </c>
      <c r="E117" s="26"/>
      <c r="F117" s="26"/>
      <c r="G117" t="str">
        <f>A277</f>
        <v>Sullivan Heights Secondary</v>
      </c>
      <c r="I117">
        <f>D282</f>
        <v>1639</v>
      </c>
      <c r="K117" s="1">
        <v>17</v>
      </c>
      <c r="L117">
        <v>1233</v>
      </c>
    </row>
    <row r="118" spans="1:12" ht="14.25">
      <c r="A118" s="26"/>
      <c r="B118" s="68">
        <v>181.03</v>
      </c>
      <c r="C118" s="68">
        <v>0.5</v>
      </c>
      <c r="D118" s="68">
        <v>173</v>
      </c>
      <c r="E118" s="26"/>
      <c r="F118" s="26"/>
      <c r="G118" t="str">
        <f>A284</f>
        <v>Tamanawis Secondary</v>
      </c>
      <c r="I118">
        <f>D290</f>
        <v>2440</v>
      </c>
      <c r="K118" s="1">
        <v>18</v>
      </c>
      <c r="L118">
        <v>1639</v>
      </c>
    </row>
    <row r="119" spans="1:12" ht="14.25">
      <c r="A119" s="26"/>
      <c r="B119" s="68">
        <v>181.09</v>
      </c>
      <c r="C119" s="68">
        <v>1</v>
      </c>
      <c r="D119" s="68">
        <f>T12</f>
        <v>561</v>
      </c>
      <c r="E119" s="26"/>
      <c r="F119" s="26"/>
      <c r="G119" t="str">
        <f>A292</f>
        <v>Clayton Heights Secondary</v>
      </c>
      <c r="I119">
        <f>D299</f>
        <v>2497</v>
      </c>
      <c r="K119" s="1">
        <v>19</v>
      </c>
      <c r="L119">
        <v>2440</v>
      </c>
    </row>
    <row r="120" spans="1:12" ht="15">
      <c r="A120" s="64" t="s">
        <v>529</v>
      </c>
      <c r="B120" s="26"/>
      <c r="C120" s="26"/>
      <c r="D120" s="65">
        <f>SUM(D114:D119)</f>
        <v>1486</v>
      </c>
      <c r="E120" s="26"/>
      <c r="F120" s="26"/>
    </row>
    <row r="121" spans="1:12" ht="15">
      <c r="A121" s="64"/>
      <c r="B121" s="65"/>
      <c r="C121" s="65"/>
      <c r="D121" s="65"/>
      <c r="E121" s="26"/>
      <c r="F121" s="26"/>
    </row>
    <row r="122" spans="1:12" ht="15">
      <c r="A122" s="64"/>
      <c r="E122" s="26"/>
      <c r="F122" s="26"/>
    </row>
    <row r="123" spans="1:12" ht="15">
      <c r="A123" s="64" t="s">
        <v>78</v>
      </c>
      <c r="B123" s="65" t="s">
        <v>517</v>
      </c>
      <c r="C123" s="65" t="s">
        <v>518</v>
      </c>
      <c r="D123" s="65" t="s">
        <v>519</v>
      </c>
      <c r="E123" s="26"/>
      <c r="F123" s="26"/>
    </row>
    <row r="124" spans="1:12" ht="14.25">
      <c r="A124" s="26" t="s">
        <v>534</v>
      </c>
      <c r="B124" s="69">
        <v>188.01</v>
      </c>
      <c r="C124" s="69">
        <v>1</v>
      </c>
      <c r="D124" s="69">
        <f>Q79</f>
        <v>272</v>
      </c>
      <c r="E124" s="26"/>
      <c r="F124" s="26"/>
    </row>
    <row r="125" spans="1:12" ht="14.25">
      <c r="A125" s="26"/>
      <c r="B125" s="69">
        <v>188.02</v>
      </c>
      <c r="C125" s="69">
        <v>0.75</v>
      </c>
      <c r="D125" s="69">
        <v>305</v>
      </c>
      <c r="E125" s="26"/>
      <c r="F125" s="26"/>
    </row>
    <row r="126" spans="1:12" ht="14.25">
      <c r="A126" s="26" t="s">
        <v>535</v>
      </c>
      <c r="B126" s="69">
        <v>188.02</v>
      </c>
      <c r="C126" s="69">
        <v>0.25</v>
      </c>
      <c r="D126" s="69">
        <v>102</v>
      </c>
      <c r="E126" s="26"/>
      <c r="F126" s="26"/>
    </row>
    <row r="127" spans="1:12" ht="14.25">
      <c r="A127" s="26"/>
      <c r="B127" s="69">
        <v>188.08</v>
      </c>
      <c r="C127" s="69">
        <v>0.5</v>
      </c>
      <c r="D127" s="69">
        <v>276</v>
      </c>
      <c r="E127" s="26"/>
      <c r="F127" s="26"/>
    </row>
    <row r="128" spans="1:12" ht="14.25">
      <c r="A128" s="26"/>
      <c r="B128" s="69">
        <v>188.07</v>
      </c>
      <c r="C128" s="69">
        <v>0.25</v>
      </c>
      <c r="D128" s="69">
        <v>116</v>
      </c>
      <c r="E128" s="26"/>
      <c r="F128" s="26"/>
    </row>
    <row r="129" spans="1:26" ht="14.25">
      <c r="A129" s="26" t="s">
        <v>536</v>
      </c>
      <c r="B129" s="69">
        <v>188.07</v>
      </c>
      <c r="C129" s="69">
        <v>0.75</v>
      </c>
      <c r="D129" s="69">
        <v>347</v>
      </c>
      <c r="E129" s="26"/>
      <c r="F129" s="26"/>
    </row>
    <row r="130" spans="1:26" ht="14.25">
      <c r="A130" s="26"/>
      <c r="B130" s="69">
        <v>188.08</v>
      </c>
      <c r="C130" s="69">
        <v>0.5</v>
      </c>
      <c r="D130" s="69">
        <v>276</v>
      </c>
      <c r="E130" s="26"/>
      <c r="F130" s="26"/>
    </row>
    <row r="131" spans="1:26" ht="14.25">
      <c r="A131" s="26" t="s">
        <v>537</v>
      </c>
      <c r="B131" s="69">
        <v>188.05</v>
      </c>
      <c r="C131" s="69">
        <v>1</v>
      </c>
      <c r="D131" s="69">
        <f>Q81</f>
        <v>215</v>
      </c>
      <c r="E131" s="26"/>
      <c r="F131" s="26"/>
    </row>
    <row r="132" spans="1:26" ht="14.25">
      <c r="A132" s="26"/>
      <c r="B132" s="69">
        <v>188.06</v>
      </c>
      <c r="C132" s="69">
        <v>0.8</v>
      </c>
      <c r="D132" s="69">
        <v>94</v>
      </c>
      <c r="E132" s="26"/>
      <c r="F132" s="26"/>
    </row>
    <row r="133" spans="1:26" ht="12.75">
      <c r="A133" s="65" t="s">
        <v>529</v>
      </c>
      <c r="B133" s="65"/>
      <c r="C133" s="65"/>
      <c r="D133" s="65">
        <f>SUM(D124:D132)</f>
        <v>2003</v>
      </c>
      <c r="E133" s="65"/>
      <c r="F133" s="6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2.75">
      <c r="A134" s="26"/>
      <c r="B134" s="26"/>
      <c r="C134" s="26"/>
      <c r="D134" s="26"/>
      <c r="E134" s="26"/>
      <c r="F134" s="26"/>
    </row>
    <row r="135" spans="1:26" ht="15">
      <c r="A135" s="64"/>
      <c r="E135" s="26"/>
      <c r="F135" s="26"/>
    </row>
    <row r="136" spans="1:26" ht="15">
      <c r="A136" s="64" t="s">
        <v>81</v>
      </c>
      <c r="B136" s="65" t="s">
        <v>517</v>
      </c>
      <c r="C136" s="65" t="s">
        <v>518</v>
      </c>
      <c r="D136" s="65" t="s">
        <v>519</v>
      </c>
      <c r="E136" s="26"/>
      <c r="F136" s="26"/>
    </row>
    <row r="137" spans="1:26" ht="15">
      <c r="A137" s="26" t="s">
        <v>538</v>
      </c>
      <c r="B137" s="12">
        <v>192</v>
      </c>
      <c r="C137" s="12">
        <v>0.66700000000000004</v>
      </c>
      <c r="D137" s="12">
        <v>181</v>
      </c>
      <c r="E137" s="26"/>
      <c r="F137" s="26"/>
    </row>
    <row r="138" spans="1:26" ht="15">
      <c r="A138" s="26" t="s">
        <v>539</v>
      </c>
      <c r="B138" s="12">
        <v>191.05</v>
      </c>
      <c r="C138" s="12">
        <v>1</v>
      </c>
      <c r="D138" s="12">
        <f>Q95</f>
        <v>109</v>
      </c>
    </row>
    <row r="139" spans="1:26" ht="15">
      <c r="A139" s="26"/>
      <c r="B139" s="12">
        <v>191.07</v>
      </c>
      <c r="C139" s="12">
        <v>1</v>
      </c>
      <c r="D139" s="12">
        <f>T95</f>
        <v>166</v>
      </c>
      <c r="E139" s="26"/>
      <c r="F139" s="26"/>
    </row>
    <row r="140" spans="1:26" ht="15">
      <c r="A140" s="26"/>
      <c r="B140" s="12">
        <v>191.06</v>
      </c>
      <c r="C140" s="12">
        <v>0.5</v>
      </c>
      <c r="D140" s="12">
        <v>38</v>
      </c>
      <c r="E140" s="26"/>
      <c r="F140" s="26"/>
    </row>
    <row r="141" spans="1:26" ht="15">
      <c r="A141" s="26" t="s">
        <v>540</v>
      </c>
      <c r="B141" s="12">
        <v>191.03</v>
      </c>
      <c r="C141" s="12">
        <v>0.5</v>
      </c>
      <c r="D141" s="12">
        <v>178</v>
      </c>
    </row>
    <row r="142" spans="1:26" ht="15">
      <c r="A142" s="26"/>
      <c r="B142" s="12">
        <v>191.04</v>
      </c>
      <c r="C142" s="12">
        <v>0.5</v>
      </c>
      <c r="D142" s="12">
        <v>177</v>
      </c>
      <c r="E142" s="26"/>
      <c r="F142" s="26"/>
    </row>
    <row r="143" spans="1:26" ht="15">
      <c r="A143" s="26" t="s">
        <v>541</v>
      </c>
      <c r="B143" s="12">
        <v>191.06</v>
      </c>
      <c r="C143" s="12">
        <v>0.5</v>
      </c>
      <c r="D143" s="12">
        <v>38</v>
      </c>
    </row>
    <row r="144" spans="1:26" ht="15">
      <c r="A144" s="26"/>
      <c r="B144" s="12">
        <v>190.05</v>
      </c>
      <c r="C144" s="12">
        <v>1</v>
      </c>
      <c r="D144" s="12">
        <f>T96</f>
        <v>135</v>
      </c>
      <c r="E144" s="26"/>
      <c r="F144" s="26"/>
    </row>
    <row r="145" spans="1:6" ht="15">
      <c r="A145" s="26"/>
      <c r="B145" s="12">
        <v>190.03</v>
      </c>
      <c r="C145" s="12">
        <v>0.33300000000000002</v>
      </c>
      <c r="D145" s="12">
        <v>178</v>
      </c>
      <c r="E145" s="26"/>
      <c r="F145" s="26"/>
    </row>
    <row r="146" spans="1:6" ht="15">
      <c r="A146" s="26" t="s">
        <v>542</v>
      </c>
      <c r="B146" s="12">
        <v>190.04</v>
      </c>
      <c r="C146" s="12">
        <v>0.6</v>
      </c>
      <c r="D146" s="12">
        <v>313</v>
      </c>
      <c r="E146" s="26"/>
      <c r="F146" s="26"/>
    </row>
    <row r="147" spans="1:6" ht="12.75">
      <c r="A147" s="65" t="s">
        <v>529</v>
      </c>
      <c r="B147" s="26"/>
      <c r="C147" s="26"/>
      <c r="D147" s="65">
        <f>SUM(D137:D146)</f>
        <v>1513</v>
      </c>
      <c r="E147" s="26"/>
      <c r="F147" s="26"/>
    </row>
    <row r="148" spans="1:6" ht="12.75">
      <c r="A148" s="26"/>
      <c r="B148" s="26"/>
      <c r="C148" s="26"/>
      <c r="D148" s="26"/>
      <c r="E148" s="26"/>
      <c r="F148" s="26"/>
    </row>
    <row r="149" spans="1:6" ht="15">
      <c r="A149" s="64"/>
      <c r="E149" s="26"/>
      <c r="F149" s="26"/>
    </row>
    <row r="150" spans="1:6" ht="15">
      <c r="A150" s="64" t="s">
        <v>82</v>
      </c>
      <c r="B150" s="65" t="s">
        <v>517</v>
      </c>
      <c r="C150" s="65" t="s">
        <v>518</v>
      </c>
      <c r="D150" s="65" t="s">
        <v>519</v>
      </c>
      <c r="E150" s="26"/>
      <c r="F150" s="26"/>
    </row>
    <row r="151" spans="1:6" ht="15">
      <c r="A151" s="70" t="s">
        <v>543</v>
      </c>
      <c r="B151" s="12">
        <v>182.02</v>
      </c>
      <c r="C151" s="12">
        <v>0.5</v>
      </c>
      <c r="D151" s="12">
        <v>399</v>
      </c>
      <c r="E151" s="26"/>
      <c r="F151" s="26"/>
    </row>
    <row r="152" spans="1:6" ht="17.25">
      <c r="A152" s="70" t="s">
        <v>544</v>
      </c>
      <c r="B152" s="12">
        <v>182.02</v>
      </c>
      <c r="C152" s="12">
        <v>0.5</v>
      </c>
      <c r="D152" s="4">
        <v>399</v>
      </c>
      <c r="E152" s="26"/>
      <c r="F152" s="26"/>
    </row>
    <row r="153" spans="1:6" ht="17.25">
      <c r="A153" s="70" t="s">
        <v>545</v>
      </c>
      <c r="B153" s="12">
        <v>183.01</v>
      </c>
      <c r="C153" s="12">
        <v>1</v>
      </c>
      <c r="D153" s="4">
        <v>464</v>
      </c>
      <c r="E153" s="26"/>
      <c r="F153" s="26"/>
    </row>
    <row r="154" spans="1:6" ht="15">
      <c r="A154" s="26" t="s">
        <v>546</v>
      </c>
      <c r="B154" s="12">
        <v>183.05</v>
      </c>
      <c r="C154" s="12">
        <v>0.5</v>
      </c>
      <c r="D154" s="12">
        <v>516</v>
      </c>
      <c r="E154" s="26"/>
      <c r="F154" s="26"/>
    </row>
    <row r="155" spans="1:6" ht="15">
      <c r="A155" s="26" t="s">
        <v>547</v>
      </c>
      <c r="B155" s="12">
        <v>183.03</v>
      </c>
      <c r="C155" s="12">
        <v>0.5</v>
      </c>
      <c r="D155" s="12">
        <v>171</v>
      </c>
    </row>
    <row r="156" spans="1:6" ht="15">
      <c r="A156" s="26"/>
      <c r="B156" s="12">
        <v>183.07</v>
      </c>
      <c r="C156" s="12">
        <v>0.2</v>
      </c>
      <c r="D156" s="12">
        <v>166</v>
      </c>
      <c r="E156" s="26"/>
      <c r="F156" s="26"/>
    </row>
    <row r="157" spans="1:6" ht="15">
      <c r="A157" s="26" t="s">
        <v>548</v>
      </c>
      <c r="B157" s="12">
        <v>183.03</v>
      </c>
      <c r="C157" s="12">
        <v>0.5</v>
      </c>
      <c r="D157" s="12">
        <v>171</v>
      </c>
    </row>
    <row r="158" spans="1:6" ht="15">
      <c r="A158" s="26"/>
      <c r="B158" s="12">
        <v>183.07</v>
      </c>
      <c r="C158" s="12">
        <v>0.1</v>
      </c>
      <c r="D158" s="12">
        <v>83</v>
      </c>
      <c r="E158" s="26"/>
      <c r="F158" s="26"/>
    </row>
    <row r="159" spans="1:6" ht="15">
      <c r="A159" s="26"/>
      <c r="B159" s="12">
        <v>182.01</v>
      </c>
      <c r="C159" s="12">
        <v>0.25</v>
      </c>
      <c r="D159" s="12">
        <v>100</v>
      </c>
      <c r="E159" s="26"/>
      <c r="F159" s="26"/>
    </row>
    <row r="160" spans="1:6" ht="15">
      <c r="A160" s="26" t="s">
        <v>549</v>
      </c>
      <c r="B160" s="12">
        <v>182.01</v>
      </c>
      <c r="C160" s="12">
        <v>0.25</v>
      </c>
      <c r="D160" s="12">
        <v>100</v>
      </c>
    </row>
    <row r="161" spans="1:6" ht="15">
      <c r="A161" s="26"/>
      <c r="B161" s="12">
        <v>183.07</v>
      </c>
      <c r="C161" s="12">
        <v>0.3</v>
      </c>
      <c r="D161" s="12">
        <v>249</v>
      </c>
      <c r="E161" s="26"/>
      <c r="F161" s="26"/>
    </row>
    <row r="162" spans="1:6" ht="12.75">
      <c r="A162" s="65" t="s">
        <v>529</v>
      </c>
      <c r="B162" s="26"/>
      <c r="C162" s="26"/>
      <c r="D162" s="65">
        <f>SUM(D151:D161)</f>
        <v>2818</v>
      </c>
      <c r="E162" s="26"/>
      <c r="F162" s="26"/>
    </row>
    <row r="163" spans="1:6" ht="12.75">
      <c r="A163" s="26"/>
      <c r="B163" s="26"/>
      <c r="C163" s="26"/>
      <c r="D163" s="26"/>
      <c r="E163" s="26"/>
      <c r="F163" s="26"/>
    </row>
    <row r="164" spans="1:6" ht="15">
      <c r="A164" s="64"/>
      <c r="E164" s="26"/>
      <c r="F164" s="26"/>
    </row>
    <row r="165" spans="1:6" ht="15">
      <c r="A165" s="64" t="s">
        <v>148</v>
      </c>
      <c r="B165" s="65" t="s">
        <v>517</v>
      </c>
      <c r="C165" s="65" t="s">
        <v>518</v>
      </c>
      <c r="D165" s="65" t="s">
        <v>519</v>
      </c>
      <c r="E165" s="26"/>
      <c r="F165" s="26"/>
    </row>
    <row r="166" spans="1:6" ht="15">
      <c r="A166" s="26" t="s">
        <v>550</v>
      </c>
      <c r="B166" s="12">
        <v>185.18</v>
      </c>
      <c r="C166" s="12">
        <v>0.33300000000000002</v>
      </c>
      <c r="D166" s="12">
        <v>124</v>
      </c>
    </row>
    <row r="167" spans="1:6" ht="15">
      <c r="A167" s="26"/>
      <c r="B167" s="12">
        <v>185.08</v>
      </c>
      <c r="C167" s="12">
        <v>1</v>
      </c>
      <c r="D167" s="12">
        <f>T58</f>
        <v>113</v>
      </c>
      <c r="E167" s="26"/>
      <c r="F167" s="26"/>
    </row>
    <row r="168" spans="1:6" ht="15">
      <c r="A168" s="26"/>
      <c r="B168" s="12">
        <v>185.07</v>
      </c>
      <c r="C168" s="12">
        <v>0.33300000000000002</v>
      </c>
      <c r="D168" s="12">
        <v>303</v>
      </c>
      <c r="E168" s="26"/>
      <c r="F168" s="26"/>
    </row>
    <row r="169" spans="1:6" ht="12.75">
      <c r="A169" s="26" t="s">
        <v>551</v>
      </c>
      <c r="B169" s="56">
        <v>185.07</v>
      </c>
      <c r="C169" s="56">
        <v>0.33300000000000002</v>
      </c>
      <c r="D169" s="26">
        <v>303</v>
      </c>
      <c r="E169" s="26"/>
      <c r="F169" s="26"/>
    </row>
    <row r="170" spans="1:6" ht="15">
      <c r="A170" s="26" t="s">
        <v>552</v>
      </c>
      <c r="B170" s="12">
        <v>185.12</v>
      </c>
      <c r="C170" s="12">
        <v>0.5</v>
      </c>
      <c r="D170" s="12">
        <v>265</v>
      </c>
    </row>
    <row r="171" spans="1:6" ht="15">
      <c r="A171" s="26"/>
      <c r="B171" s="12">
        <v>185.05</v>
      </c>
      <c r="C171" s="12">
        <v>0.2</v>
      </c>
      <c r="D171" s="12">
        <v>126</v>
      </c>
      <c r="E171" s="26"/>
      <c r="F171" s="26"/>
    </row>
    <row r="172" spans="1:6" ht="15">
      <c r="A172" s="26" t="s">
        <v>553</v>
      </c>
      <c r="B172" s="12">
        <v>185.07</v>
      </c>
      <c r="C172" s="12">
        <v>0.33300000000000002</v>
      </c>
      <c r="D172" s="12">
        <v>303</v>
      </c>
    </row>
    <row r="173" spans="1:6" ht="15">
      <c r="A173" s="26"/>
      <c r="B173" s="12">
        <v>184.12</v>
      </c>
      <c r="C173" s="12">
        <v>0.2</v>
      </c>
      <c r="D173" s="12">
        <v>154</v>
      </c>
      <c r="E173" s="26"/>
      <c r="F173" s="26"/>
    </row>
    <row r="174" spans="1:6" ht="15">
      <c r="A174" s="26"/>
      <c r="B174" s="12">
        <v>184.13</v>
      </c>
      <c r="C174" s="12">
        <v>0.2</v>
      </c>
      <c r="D174" s="12">
        <v>69</v>
      </c>
      <c r="E174" s="26"/>
      <c r="F174" s="26"/>
    </row>
    <row r="175" spans="1:6" ht="12.75">
      <c r="A175" s="65" t="s">
        <v>529</v>
      </c>
      <c r="B175" s="26"/>
      <c r="C175" s="26"/>
      <c r="D175" s="65">
        <f>SUM(D166:D174)</f>
        <v>1760</v>
      </c>
      <c r="E175" s="26"/>
      <c r="F175" s="26"/>
    </row>
    <row r="176" spans="1:6" ht="12.75">
      <c r="A176" s="26"/>
      <c r="B176" s="26"/>
      <c r="C176" s="26"/>
      <c r="D176" s="26"/>
      <c r="E176" s="26"/>
      <c r="F176" s="26"/>
    </row>
    <row r="177" spans="1:6" ht="15">
      <c r="A177" s="64"/>
      <c r="E177" s="26"/>
      <c r="F177" s="26"/>
    </row>
    <row r="178" spans="1:6" ht="15">
      <c r="A178" s="64" t="s">
        <v>205</v>
      </c>
      <c r="B178" s="65" t="s">
        <v>517</v>
      </c>
      <c r="C178" s="65" t="s">
        <v>518</v>
      </c>
      <c r="D178" s="65" t="s">
        <v>519</v>
      </c>
      <c r="E178" s="26"/>
      <c r="F178" s="26"/>
    </row>
    <row r="179" spans="1:6" ht="15">
      <c r="A179" s="26" t="s">
        <v>554</v>
      </c>
      <c r="B179" s="12">
        <v>184.16</v>
      </c>
      <c r="C179" s="12">
        <v>0.15</v>
      </c>
      <c r="D179" s="12">
        <v>38</v>
      </c>
    </row>
    <row r="180" spans="1:6" ht="15">
      <c r="A180" s="26"/>
      <c r="B180" s="12">
        <v>184.15</v>
      </c>
      <c r="C180" s="12">
        <v>1</v>
      </c>
      <c r="D180" s="12">
        <f>T45</f>
        <v>276</v>
      </c>
      <c r="E180" s="26"/>
      <c r="F180" s="26"/>
    </row>
    <row r="181" spans="1:6" ht="15">
      <c r="A181" s="26"/>
      <c r="B181" s="12">
        <v>184.09</v>
      </c>
      <c r="C181" s="12">
        <v>0.5</v>
      </c>
      <c r="D181" s="12">
        <v>184</v>
      </c>
      <c r="E181" s="26"/>
      <c r="F181" s="26"/>
    </row>
    <row r="182" spans="1:6" ht="15">
      <c r="A182" s="26" t="s">
        <v>555</v>
      </c>
      <c r="B182" s="12">
        <v>187.03</v>
      </c>
      <c r="C182" s="12">
        <v>0.5</v>
      </c>
      <c r="D182" s="12">
        <v>223</v>
      </c>
    </row>
    <row r="183" spans="1:6" ht="15">
      <c r="A183" s="26"/>
      <c r="B183" s="12">
        <v>187.05</v>
      </c>
      <c r="C183" s="12">
        <v>0.25</v>
      </c>
      <c r="D183" s="12">
        <v>140</v>
      </c>
      <c r="E183" s="26"/>
      <c r="F183" s="26"/>
    </row>
    <row r="184" spans="1:6" ht="15">
      <c r="A184" s="26" t="s">
        <v>556</v>
      </c>
      <c r="B184" s="12">
        <v>184.1</v>
      </c>
      <c r="C184" s="12">
        <v>0.5</v>
      </c>
      <c r="D184" s="12">
        <v>305</v>
      </c>
      <c r="E184" s="26"/>
      <c r="F184" s="26"/>
    </row>
    <row r="185" spans="1:6" ht="15">
      <c r="A185" s="26" t="s">
        <v>557</v>
      </c>
      <c r="B185" s="12">
        <v>184.09</v>
      </c>
      <c r="C185" s="12">
        <v>0.5</v>
      </c>
      <c r="D185" s="12">
        <v>184</v>
      </c>
    </row>
    <row r="186" spans="1:6" ht="15">
      <c r="A186" s="26"/>
      <c r="B186" s="12">
        <v>184.1</v>
      </c>
      <c r="C186" s="12">
        <v>0.5</v>
      </c>
      <c r="D186" s="12">
        <v>305</v>
      </c>
      <c r="E186" s="26"/>
      <c r="F186" s="26"/>
    </row>
    <row r="187" spans="1:6" ht="12.75">
      <c r="A187" s="65" t="s">
        <v>529</v>
      </c>
      <c r="B187" s="26"/>
      <c r="C187" s="26"/>
      <c r="D187" s="65">
        <f>SUM(D179:D186)</f>
        <v>1655</v>
      </c>
      <c r="E187" s="26"/>
      <c r="F187" s="26"/>
    </row>
    <row r="188" spans="1:6" ht="12.75">
      <c r="A188" s="26"/>
      <c r="B188" s="26"/>
      <c r="C188" s="26"/>
      <c r="D188" s="26"/>
      <c r="E188" s="26"/>
      <c r="F188" s="26"/>
    </row>
    <row r="189" spans="1:6" ht="15">
      <c r="A189" s="64"/>
      <c r="E189" s="26"/>
      <c r="F189" s="26"/>
    </row>
    <row r="190" spans="1:6" ht="15">
      <c r="A190" s="64" t="s">
        <v>208</v>
      </c>
      <c r="B190" s="65" t="s">
        <v>517</v>
      </c>
      <c r="C190" s="65" t="s">
        <v>518</v>
      </c>
      <c r="D190" s="65" t="s">
        <v>519</v>
      </c>
      <c r="E190" s="26"/>
      <c r="F190" s="26"/>
    </row>
    <row r="191" spans="1:6" ht="15">
      <c r="A191" s="26" t="s">
        <v>558</v>
      </c>
      <c r="B191" s="12">
        <v>182.04</v>
      </c>
      <c r="C191" s="12">
        <v>1</v>
      </c>
      <c r="D191" s="12">
        <f>N22</f>
        <v>437</v>
      </c>
    </row>
    <row r="192" spans="1:6" ht="15">
      <c r="A192" s="26"/>
      <c r="B192" s="12">
        <v>187.16</v>
      </c>
      <c r="C192" s="12">
        <v>0.66700000000000004</v>
      </c>
      <c r="D192" s="12"/>
      <c r="E192" s="26"/>
      <c r="F192" s="26"/>
    </row>
    <row r="193" spans="1:6" ht="15">
      <c r="A193" s="26" t="s">
        <v>559</v>
      </c>
      <c r="B193" s="12">
        <v>187.13</v>
      </c>
      <c r="C193" s="12">
        <v>1</v>
      </c>
      <c r="D193" s="12">
        <f>N77</f>
        <v>229</v>
      </c>
    </row>
    <row r="194" spans="1:6" ht="15">
      <c r="A194" s="26"/>
      <c r="B194" s="12">
        <v>182.03</v>
      </c>
      <c r="C194" s="12">
        <v>0.4</v>
      </c>
      <c r="D194" s="12"/>
      <c r="E194" s="26"/>
      <c r="F194" s="26"/>
    </row>
    <row r="195" spans="1:6" ht="15">
      <c r="A195" s="26" t="s">
        <v>560</v>
      </c>
      <c r="B195" s="12">
        <v>187.16</v>
      </c>
      <c r="C195" s="12">
        <v>0.33300000000000002</v>
      </c>
      <c r="D195" s="12">
        <f>N78</f>
        <v>611</v>
      </c>
    </row>
    <row r="196" spans="1:6" ht="15">
      <c r="A196" s="26"/>
      <c r="B196" s="12">
        <v>187.14</v>
      </c>
      <c r="C196" s="12">
        <v>1</v>
      </c>
      <c r="D196" s="12"/>
      <c r="E196" s="26"/>
      <c r="F196" s="26"/>
    </row>
    <row r="197" spans="1:6" ht="15">
      <c r="A197" s="26"/>
      <c r="B197" s="12">
        <v>187.15</v>
      </c>
      <c r="C197" s="12">
        <v>1</v>
      </c>
      <c r="D197" s="12"/>
      <c r="E197" s="26"/>
      <c r="F197" s="26"/>
    </row>
    <row r="198" spans="1:6" ht="15">
      <c r="A198" s="65" t="s">
        <v>529</v>
      </c>
      <c r="B198" s="12"/>
      <c r="C198" s="12"/>
      <c r="D198" s="71">
        <f>SUM(D191:D197)</f>
        <v>1277</v>
      </c>
      <c r="E198" s="26"/>
      <c r="F198" s="26"/>
    </row>
    <row r="199" spans="1:6" ht="15">
      <c r="A199" s="26"/>
      <c r="B199" s="12"/>
      <c r="C199" s="12"/>
      <c r="D199" s="12"/>
      <c r="E199" s="26"/>
      <c r="F199" s="26"/>
    </row>
    <row r="200" spans="1:6" ht="15">
      <c r="A200" s="64"/>
      <c r="E200" s="26"/>
      <c r="F200" s="26"/>
    </row>
    <row r="201" spans="1:6" ht="15">
      <c r="A201" s="64" t="s">
        <v>212</v>
      </c>
      <c r="B201" s="65" t="s">
        <v>517</v>
      </c>
      <c r="C201" s="65" t="s">
        <v>518</v>
      </c>
      <c r="D201" s="65" t="s">
        <v>519</v>
      </c>
      <c r="E201" s="26"/>
      <c r="F201" s="26"/>
    </row>
    <row r="202" spans="1:6" ht="15">
      <c r="A202" s="26" t="s">
        <v>561</v>
      </c>
      <c r="B202" s="12">
        <v>184.02</v>
      </c>
      <c r="C202" s="12">
        <v>1</v>
      </c>
      <c r="D202" s="12">
        <f>N33</f>
        <v>530</v>
      </c>
    </row>
    <row r="203" spans="1:6" ht="15">
      <c r="A203" s="26"/>
      <c r="B203" s="12">
        <v>184.16</v>
      </c>
      <c r="C203" s="12">
        <v>0.25</v>
      </c>
      <c r="D203" s="12"/>
      <c r="E203" s="26"/>
      <c r="F203" s="26"/>
    </row>
    <row r="204" spans="1:6" ht="15">
      <c r="A204" s="26" t="s">
        <v>562</v>
      </c>
      <c r="B204" s="12">
        <v>184.16</v>
      </c>
      <c r="C204" s="12">
        <v>0.6</v>
      </c>
      <c r="D204" s="12">
        <f>N44</f>
        <v>151</v>
      </c>
      <c r="E204" s="26"/>
      <c r="F204" s="26"/>
    </row>
    <row r="205" spans="1:6" ht="15">
      <c r="A205" s="26" t="s">
        <v>563</v>
      </c>
      <c r="B205" s="12">
        <v>184.06</v>
      </c>
      <c r="C205" s="12">
        <v>0.33300000000000002</v>
      </c>
      <c r="D205" s="12">
        <f>N35</f>
        <v>503</v>
      </c>
    </row>
    <row r="206" spans="1:6" ht="15">
      <c r="A206" s="26"/>
      <c r="B206" s="12">
        <v>184.07</v>
      </c>
      <c r="C206" s="12">
        <v>1</v>
      </c>
      <c r="D206" s="12"/>
      <c r="E206" s="26"/>
      <c r="F206" s="26"/>
    </row>
    <row r="207" spans="1:6" ht="15">
      <c r="A207" s="26" t="s">
        <v>564</v>
      </c>
      <c r="B207" s="12">
        <v>184.06</v>
      </c>
      <c r="C207" s="12">
        <v>0.66700000000000004</v>
      </c>
      <c r="D207" s="12">
        <f>N34</f>
        <v>769</v>
      </c>
    </row>
    <row r="208" spans="1:6" ht="15">
      <c r="A208" s="26"/>
      <c r="B208" s="12">
        <v>182.03</v>
      </c>
      <c r="C208" s="12">
        <v>0.2</v>
      </c>
      <c r="D208" s="12"/>
      <c r="E208" s="26"/>
      <c r="F208" s="26"/>
    </row>
    <row r="209" spans="1:6" ht="15">
      <c r="A209" s="26" t="s">
        <v>565</v>
      </c>
      <c r="B209" s="12">
        <v>184.11</v>
      </c>
      <c r="C209" s="12">
        <v>1</v>
      </c>
      <c r="D209" s="12">
        <f>N39</f>
        <v>1047</v>
      </c>
      <c r="E209" s="26"/>
      <c r="F209" s="26"/>
    </row>
    <row r="210" spans="1:6" ht="12.75">
      <c r="A210" s="65" t="s">
        <v>529</v>
      </c>
      <c r="B210" s="26"/>
      <c r="C210" s="26"/>
      <c r="D210" s="65">
        <f>SUM(D202:D209)</f>
        <v>3000</v>
      </c>
      <c r="E210" s="26"/>
      <c r="F210" s="26"/>
    </row>
    <row r="211" spans="1:6" ht="12.75">
      <c r="A211" s="26"/>
      <c r="B211" s="26"/>
      <c r="C211" s="26"/>
      <c r="D211" s="26"/>
      <c r="E211" s="26"/>
      <c r="F211" s="26"/>
    </row>
    <row r="212" spans="1:6" ht="15">
      <c r="A212" s="64"/>
      <c r="E212" s="26"/>
      <c r="F212" s="26"/>
    </row>
    <row r="213" spans="1:6" ht="15">
      <c r="A213" s="64" t="s">
        <v>216</v>
      </c>
      <c r="B213" s="65" t="s">
        <v>517</v>
      </c>
      <c r="C213" s="65" t="s">
        <v>518</v>
      </c>
      <c r="D213" s="65" t="s">
        <v>519</v>
      </c>
      <c r="E213" s="26"/>
      <c r="F213" s="26"/>
    </row>
    <row r="214" spans="1:6" ht="15">
      <c r="A214" s="26" t="s">
        <v>566</v>
      </c>
      <c r="B214" s="12">
        <v>190.01</v>
      </c>
      <c r="C214" s="12">
        <v>0.75</v>
      </c>
      <c r="D214" s="12">
        <f>N89</f>
        <v>575</v>
      </c>
    </row>
    <row r="215" spans="1:6" ht="15">
      <c r="A215" s="26"/>
      <c r="B215" s="12">
        <v>189.06</v>
      </c>
      <c r="C215" s="12">
        <v>1</v>
      </c>
      <c r="D215" s="12"/>
      <c r="E215" s="26"/>
      <c r="F215" s="26"/>
    </row>
    <row r="216" spans="1:6" ht="15">
      <c r="A216" s="26"/>
      <c r="B216" s="12">
        <v>187.03</v>
      </c>
      <c r="C216" s="12">
        <v>0.25</v>
      </c>
      <c r="D216" s="12"/>
      <c r="E216" s="26"/>
      <c r="F216" s="26"/>
    </row>
    <row r="217" spans="1:6" ht="15">
      <c r="A217" s="26" t="s">
        <v>567</v>
      </c>
      <c r="B217" s="12">
        <v>190.03</v>
      </c>
      <c r="C217" s="12">
        <v>0.8</v>
      </c>
      <c r="D217" s="12">
        <f>N90</f>
        <v>479</v>
      </c>
    </row>
    <row r="218" spans="1:6" ht="15">
      <c r="A218" s="26"/>
      <c r="B218" s="12">
        <v>190.04</v>
      </c>
      <c r="C218" s="12">
        <v>0.1</v>
      </c>
      <c r="D218" s="12"/>
      <c r="E218" s="26"/>
      <c r="F218" s="26"/>
    </row>
    <row r="219" spans="1:6" ht="15">
      <c r="A219" s="26" t="s">
        <v>568</v>
      </c>
      <c r="B219" s="12">
        <v>189.05</v>
      </c>
      <c r="C219" s="12">
        <v>0.33300000000000002</v>
      </c>
      <c r="D219" s="12">
        <f>N85</f>
        <v>273</v>
      </c>
    </row>
    <row r="220" spans="1:6" ht="15">
      <c r="A220" s="26"/>
      <c r="B220" s="12">
        <v>190.03</v>
      </c>
      <c r="C220" s="12">
        <v>0.2</v>
      </c>
      <c r="D220" s="12"/>
      <c r="E220" s="26"/>
      <c r="F220" s="26"/>
    </row>
    <row r="221" spans="1:6" ht="15">
      <c r="A221" s="26" t="s">
        <v>569</v>
      </c>
      <c r="B221" s="12">
        <v>189.08</v>
      </c>
      <c r="C221" s="12">
        <v>1</v>
      </c>
      <c r="D221" s="12">
        <f>N87</f>
        <v>428</v>
      </c>
      <c r="E221" s="26"/>
      <c r="F221" s="26"/>
    </row>
    <row r="222" spans="1:6" ht="15">
      <c r="A222" s="26" t="s">
        <v>570</v>
      </c>
      <c r="B222" s="12">
        <v>189.03</v>
      </c>
      <c r="C222" s="12">
        <v>0.75</v>
      </c>
      <c r="D222" s="12">
        <f>N84</f>
        <v>213</v>
      </c>
      <c r="E222" s="26"/>
      <c r="F222" s="26"/>
    </row>
    <row r="223" spans="1:6" ht="15">
      <c r="A223" s="26" t="s">
        <v>571</v>
      </c>
      <c r="B223" s="12">
        <v>190.04</v>
      </c>
      <c r="C223" s="12">
        <v>0.3</v>
      </c>
      <c r="D223" s="12">
        <f>N91</f>
        <v>228</v>
      </c>
    </row>
    <row r="224" spans="1:6" ht="15">
      <c r="A224" s="26"/>
      <c r="B224" s="12">
        <v>189.03</v>
      </c>
      <c r="C224" s="12">
        <v>0.25</v>
      </c>
      <c r="D224" s="12"/>
      <c r="E224" s="26"/>
      <c r="F224" s="26"/>
    </row>
    <row r="225" spans="1:6" ht="12.75">
      <c r="A225" s="65" t="s">
        <v>529</v>
      </c>
      <c r="B225" s="26"/>
      <c r="C225" s="26"/>
      <c r="D225" s="65">
        <f>SUM(D214:D224)</f>
        <v>2196</v>
      </c>
      <c r="E225" s="26"/>
      <c r="F225" s="26"/>
    </row>
    <row r="226" spans="1:6" ht="15">
      <c r="A226" s="64"/>
      <c r="B226" s="26"/>
      <c r="C226" s="26"/>
      <c r="D226" s="26"/>
      <c r="E226" s="26"/>
      <c r="F226" s="26"/>
    </row>
    <row r="227" spans="1:6" ht="15">
      <c r="A227" s="64"/>
      <c r="E227" s="26"/>
      <c r="F227" s="26"/>
    </row>
    <row r="228" spans="1:6" ht="15">
      <c r="A228" s="64" t="s">
        <v>220</v>
      </c>
      <c r="B228" s="72" t="s">
        <v>517</v>
      </c>
      <c r="C228" s="72" t="s">
        <v>518</v>
      </c>
      <c r="D228" s="72" t="s">
        <v>519</v>
      </c>
      <c r="E228" s="26"/>
      <c r="F228" s="26"/>
    </row>
    <row r="229" spans="1:6" ht="14.25">
      <c r="A229" s="73" t="s">
        <v>572</v>
      </c>
      <c r="B229" s="73"/>
      <c r="C229" s="73"/>
      <c r="D229" s="73">
        <v>266</v>
      </c>
      <c r="E229" s="26"/>
      <c r="F229" s="26"/>
    </row>
    <row r="230" spans="1:6" ht="14.25">
      <c r="A230" s="73" t="s">
        <v>573</v>
      </c>
      <c r="B230" s="73"/>
      <c r="C230" s="73"/>
      <c r="D230" s="73">
        <f>N76</f>
        <v>344</v>
      </c>
      <c r="E230" s="26"/>
      <c r="F230" s="26"/>
    </row>
    <row r="231" spans="1:6" ht="14.25">
      <c r="A231" s="73" t="s">
        <v>574</v>
      </c>
      <c r="B231" s="73"/>
      <c r="C231" s="73"/>
      <c r="D231" s="73">
        <f>N70</f>
        <v>442</v>
      </c>
      <c r="E231" s="26"/>
      <c r="F231" s="26"/>
    </row>
    <row r="232" spans="1:6" ht="14.25">
      <c r="A232" s="73" t="s">
        <v>575</v>
      </c>
      <c r="B232" s="73"/>
      <c r="C232" s="73"/>
      <c r="D232" s="73">
        <f>N86</f>
        <v>919</v>
      </c>
      <c r="E232" s="26"/>
      <c r="F232" s="26"/>
    </row>
    <row r="233" spans="1:6" ht="15">
      <c r="A233" s="72" t="s">
        <v>529</v>
      </c>
      <c r="B233" s="72"/>
      <c r="C233" s="72"/>
      <c r="D233" s="72">
        <f>SUM(D229:D232)</f>
        <v>1971</v>
      </c>
      <c r="E233" s="26"/>
      <c r="F233" s="26"/>
    </row>
    <row r="234" spans="1:6" ht="12.75">
      <c r="A234" s="26"/>
      <c r="B234" s="26"/>
      <c r="C234" s="26"/>
      <c r="D234" s="26"/>
      <c r="E234" s="26"/>
      <c r="F234" s="26"/>
    </row>
    <row r="235" spans="1:6" ht="15">
      <c r="A235" s="64"/>
      <c r="E235" s="26"/>
      <c r="F235" s="26"/>
    </row>
    <row r="236" spans="1:6" ht="15">
      <c r="A236" s="64" t="s">
        <v>222</v>
      </c>
      <c r="B236" s="72" t="s">
        <v>517</v>
      </c>
      <c r="C236" s="72" t="s">
        <v>518</v>
      </c>
      <c r="D236" s="72" t="s">
        <v>519</v>
      </c>
      <c r="E236" s="26"/>
      <c r="F236" s="26"/>
    </row>
    <row r="237" spans="1:6" ht="14.25">
      <c r="A237" s="73" t="s">
        <v>576</v>
      </c>
      <c r="B237" s="73"/>
      <c r="C237" s="73"/>
      <c r="D237" s="73">
        <f t="shared" ref="D237:D238" si="2">N62</f>
        <v>489</v>
      </c>
      <c r="E237" s="26"/>
      <c r="F237" s="26"/>
    </row>
    <row r="238" spans="1:6" ht="14.25">
      <c r="A238" s="73" t="s">
        <v>577</v>
      </c>
      <c r="B238" s="73"/>
      <c r="C238" s="73"/>
      <c r="D238" s="73">
        <f t="shared" si="2"/>
        <v>244</v>
      </c>
      <c r="E238" s="26"/>
      <c r="F238" s="26"/>
    </row>
    <row r="239" spans="1:6" ht="14.25">
      <c r="A239" s="73" t="s">
        <v>578</v>
      </c>
      <c r="B239" s="73"/>
      <c r="C239" s="73"/>
      <c r="D239" s="73">
        <f>N61</f>
        <v>215</v>
      </c>
      <c r="E239" s="26"/>
      <c r="F239" s="26"/>
    </row>
    <row r="240" spans="1:6" ht="14.25">
      <c r="A240" s="73" t="s">
        <v>579</v>
      </c>
      <c r="B240" s="73"/>
      <c r="C240" s="73"/>
      <c r="D240" s="73">
        <f>N65</f>
        <v>505</v>
      </c>
      <c r="E240" s="26"/>
      <c r="F240" s="26"/>
    </row>
    <row r="241" spans="1:6" ht="14.25">
      <c r="A241" s="73" t="s">
        <v>580</v>
      </c>
      <c r="B241" s="73"/>
      <c r="C241" s="73"/>
      <c r="D241" s="73">
        <f>N64</f>
        <v>609</v>
      </c>
      <c r="E241" s="26"/>
      <c r="F241" s="26"/>
    </row>
    <row r="242" spans="1:6" ht="14.25">
      <c r="A242" s="73" t="s">
        <v>581</v>
      </c>
      <c r="B242" s="73"/>
      <c r="C242" s="73"/>
      <c r="D242" s="73">
        <f>N49</f>
        <v>249</v>
      </c>
      <c r="E242" s="26"/>
      <c r="F242" s="26"/>
    </row>
    <row r="243" spans="1:6" ht="15">
      <c r="A243" s="72" t="s">
        <v>529</v>
      </c>
      <c r="B243" s="72"/>
      <c r="C243" s="72"/>
      <c r="D243" s="72">
        <f>SUM(D237:D242)</f>
        <v>2311</v>
      </c>
      <c r="E243" s="26"/>
      <c r="F243" s="26"/>
    </row>
    <row r="244" spans="1:6" ht="12.75">
      <c r="A244" s="26"/>
      <c r="E244" s="26"/>
      <c r="F244" s="26"/>
    </row>
    <row r="245" spans="1:6" ht="15">
      <c r="A245" s="64" t="s">
        <v>225</v>
      </c>
      <c r="B245" s="72" t="s">
        <v>517</v>
      </c>
      <c r="C245" s="72" t="s">
        <v>518</v>
      </c>
      <c r="D245" s="72" t="s">
        <v>519</v>
      </c>
      <c r="E245" s="26"/>
      <c r="F245" s="26"/>
    </row>
    <row r="246" spans="1:6" ht="14.25">
      <c r="A246" s="73" t="s">
        <v>582</v>
      </c>
      <c r="B246" s="73"/>
      <c r="C246" s="73"/>
      <c r="D246" s="73">
        <f>N74</f>
        <v>813</v>
      </c>
      <c r="E246" s="26"/>
      <c r="F246" s="26"/>
    </row>
    <row r="247" spans="1:6" ht="14.25">
      <c r="A247" s="73" t="s">
        <v>583</v>
      </c>
      <c r="B247" s="73"/>
      <c r="C247" s="73"/>
      <c r="D247" s="73">
        <f>N73</f>
        <v>607</v>
      </c>
      <c r="E247" s="26"/>
      <c r="F247" s="26"/>
    </row>
    <row r="248" spans="1:6" ht="14.25">
      <c r="A248" s="73" t="s">
        <v>584</v>
      </c>
      <c r="B248" s="73"/>
      <c r="C248" s="73"/>
      <c r="D248" s="73">
        <f>N75</f>
        <v>625</v>
      </c>
      <c r="E248" s="26"/>
      <c r="F248" s="26"/>
    </row>
    <row r="249" spans="1:6" ht="14.25">
      <c r="A249" s="73" t="s">
        <v>585</v>
      </c>
      <c r="B249" s="73"/>
      <c r="C249" s="73"/>
      <c r="D249" s="73">
        <f>N23</f>
        <v>618</v>
      </c>
      <c r="E249" s="26"/>
      <c r="F249" s="26"/>
    </row>
    <row r="250" spans="1:6" ht="14.25">
      <c r="A250" s="73" t="s">
        <v>572</v>
      </c>
      <c r="B250" s="73"/>
      <c r="C250" s="73"/>
      <c r="D250" s="73">
        <v>266</v>
      </c>
      <c r="E250" s="26"/>
      <c r="F250" s="26"/>
    </row>
    <row r="251" spans="1:6" ht="15">
      <c r="A251" s="72" t="s">
        <v>529</v>
      </c>
      <c r="B251" s="72"/>
      <c r="C251" s="72"/>
      <c r="D251" s="72">
        <f>SUM(D246:D250)</f>
        <v>2929</v>
      </c>
      <c r="E251" s="26"/>
      <c r="F251" s="26"/>
    </row>
    <row r="252" spans="1:6" ht="14.25">
      <c r="A252" s="73"/>
      <c r="B252" s="74"/>
      <c r="C252" s="74"/>
      <c r="D252" s="74"/>
      <c r="E252" s="26"/>
      <c r="F252" s="26"/>
    </row>
    <row r="253" spans="1:6" ht="15">
      <c r="A253" s="64" t="s">
        <v>228</v>
      </c>
      <c r="B253" s="72" t="s">
        <v>517</v>
      </c>
      <c r="C253" s="72" t="s">
        <v>518</v>
      </c>
      <c r="D253" s="72" t="s">
        <v>519</v>
      </c>
      <c r="E253" s="26"/>
      <c r="F253" s="26"/>
    </row>
    <row r="254" spans="1:6" ht="14.25">
      <c r="A254" s="73" t="s">
        <v>586</v>
      </c>
      <c r="B254" s="73"/>
      <c r="C254" s="73"/>
      <c r="D254" s="73">
        <f>N51</f>
        <v>396</v>
      </c>
      <c r="E254" s="26"/>
      <c r="F254" s="26"/>
    </row>
    <row r="255" spans="1:6" ht="14.25">
      <c r="A255" s="73" t="s">
        <v>587</v>
      </c>
      <c r="B255" s="73"/>
      <c r="C255" s="73"/>
      <c r="D255" s="73">
        <f>N50</f>
        <v>416</v>
      </c>
      <c r="E255" s="26"/>
      <c r="F255" s="26"/>
    </row>
    <row r="256" spans="1:6" ht="14.25">
      <c r="A256" s="73" t="s">
        <v>588</v>
      </c>
      <c r="B256" s="73"/>
      <c r="C256" s="73"/>
      <c r="D256" s="73">
        <f>N55</f>
        <v>417</v>
      </c>
      <c r="E256" s="26"/>
      <c r="F256" s="26"/>
    </row>
    <row r="257" spans="1:6" ht="14.25">
      <c r="A257" s="73" t="s">
        <v>589</v>
      </c>
      <c r="B257" s="73"/>
      <c r="C257" s="73"/>
      <c r="D257" s="73">
        <f>N54</f>
        <v>479</v>
      </c>
      <c r="E257" s="26"/>
      <c r="F257" s="26"/>
    </row>
    <row r="258" spans="1:6" ht="14.25">
      <c r="A258" s="73" t="s">
        <v>590</v>
      </c>
      <c r="B258" s="73"/>
      <c r="C258" s="73"/>
      <c r="D258" s="73">
        <f>N46</f>
        <v>502</v>
      </c>
      <c r="E258" s="26"/>
      <c r="F258" s="26"/>
    </row>
    <row r="259" spans="1:6" ht="15">
      <c r="A259" s="72" t="s">
        <v>529</v>
      </c>
      <c r="B259" s="72"/>
      <c r="C259" s="72"/>
      <c r="D259" s="72">
        <f>SUM(D254:D258)</f>
        <v>2210</v>
      </c>
      <c r="E259" s="26"/>
      <c r="F259" s="26"/>
    </row>
    <row r="260" spans="1:6" ht="14.25">
      <c r="A260" s="73"/>
      <c r="B260" s="74"/>
      <c r="C260" s="74"/>
      <c r="D260" s="74"/>
      <c r="E260" s="26"/>
      <c r="F260" s="26"/>
    </row>
    <row r="261" spans="1:6" ht="15">
      <c r="A261" s="64" t="s">
        <v>232</v>
      </c>
      <c r="B261" s="72" t="s">
        <v>517</v>
      </c>
      <c r="C261" s="72" t="s">
        <v>518</v>
      </c>
      <c r="D261" s="72" t="s">
        <v>519</v>
      </c>
      <c r="E261" s="26"/>
      <c r="F261" s="26"/>
    </row>
    <row r="262" spans="1:6" ht="14.25">
      <c r="A262" s="73" t="s">
        <v>591</v>
      </c>
      <c r="B262" s="73"/>
      <c r="C262" s="73"/>
      <c r="D262" s="73">
        <f>N94</f>
        <v>355</v>
      </c>
      <c r="E262" s="26"/>
      <c r="F262" s="26"/>
    </row>
    <row r="263" spans="1:6" ht="14.25">
      <c r="A263" s="73" t="s">
        <v>592</v>
      </c>
      <c r="B263" s="73"/>
      <c r="C263" s="73"/>
      <c r="D263" s="73">
        <f t="shared" ref="D263:D265" si="3">N66</f>
        <v>505</v>
      </c>
      <c r="E263" s="26"/>
      <c r="F263" s="26"/>
    </row>
    <row r="264" spans="1:6" ht="14.25">
      <c r="A264" s="73" t="s">
        <v>593</v>
      </c>
      <c r="B264" s="73"/>
      <c r="C264" s="73"/>
      <c r="D264" s="73">
        <f t="shared" si="3"/>
        <v>630</v>
      </c>
      <c r="E264" s="26"/>
      <c r="F264" s="26"/>
    </row>
    <row r="265" spans="1:6" ht="14.25">
      <c r="A265" s="73" t="s">
        <v>594</v>
      </c>
      <c r="B265" s="73"/>
      <c r="C265" s="73"/>
      <c r="D265" s="73">
        <f t="shared" si="3"/>
        <v>559</v>
      </c>
      <c r="E265" s="26"/>
      <c r="F265" s="26"/>
    </row>
    <row r="266" spans="1:6" ht="14.25">
      <c r="A266" s="73" t="s">
        <v>595</v>
      </c>
      <c r="B266" s="73"/>
      <c r="C266" s="73"/>
      <c r="D266" s="73">
        <f>N72</f>
        <v>281</v>
      </c>
      <c r="E266" s="26"/>
      <c r="F266" s="26"/>
    </row>
    <row r="267" spans="1:6" ht="14.25">
      <c r="A267" s="73" t="s">
        <v>596</v>
      </c>
      <c r="B267" s="73"/>
      <c r="C267" s="73"/>
      <c r="D267" s="73">
        <f>N71</f>
        <v>340</v>
      </c>
      <c r="E267" s="26"/>
      <c r="F267" s="26"/>
    </row>
    <row r="268" spans="1:6" ht="15">
      <c r="A268" s="72" t="s">
        <v>529</v>
      </c>
      <c r="B268" s="72"/>
      <c r="C268" s="72"/>
      <c r="D268" s="72">
        <f>SUM(D262:D267)</f>
        <v>2670</v>
      </c>
      <c r="E268" s="26"/>
      <c r="F268" s="26"/>
    </row>
    <row r="269" spans="1:6" ht="14.25">
      <c r="A269" s="73"/>
      <c r="B269" s="74"/>
      <c r="C269" s="74"/>
      <c r="D269" s="74"/>
      <c r="E269" s="26"/>
      <c r="F269" s="26"/>
    </row>
    <row r="270" spans="1:6" ht="15">
      <c r="A270" s="64" t="s">
        <v>234</v>
      </c>
      <c r="B270" s="72" t="s">
        <v>517</v>
      </c>
      <c r="C270" s="72" t="s">
        <v>518</v>
      </c>
      <c r="D270" s="72" t="s">
        <v>519</v>
      </c>
      <c r="E270" s="26"/>
      <c r="F270" s="26"/>
    </row>
    <row r="271" spans="1:6" ht="14.25">
      <c r="A271" s="73" t="s">
        <v>597</v>
      </c>
      <c r="B271" s="73"/>
      <c r="C271" s="73"/>
      <c r="D271" s="73">
        <f>N13</f>
        <v>382</v>
      </c>
      <c r="E271" s="26"/>
      <c r="F271" s="26"/>
    </row>
    <row r="272" spans="1:6" ht="14.25">
      <c r="A272" s="73" t="s">
        <v>598</v>
      </c>
      <c r="B272" s="73"/>
      <c r="C272" s="73"/>
      <c r="D272" s="73">
        <f>N15</f>
        <v>509</v>
      </c>
      <c r="E272" s="26"/>
      <c r="F272" s="26"/>
    </row>
    <row r="273" spans="1:6" ht="14.25">
      <c r="A273" s="73" t="s">
        <v>520</v>
      </c>
      <c r="B273" s="73"/>
      <c r="C273" s="73"/>
      <c r="D273" s="73">
        <v>162</v>
      </c>
      <c r="E273" s="26"/>
      <c r="F273" s="26"/>
    </row>
    <row r="274" spans="1:6" ht="14.25">
      <c r="A274" s="73" t="s">
        <v>521</v>
      </c>
      <c r="B274" s="73"/>
      <c r="C274" s="73"/>
      <c r="D274" s="73">
        <v>180</v>
      </c>
      <c r="E274" s="26"/>
      <c r="F274" s="26"/>
    </row>
    <row r="275" spans="1:6" ht="15">
      <c r="A275" s="72" t="s">
        <v>529</v>
      </c>
      <c r="B275" s="72"/>
      <c r="C275" s="72"/>
      <c r="D275" s="72">
        <f>SUM(D271:D274)</f>
        <v>1233</v>
      </c>
      <c r="E275" s="26"/>
      <c r="F275" s="26"/>
    </row>
    <row r="276" spans="1:6" ht="14.25">
      <c r="A276" s="73"/>
      <c r="B276" s="74"/>
      <c r="C276" s="74"/>
      <c r="D276" s="74"/>
      <c r="E276" s="26"/>
      <c r="F276" s="26"/>
    </row>
    <row r="277" spans="1:6" ht="15">
      <c r="A277" s="64" t="s">
        <v>235</v>
      </c>
      <c r="B277" s="72" t="s">
        <v>517</v>
      </c>
      <c r="C277" s="72" t="s">
        <v>518</v>
      </c>
      <c r="D277" s="72" t="s">
        <v>519</v>
      </c>
      <c r="E277" s="26"/>
      <c r="F277" s="26"/>
    </row>
    <row r="278" spans="1:6" ht="14.25">
      <c r="A278" s="73" t="s">
        <v>599</v>
      </c>
      <c r="B278" s="73"/>
      <c r="C278" s="73"/>
      <c r="D278" s="73">
        <f>N41</f>
        <v>335</v>
      </c>
      <c r="E278" s="26"/>
      <c r="F278" s="26"/>
    </row>
    <row r="279" spans="1:6" ht="14.25">
      <c r="A279" s="73" t="s">
        <v>600</v>
      </c>
      <c r="B279" s="73"/>
      <c r="C279" s="73"/>
      <c r="D279" s="73">
        <f>N40</f>
        <v>557</v>
      </c>
      <c r="E279" s="26"/>
      <c r="F279" s="26"/>
    </row>
    <row r="280" spans="1:6" ht="14.25">
      <c r="A280" s="73" t="s">
        <v>601</v>
      </c>
      <c r="B280" s="73"/>
      <c r="C280" s="73"/>
      <c r="D280" s="73">
        <f>N43</f>
        <v>613</v>
      </c>
      <c r="E280" s="26"/>
      <c r="F280" s="26"/>
    </row>
    <row r="281" spans="1:6" ht="14.25">
      <c r="A281" s="73" t="s">
        <v>602</v>
      </c>
      <c r="B281" s="73"/>
      <c r="C281" s="73"/>
      <c r="D281" s="73">
        <f>N42</f>
        <v>134</v>
      </c>
      <c r="E281" s="26"/>
      <c r="F281" s="26"/>
    </row>
    <row r="282" spans="1:6" ht="15">
      <c r="A282" s="72" t="s">
        <v>529</v>
      </c>
      <c r="B282" s="72"/>
      <c r="C282" s="72"/>
      <c r="D282" s="72">
        <f>SUM(D278:D281)</f>
        <v>1639</v>
      </c>
      <c r="E282" s="26"/>
      <c r="F282" s="26"/>
    </row>
    <row r="283" spans="1:6" ht="14.25">
      <c r="A283" s="73"/>
      <c r="B283" s="74"/>
      <c r="C283" s="74"/>
      <c r="D283" s="74"/>
      <c r="E283" s="26"/>
      <c r="F283" s="26"/>
    </row>
    <row r="284" spans="1:6" ht="15">
      <c r="A284" s="64" t="s">
        <v>238</v>
      </c>
      <c r="B284" s="72" t="s">
        <v>517</v>
      </c>
      <c r="C284" s="72" t="s">
        <v>518</v>
      </c>
      <c r="D284" s="72" t="s">
        <v>519</v>
      </c>
      <c r="E284" s="26"/>
      <c r="F284" s="26"/>
    </row>
    <row r="285" spans="1:6" ht="14.25">
      <c r="A285" s="73" t="s">
        <v>603</v>
      </c>
      <c r="B285" s="73"/>
      <c r="C285" s="73"/>
      <c r="D285" s="73">
        <f>N60</f>
        <v>556</v>
      </c>
      <c r="E285" s="26"/>
      <c r="F285" s="26"/>
    </row>
    <row r="286" spans="1:6" ht="14.25">
      <c r="A286" s="73" t="s">
        <v>604</v>
      </c>
      <c r="B286" s="73"/>
      <c r="C286" s="73"/>
      <c r="D286" s="73">
        <f>N59</f>
        <v>1146</v>
      </c>
      <c r="E286" s="26"/>
      <c r="F286" s="26"/>
    </row>
    <row r="287" spans="1:6" ht="14.25">
      <c r="A287" s="73" t="s">
        <v>605</v>
      </c>
      <c r="B287" s="73"/>
      <c r="C287" s="73"/>
      <c r="D287" s="73">
        <f>N56</f>
        <v>224</v>
      </c>
      <c r="E287" s="26"/>
      <c r="F287" s="26"/>
    </row>
    <row r="288" spans="1:6" ht="14.25">
      <c r="A288" s="73" t="s">
        <v>606</v>
      </c>
      <c r="B288" s="73"/>
      <c r="C288" s="73"/>
      <c r="D288" s="73">
        <f>N52</f>
        <v>265</v>
      </c>
      <c r="E288" s="26"/>
      <c r="F288" s="26"/>
    </row>
    <row r="289" spans="1:6" ht="14.25">
      <c r="A289" s="73" t="s">
        <v>607</v>
      </c>
      <c r="B289" s="73"/>
      <c r="C289" s="73"/>
      <c r="D289" s="73">
        <f>N57</f>
        <v>249</v>
      </c>
      <c r="E289" s="26"/>
      <c r="F289" s="26"/>
    </row>
    <row r="290" spans="1:6" ht="15">
      <c r="A290" s="72" t="s">
        <v>529</v>
      </c>
      <c r="B290" s="72"/>
      <c r="C290" s="72"/>
      <c r="D290" s="72">
        <f>SUM(D285:D289)</f>
        <v>2440</v>
      </c>
      <c r="E290" s="26"/>
      <c r="F290" s="26"/>
    </row>
    <row r="291" spans="1:6" ht="14.25">
      <c r="A291" s="73"/>
      <c r="B291" s="74"/>
      <c r="C291" s="74"/>
      <c r="D291" s="74"/>
      <c r="E291" s="26"/>
      <c r="F291" s="26"/>
    </row>
    <row r="292" spans="1:6" ht="15">
      <c r="A292" s="64" t="s">
        <v>45</v>
      </c>
      <c r="B292" s="72" t="s">
        <v>517</v>
      </c>
      <c r="C292" s="72" t="s">
        <v>518</v>
      </c>
      <c r="D292" s="72" t="s">
        <v>519</v>
      </c>
      <c r="E292" s="26"/>
      <c r="F292" s="26"/>
    </row>
    <row r="293" spans="1:6" ht="14.25">
      <c r="A293" s="73" t="s">
        <v>608</v>
      </c>
      <c r="B293" s="73"/>
      <c r="C293" s="73"/>
      <c r="D293" s="73">
        <f>N82</f>
        <v>124</v>
      </c>
      <c r="E293" s="26"/>
      <c r="F293" s="26"/>
    </row>
    <row r="294" spans="1:6" ht="14.25">
      <c r="A294" s="73" t="s">
        <v>609</v>
      </c>
      <c r="B294" s="73"/>
      <c r="C294" s="73"/>
      <c r="D294" s="73">
        <f>N32</f>
        <v>294</v>
      </c>
      <c r="E294" s="26"/>
      <c r="F294" s="26"/>
    </row>
    <row r="295" spans="1:6" ht="14.25">
      <c r="A295" s="73" t="s">
        <v>610</v>
      </c>
      <c r="B295" s="73"/>
      <c r="C295" s="73"/>
      <c r="D295" s="73">
        <f>N31</f>
        <v>294</v>
      </c>
      <c r="E295" s="26"/>
      <c r="F295" s="26"/>
    </row>
    <row r="296" spans="1:6" ht="14.25">
      <c r="A296" s="73" t="s">
        <v>611</v>
      </c>
      <c r="B296" s="73"/>
      <c r="C296" s="73"/>
      <c r="D296" s="73">
        <f>N30</f>
        <v>701</v>
      </c>
      <c r="E296" s="26"/>
      <c r="F296" s="26"/>
    </row>
    <row r="297" spans="1:6" ht="14.25">
      <c r="A297" s="73" t="s">
        <v>612</v>
      </c>
      <c r="B297" s="73"/>
      <c r="C297" s="73"/>
      <c r="D297" s="73">
        <f>N27</f>
        <v>516</v>
      </c>
      <c r="E297" s="26"/>
      <c r="F297" s="26"/>
    </row>
    <row r="298" spans="1:6" ht="14.25">
      <c r="A298" s="73" t="s">
        <v>613</v>
      </c>
      <c r="B298" s="73"/>
      <c r="C298" s="73"/>
      <c r="D298" s="73">
        <f>N29</f>
        <v>568</v>
      </c>
      <c r="E298" s="26"/>
      <c r="F298" s="26"/>
    </row>
    <row r="299" spans="1:6" ht="15">
      <c r="A299" s="60" t="s">
        <v>529</v>
      </c>
      <c r="B299" s="60"/>
      <c r="C299" s="60"/>
      <c r="D299" s="60">
        <f>SUM(D293:D298)</f>
        <v>2497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Q121"/>
  <sheetViews>
    <sheetView workbookViewId="0"/>
  </sheetViews>
  <sheetFormatPr defaultColWidth="14.42578125" defaultRowHeight="15.75" customHeight="1"/>
  <cols>
    <col min="1" max="1" width="33.85546875" customWidth="1"/>
    <col min="2" max="2" width="23" customWidth="1"/>
  </cols>
  <sheetData>
    <row r="1" spans="1:17" ht="15.75" customHeight="1">
      <c r="B1" s="56" t="s">
        <v>761</v>
      </c>
      <c r="C1" s="56" t="s">
        <v>515</v>
      </c>
      <c r="D1" s="56" t="s">
        <v>516</v>
      </c>
      <c r="E1" s="57" t="s">
        <v>761</v>
      </c>
      <c r="F1" s="57" t="s">
        <v>515</v>
      </c>
      <c r="G1" s="57" t="s">
        <v>516</v>
      </c>
      <c r="H1" s="58" t="s">
        <v>761</v>
      </c>
      <c r="I1" s="58" t="s">
        <v>515</v>
      </c>
      <c r="J1" s="58" t="s">
        <v>516</v>
      </c>
      <c r="K1" s="59" t="s">
        <v>761</v>
      </c>
      <c r="L1" s="59" t="s">
        <v>515</v>
      </c>
      <c r="M1" s="59" t="s">
        <v>516</v>
      </c>
      <c r="P1" s="1" t="s">
        <v>774</v>
      </c>
      <c r="Q1" s="1" t="s">
        <v>775</v>
      </c>
    </row>
    <row r="2" spans="1:17" ht="15.75" customHeight="1">
      <c r="A2" s="87" t="s">
        <v>331</v>
      </c>
      <c r="B2" s="56">
        <v>170.03</v>
      </c>
      <c r="C2" s="56">
        <v>0.25</v>
      </c>
      <c r="D2" s="56"/>
      <c r="E2" s="57">
        <v>170.04</v>
      </c>
      <c r="F2" s="57">
        <v>0.25</v>
      </c>
      <c r="G2" s="57"/>
      <c r="H2" s="58">
        <v>181.11</v>
      </c>
      <c r="I2" s="58">
        <v>1</v>
      </c>
      <c r="J2" s="58"/>
      <c r="K2" s="59">
        <v>181.1</v>
      </c>
      <c r="L2" s="59">
        <v>0.5</v>
      </c>
      <c r="M2" s="59"/>
      <c r="O2" s="33">
        <v>190.05</v>
      </c>
      <c r="P2">
        <v>173</v>
      </c>
      <c r="Q2">
        <v>135</v>
      </c>
    </row>
    <row r="3" spans="1:17" ht="15.75" customHeight="1">
      <c r="A3" s="87" t="s">
        <v>296</v>
      </c>
      <c r="B3" s="56">
        <v>170.04</v>
      </c>
      <c r="C3" s="56">
        <v>1</v>
      </c>
      <c r="D3" s="56"/>
      <c r="E3" s="57"/>
      <c r="F3" s="57"/>
      <c r="G3" s="57"/>
      <c r="H3" s="58"/>
      <c r="I3" s="58"/>
      <c r="J3" s="58"/>
      <c r="K3" s="59"/>
      <c r="L3" s="59"/>
      <c r="M3" s="59"/>
      <c r="O3" s="32">
        <v>186.05</v>
      </c>
      <c r="P3">
        <v>1043</v>
      </c>
      <c r="Q3">
        <v>803</v>
      </c>
    </row>
    <row r="4" spans="1:17" ht="15.75" customHeight="1">
      <c r="A4" s="87" t="s">
        <v>337</v>
      </c>
      <c r="B4" s="56">
        <v>170.07</v>
      </c>
      <c r="C4" s="56">
        <v>0.5</v>
      </c>
      <c r="D4" s="56"/>
      <c r="E4" s="57">
        <v>170.08</v>
      </c>
      <c r="F4" s="57">
        <v>0.5</v>
      </c>
      <c r="G4" s="57"/>
      <c r="H4" s="58"/>
      <c r="I4" s="58"/>
      <c r="J4" s="58"/>
      <c r="K4" s="59"/>
      <c r="L4" s="59"/>
      <c r="M4" s="59"/>
      <c r="O4" s="33">
        <v>184.15</v>
      </c>
      <c r="P4">
        <v>237</v>
      </c>
      <c r="Q4">
        <v>276</v>
      </c>
    </row>
    <row r="5" spans="1:17" ht="15.75" customHeight="1">
      <c r="A5" s="87" t="s">
        <v>329</v>
      </c>
      <c r="B5" s="56">
        <v>170.08</v>
      </c>
      <c r="C5" s="56">
        <v>0.5</v>
      </c>
      <c r="D5" s="56"/>
      <c r="E5" s="57">
        <v>170.07</v>
      </c>
      <c r="F5" s="57">
        <v>0.5</v>
      </c>
      <c r="G5" s="57"/>
      <c r="H5" s="58">
        <v>170.05</v>
      </c>
      <c r="I5" s="58">
        <v>1</v>
      </c>
      <c r="J5" s="58"/>
      <c r="K5" s="59">
        <v>170.03</v>
      </c>
      <c r="L5" s="59">
        <v>0.75</v>
      </c>
      <c r="M5" s="59"/>
      <c r="O5" s="33">
        <v>190.03</v>
      </c>
      <c r="P5">
        <v>627</v>
      </c>
      <c r="Q5">
        <v>534</v>
      </c>
    </row>
    <row r="6" spans="1:17" ht="15.75" customHeight="1">
      <c r="A6" s="87" t="s">
        <v>321</v>
      </c>
      <c r="B6" s="56">
        <v>180.01</v>
      </c>
      <c r="C6" s="56">
        <v>0.5</v>
      </c>
      <c r="D6" s="56"/>
      <c r="E6" s="57"/>
      <c r="F6" s="57"/>
      <c r="G6" s="57"/>
      <c r="H6" s="58"/>
      <c r="I6" s="58"/>
      <c r="J6" s="58"/>
      <c r="K6" s="59"/>
      <c r="L6" s="59"/>
      <c r="M6" s="59"/>
      <c r="O6" s="32">
        <v>185.15</v>
      </c>
      <c r="P6">
        <v>648</v>
      </c>
      <c r="Q6">
        <v>421</v>
      </c>
    </row>
    <row r="7" spans="1:17" ht="15.75" customHeight="1">
      <c r="A7" s="87" t="s">
        <v>327</v>
      </c>
      <c r="B7" s="56">
        <v>180.03</v>
      </c>
      <c r="C7" s="56">
        <v>0.25</v>
      </c>
      <c r="D7" s="56"/>
      <c r="E7" s="57"/>
      <c r="F7" s="57"/>
      <c r="G7" s="57"/>
      <c r="H7" s="58"/>
      <c r="I7" s="58"/>
      <c r="J7" s="58"/>
      <c r="K7" s="59"/>
      <c r="L7" s="59"/>
      <c r="M7" s="59"/>
      <c r="O7" s="33">
        <v>191.06</v>
      </c>
      <c r="P7">
        <v>69</v>
      </c>
      <c r="Q7">
        <v>76</v>
      </c>
    </row>
    <row r="8" spans="1:17" ht="15.75" customHeight="1">
      <c r="A8" s="87" t="s">
        <v>328</v>
      </c>
      <c r="B8" s="56">
        <v>180.03</v>
      </c>
      <c r="C8" s="56">
        <v>0.5</v>
      </c>
      <c r="D8" s="56"/>
      <c r="E8" s="57"/>
      <c r="F8" s="57"/>
      <c r="G8" s="57"/>
      <c r="H8" s="58"/>
      <c r="I8" s="58"/>
      <c r="J8" s="58"/>
      <c r="K8" s="59"/>
      <c r="L8" s="59"/>
      <c r="M8" s="59"/>
      <c r="O8" s="33">
        <v>191.07</v>
      </c>
      <c r="P8">
        <v>151</v>
      </c>
      <c r="Q8">
        <v>166</v>
      </c>
    </row>
    <row r="9" spans="1:17" ht="15.75" customHeight="1">
      <c r="A9" s="87" t="s">
        <v>373</v>
      </c>
      <c r="B9" s="56">
        <v>180.03</v>
      </c>
      <c r="C9" s="56">
        <v>0.25</v>
      </c>
      <c r="D9" s="56"/>
      <c r="E9" s="57"/>
      <c r="F9" s="57"/>
      <c r="G9" s="57"/>
      <c r="H9" s="58"/>
      <c r="I9" s="58"/>
      <c r="J9" s="58"/>
      <c r="K9" s="59"/>
      <c r="L9" s="59"/>
      <c r="M9" s="59"/>
      <c r="O9" s="36">
        <v>182.05</v>
      </c>
      <c r="P9">
        <v>917</v>
      </c>
      <c r="Q9">
        <v>618</v>
      </c>
    </row>
    <row r="10" spans="1:17" ht="15.75" customHeight="1">
      <c r="A10" s="87" t="s">
        <v>362</v>
      </c>
      <c r="B10" s="56">
        <v>181.03</v>
      </c>
      <c r="C10" s="56">
        <v>0.5</v>
      </c>
      <c r="D10" s="56"/>
      <c r="E10" s="57"/>
      <c r="F10" s="57"/>
      <c r="G10" s="57"/>
      <c r="H10" s="58"/>
      <c r="I10" s="58"/>
      <c r="J10" s="58"/>
      <c r="K10" s="59"/>
      <c r="L10" s="59"/>
      <c r="M10" s="59"/>
      <c r="O10" s="36">
        <v>188.07</v>
      </c>
      <c r="P10">
        <v>451</v>
      </c>
      <c r="Q10">
        <v>463</v>
      </c>
    </row>
    <row r="11" spans="1:17" ht="15.75" customHeight="1">
      <c r="A11" s="87" t="s">
        <v>318</v>
      </c>
      <c r="B11" s="56">
        <v>181.07</v>
      </c>
      <c r="C11" s="56">
        <v>1</v>
      </c>
      <c r="D11" s="56"/>
      <c r="E11" s="57"/>
      <c r="F11" s="57"/>
      <c r="G11" s="57"/>
      <c r="H11" s="58"/>
      <c r="I11" s="58"/>
      <c r="J11" s="58"/>
      <c r="K11" s="59"/>
      <c r="L11" s="59"/>
      <c r="M11" s="59"/>
      <c r="O11" s="32">
        <v>185.07</v>
      </c>
      <c r="P11">
        <v>1061</v>
      </c>
      <c r="Q11">
        <v>911</v>
      </c>
    </row>
    <row r="12" spans="1:17" ht="15.75" customHeight="1">
      <c r="A12" s="87" t="s">
        <v>374</v>
      </c>
      <c r="B12" s="56">
        <v>181.08</v>
      </c>
      <c r="C12" s="56">
        <v>1</v>
      </c>
      <c r="D12" s="56"/>
      <c r="E12" s="57">
        <v>181.09</v>
      </c>
      <c r="F12" s="57">
        <v>1</v>
      </c>
      <c r="G12" s="57"/>
      <c r="H12" s="58"/>
      <c r="I12" s="58"/>
      <c r="J12" s="58"/>
      <c r="K12" s="59"/>
      <c r="L12" s="59"/>
      <c r="M12" s="59"/>
      <c r="O12" s="36">
        <v>182.02</v>
      </c>
      <c r="P12">
        <v>1625</v>
      </c>
      <c r="Q12">
        <v>798</v>
      </c>
    </row>
    <row r="13" spans="1:17" ht="15.75" customHeight="1">
      <c r="A13" s="87" t="s">
        <v>338</v>
      </c>
      <c r="B13" s="56">
        <v>181.1</v>
      </c>
      <c r="C13" s="56">
        <v>0.5</v>
      </c>
      <c r="D13" s="56"/>
      <c r="E13" s="57">
        <v>170.04</v>
      </c>
      <c r="F13" s="57">
        <v>0.75</v>
      </c>
      <c r="G13" s="57"/>
      <c r="H13" s="58"/>
      <c r="I13" s="58"/>
      <c r="J13" s="58"/>
      <c r="K13" s="59"/>
      <c r="L13" s="59"/>
      <c r="M13" s="59"/>
      <c r="O13" s="33">
        <v>184.16</v>
      </c>
      <c r="P13">
        <v>650</v>
      </c>
      <c r="Q13">
        <v>252</v>
      </c>
    </row>
    <row r="14" spans="1:17" ht="15.75" customHeight="1">
      <c r="A14" s="87" t="s">
        <v>350</v>
      </c>
      <c r="B14" s="56">
        <v>181.12</v>
      </c>
      <c r="C14" s="56">
        <v>0.5</v>
      </c>
      <c r="D14" s="56"/>
      <c r="E14" s="57">
        <v>181.03</v>
      </c>
      <c r="F14" s="57">
        <v>0.5</v>
      </c>
      <c r="G14" s="57"/>
      <c r="H14" s="58"/>
      <c r="I14" s="58"/>
      <c r="J14" s="58"/>
      <c r="K14" s="59"/>
      <c r="L14" s="59"/>
      <c r="M14" s="59"/>
      <c r="O14" s="33">
        <v>184.1</v>
      </c>
      <c r="P14">
        <v>708</v>
      </c>
      <c r="Q14">
        <v>609</v>
      </c>
    </row>
    <row r="15" spans="1:17" ht="15.75" customHeight="1">
      <c r="A15" s="87" t="s">
        <v>323</v>
      </c>
      <c r="B15" s="56">
        <v>181.13</v>
      </c>
      <c r="C15" s="56">
        <v>1</v>
      </c>
      <c r="D15" s="56"/>
      <c r="E15" s="57">
        <v>181.12</v>
      </c>
      <c r="F15" s="57">
        <v>0.5</v>
      </c>
      <c r="G15" s="57"/>
      <c r="H15" s="58">
        <v>181.14</v>
      </c>
      <c r="I15" s="58">
        <v>0.5</v>
      </c>
      <c r="J15" s="58"/>
      <c r="K15" s="59"/>
      <c r="L15" s="59"/>
      <c r="M15" s="59"/>
      <c r="O15" s="33">
        <v>186.08</v>
      </c>
      <c r="P15">
        <v>782</v>
      </c>
      <c r="Q15">
        <v>591</v>
      </c>
    </row>
    <row r="16" spans="1:17" ht="15.75" customHeight="1">
      <c r="A16" s="87" t="s">
        <v>388</v>
      </c>
      <c r="B16" s="56">
        <v>181.14</v>
      </c>
      <c r="C16" s="56">
        <v>0.5</v>
      </c>
      <c r="D16" s="56"/>
      <c r="E16" s="57">
        <v>181.05</v>
      </c>
      <c r="F16" s="57">
        <v>1</v>
      </c>
      <c r="G16" s="57"/>
      <c r="H16" s="58"/>
      <c r="I16" s="58"/>
      <c r="J16" s="58"/>
      <c r="K16" s="59"/>
      <c r="L16" s="59"/>
      <c r="M16" s="59"/>
      <c r="O16" s="44">
        <v>180.03</v>
      </c>
      <c r="P16">
        <v>885</v>
      </c>
      <c r="Q16">
        <v>610</v>
      </c>
    </row>
    <row r="17" spans="1:17" ht="15.75" customHeight="1">
      <c r="A17" s="87" t="s">
        <v>317</v>
      </c>
      <c r="B17" s="56">
        <v>181.16</v>
      </c>
      <c r="C17" s="56">
        <v>1</v>
      </c>
      <c r="D17" s="56"/>
      <c r="E17" s="57">
        <v>181.15</v>
      </c>
      <c r="F17" s="57">
        <v>1</v>
      </c>
      <c r="G17" s="57"/>
      <c r="H17" s="58"/>
      <c r="I17" s="58"/>
      <c r="J17" s="58"/>
      <c r="K17" s="59"/>
      <c r="L17" s="59"/>
      <c r="M17" s="59"/>
      <c r="O17" s="32">
        <v>185.08</v>
      </c>
      <c r="P17">
        <v>149</v>
      </c>
      <c r="Q17">
        <v>113</v>
      </c>
    </row>
    <row r="18" spans="1:17" ht="15.75" customHeight="1">
      <c r="A18" s="87" t="s">
        <v>339</v>
      </c>
      <c r="B18" s="56">
        <v>182.01</v>
      </c>
      <c r="C18" s="56">
        <v>0.25</v>
      </c>
      <c r="D18" s="56"/>
      <c r="E18" s="57">
        <v>183.07</v>
      </c>
      <c r="F18" s="57">
        <v>0.3</v>
      </c>
      <c r="G18" s="57"/>
      <c r="H18" s="58"/>
      <c r="I18" s="58"/>
      <c r="J18" s="58"/>
      <c r="K18" s="59"/>
      <c r="L18" s="59"/>
      <c r="M18" s="59"/>
      <c r="O18" s="33">
        <v>184.07</v>
      </c>
      <c r="P18">
        <v>262</v>
      </c>
      <c r="Q18">
        <v>136</v>
      </c>
    </row>
    <row r="19" spans="1:17" ht="15.75" customHeight="1">
      <c r="A19" s="87" t="s">
        <v>341</v>
      </c>
      <c r="B19" s="56">
        <v>182.01</v>
      </c>
      <c r="C19" s="56">
        <v>0.25</v>
      </c>
      <c r="D19" s="56"/>
      <c r="E19" s="57">
        <v>180.01</v>
      </c>
      <c r="F19" s="57">
        <v>0.5</v>
      </c>
      <c r="G19" s="57"/>
      <c r="H19" s="58"/>
      <c r="I19" s="58"/>
      <c r="J19" s="58"/>
      <c r="K19" s="59"/>
      <c r="L19" s="59"/>
      <c r="M19" s="59"/>
      <c r="O19" s="33">
        <v>184.06</v>
      </c>
      <c r="P19">
        <v>2104</v>
      </c>
      <c r="Q19">
        <v>1103</v>
      </c>
    </row>
    <row r="20" spans="1:17" ht="15.75" customHeight="1">
      <c r="A20" s="87" t="s">
        <v>319</v>
      </c>
      <c r="B20" s="56">
        <v>182.02</v>
      </c>
      <c r="C20" s="56">
        <v>0.5</v>
      </c>
      <c r="D20" s="56"/>
      <c r="E20" s="57"/>
      <c r="F20" s="57"/>
      <c r="G20" s="57"/>
      <c r="H20" s="58"/>
      <c r="I20" s="58"/>
      <c r="J20" s="58"/>
      <c r="K20" s="59"/>
      <c r="L20" s="59"/>
      <c r="M20" s="59"/>
      <c r="O20" s="32">
        <v>185.12</v>
      </c>
      <c r="P20">
        <v>818</v>
      </c>
      <c r="Q20">
        <v>529</v>
      </c>
    </row>
    <row r="21" spans="1:17" ht="15.75" customHeight="1">
      <c r="A21" s="87" t="s">
        <v>335</v>
      </c>
      <c r="B21" s="56">
        <v>182.02</v>
      </c>
      <c r="C21" s="56">
        <v>0.5</v>
      </c>
      <c r="D21" s="56"/>
      <c r="E21" s="57"/>
      <c r="F21" s="57"/>
      <c r="G21" s="57"/>
      <c r="H21" s="58"/>
      <c r="I21" s="58"/>
      <c r="J21" s="58"/>
      <c r="K21" s="59"/>
      <c r="L21" s="59"/>
      <c r="M21" s="59"/>
      <c r="O21" s="33">
        <v>187.05</v>
      </c>
      <c r="P21">
        <v>762</v>
      </c>
      <c r="Q21">
        <v>561</v>
      </c>
    </row>
    <row r="22" spans="1:17" ht="15.75" customHeight="1">
      <c r="A22" s="87" t="s">
        <v>332</v>
      </c>
      <c r="B22" s="56">
        <v>182.04</v>
      </c>
      <c r="C22" s="56">
        <v>1</v>
      </c>
      <c r="D22" s="56"/>
      <c r="E22" s="57">
        <v>187.16</v>
      </c>
      <c r="F22" s="57">
        <v>0.66700000000000004</v>
      </c>
      <c r="G22" s="57"/>
      <c r="H22" s="58"/>
      <c r="I22" s="58"/>
      <c r="J22" s="58"/>
      <c r="K22" s="59"/>
      <c r="L22" s="59"/>
      <c r="M22" s="59"/>
      <c r="O22" s="33">
        <v>190.01</v>
      </c>
      <c r="P22">
        <v>487</v>
      </c>
      <c r="Q22">
        <v>346</v>
      </c>
    </row>
    <row r="23" spans="1:17" ht="15.75" customHeight="1">
      <c r="A23" s="87" t="s">
        <v>352</v>
      </c>
      <c r="B23" s="56">
        <v>182.05</v>
      </c>
      <c r="C23" s="56">
        <v>1</v>
      </c>
      <c r="D23" s="56"/>
      <c r="E23" s="57"/>
      <c r="F23" s="57"/>
      <c r="G23" s="57"/>
      <c r="H23" s="58"/>
      <c r="I23" s="58"/>
      <c r="J23" s="58"/>
      <c r="K23" s="59"/>
      <c r="L23" s="59"/>
      <c r="M23" s="59"/>
      <c r="O23" s="33">
        <v>187.03</v>
      </c>
      <c r="P23">
        <v>731</v>
      </c>
      <c r="Q23">
        <v>445</v>
      </c>
    </row>
    <row r="24" spans="1:17" ht="15.75" customHeight="1">
      <c r="A24" s="87" t="s">
        <v>330</v>
      </c>
      <c r="B24" s="56">
        <v>183.01</v>
      </c>
      <c r="C24" s="56">
        <v>1</v>
      </c>
      <c r="D24" s="56"/>
      <c r="E24" s="57"/>
      <c r="F24" s="57"/>
      <c r="G24" s="57"/>
      <c r="H24" s="58"/>
      <c r="I24" s="58"/>
      <c r="J24" s="58"/>
      <c r="K24" s="59"/>
      <c r="L24" s="59"/>
      <c r="M24" s="59"/>
      <c r="O24" s="33">
        <v>190.04</v>
      </c>
      <c r="P24">
        <v>581</v>
      </c>
      <c r="Q24">
        <v>522</v>
      </c>
    </row>
    <row r="25" spans="1:17" ht="15.75" customHeight="1">
      <c r="A25" s="87" t="s">
        <v>344</v>
      </c>
      <c r="B25" s="56">
        <v>183.03</v>
      </c>
      <c r="C25" s="56">
        <v>0.5</v>
      </c>
      <c r="D25" s="56"/>
      <c r="E25" s="57">
        <v>183.07</v>
      </c>
      <c r="F25" s="57">
        <v>0.2</v>
      </c>
      <c r="G25" s="57"/>
      <c r="H25" s="58"/>
      <c r="I25" s="58"/>
      <c r="J25" s="58"/>
      <c r="K25" s="59"/>
      <c r="L25" s="59"/>
      <c r="M25" s="59"/>
      <c r="O25" s="33">
        <v>184.14</v>
      </c>
      <c r="P25">
        <v>1664</v>
      </c>
      <c r="Q25">
        <v>680</v>
      </c>
    </row>
    <row r="26" spans="1:17" ht="15.75" customHeight="1">
      <c r="A26" s="87" t="s">
        <v>349</v>
      </c>
      <c r="B26" s="56">
        <v>183.03</v>
      </c>
      <c r="C26" s="56">
        <v>0.5</v>
      </c>
      <c r="D26" s="56"/>
      <c r="E26" s="57">
        <v>183.07</v>
      </c>
      <c r="F26" s="57">
        <v>0.1</v>
      </c>
      <c r="G26" s="57"/>
      <c r="H26" s="58">
        <v>182.01</v>
      </c>
      <c r="I26" s="58">
        <v>0.25</v>
      </c>
      <c r="J26" s="58"/>
      <c r="K26" s="59"/>
      <c r="L26" s="59"/>
      <c r="M26" s="59"/>
      <c r="O26" s="33">
        <v>184.11</v>
      </c>
      <c r="P26">
        <v>1099</v>
      </c>
      <c r="Q26">
        <v>1047</v>
      </c>
    </row>
    <row r="27" spans="1:17" ht="15.75" customHeight="1">
      <c r="A27" s="87" t="s">
        <v>297</v>
      </c>
      <c r="B27" s="56">
        <v>183.05</v>
      </c>
      <c r="C27" s="56">
        <v>0.5</v>
      </c>
      <c r="D27" s="56"/>
      <c r="E27" s="57"/>
      <c r="F27" s="57"/>
      <c r="G27" s="57"/>
      <c r="H27" s="58"/>
      <c r="I27" s="58"/>
      <c r="J27" s="58"/>
      <c r="K27" s="59"/>
      <c r="L27" s="59"/>
      <c r="M27" s="59"/>
      <c r="O27" s="32">
        <v>186.06</v>
      </c>
      <c r="P27">
        <v>479</v>
      </c>
      <c r="Q27">
        <v>413</v>
      </c>
    </row>
    <row r="28" spans="1:17" ht="15.75" customHeight="1">
      <c r="A28" s="87" t="s">
        <v>326</v>
      </c>
      <c r="B28" s="56">
        <v>183.05</v>
      </c>
      <c r="C28" s="56">
        <v>0.5</v>
      </c>
      <c r="D28" s="56"/>
      <c r="E28" s="57"/>
      <c r="F28" s="57"/>
      <c r="G28" s="57"/>
      <c r="H28" s="58"/>
      <c r="I28" s="58"/>
      <c r="J28" s="58"/>
      <c r="K28" s="59"/>
      <c r="L28" s="59"/>
      <c r="M28" s="59"/>
      <c r="O28" s="33">
        <v>191.05</v>
      </c>
      <c r="P28">
        <v>242</v>
      </c>
      <c r="Q28">
        <v>109</v>
      </c>
    </row>
    <row r="29" spans="1:17" ht="15.75" customHeight="1">
      <c r="A29" s="87" t="s">
        <v>387</v>
      </c>
      <c r="B29" s="56">
        <v>183.07</v>
      </c>
      <c r="C29" s="56">
        <v>0.4</v>
      </c>
      <c r="D29" s="56"/>
      <c r="E29" s="57">
        <v>183.06</v>
      </c>
      <c r="F29" s="57">
        <v>1</v>
      </c>
      <c r="G29" s="57"/>
      <c r="H29" s="58">
        <v>182.01</v>
      </c>
      <c r="I29" s="58">
        <v>0.25</v>
      </c>
      <c r="J29" s="58"/>
      <c r="K29" s="59"/>
      <c r="L29" s="59"/>
      <c r="M29" s="59"/>
      <c r="O29" s="44">
        <v>180.04</v>
      </c>
      <c r="P29">
        <v>943</v>
      </c>
      <c r="Q29">
        <v>649</v>
      </c>
    </row>
    <row r="30" spans="1:17" ht="15.75" customHeight="1">
      <c r="A30" s="87" t="s">
        <v>288</v>
      </c>
      <c r="B30" s="56">
        <v>183.08</v>
      </c>
      <c r="C30" s="56">
        <v>1</v>
      </c>
      <c r="D30" s="56">
        <f>P103*C30</f>
        <v>0</v>
      </c>
      <c r="E30" s="57"/>
      <c r="F30" s="57"/>
      <c r="G30" s="57"/>
      <c r="H30" s="58"/>
      <c r="I30" s="58"/>
      <c r="J30" s="58"/>
      <c r="K30" s="59"/>
      <c r="L30" s="59"/>
      <c r="M30" s="59"/>
      <c r="O30" s="32">
        <v>192</v>
      </c>
      <c r="P30">
        <v>412</v>
      </c>
      <c r="Q30">
        <v>271</v>
      </c>
    </row>
    <row r="31" spans="1:17" ht="15.75" customHeight="1">
      <c r="A31" s="87" t="s">
        <v>298</v>
      </c>
      <c r="B31" s="56">
        <v>183.09</v>
      </c>
      <c r="C31" s="56">
        <v>0.5</v>
      </c>
      <c r="D31" s="56"/>
      <c r="E31" s="57"/>
      <c r="F31" s="57"/>
      <c r="G31" s="57"/>
      <c r="H31" s="58"/>
      <c r="I31" s="58"/>
      <c r="J31" s="58"/>
      <c r="K31" s="59"/>
      <c r="L31" s="59"/>
      <c r="M31" s="59"/>
      <c r="O31" s="32">
        <v>185.09</v>
      </c>
      <c r="P31">
        <v>525</v>
      </c>
      <c r="Q31">
        <v>373</v>
      </c>
    </row>
    <row r="32" spans="1:17" ht="15.75" customHeight="1">
      <c r="A32" s="87" t="s">
        <v>316</v>
      </c>
      <c r="B32" s="56">
        <v>183.09</v>
      </c>
      <c r="C32" s="56">
        <v>0.5</v>
      </c>
      <c r="D32" s="56"/>
      <c r="E32" s="57"/>
      <c r="F32" s="57"/>
      <c r="G32" s="57"/>
      <c r="H32" s="58"/>
      <c r="I32" s="58"/>
      <c r="J32" s="58"/>
      <c r="K32" s="59"/>
      <c r="L32" s="59"/>
      <c r="M32" s="59"/>
      <c r="O32" s="32">
        <v>185.2</v>
      </c>
      <c r="P32">
        <v>923</v>
      </c>
      <c r="Q32">
        <v>603</v>
      </c>
    </row>
    <row r="33" spans="1:17" ht="15.75" customHeight="1">
      <c r="A33" s="87" t="s">
        <v>380</v>
      </c>
      <c r="B33" s="56">
        <v>184.02</v>
      </c>
      <c r="C33" s="56">
        <v>1</v>
      </c>
      <c r="D33" s="56"/>
      <c r="E33" s="57">
        <v>184.16</v>
      </c>
      <c r="F33" s="57">
        <v>0.25</v>
      </c>
      <c r="G33" s="57"/>
      <c r="H33" s="58"/>
      <c r="I33" s="58"/>
      <c r="J33" s="58"/>
      <c r="K33" s="59"/>
      <c r="L33" s="59"/>
      <c r="M33" s="59"/>
      <c r="O33" s="36">
        <v>183.08</v>
      </c>
      <c r="P33">
        <v>1379</v>
      </c>
      <c r="Q33">
        <v>701</v>
      </c>
    </row>
    <row r="34" spans="1:17" ht="15.75" customHeight="1">
      <c r="A34" s="87" t="s">
        <v>313</v>
      </c>
      <c r="B34" s="56">
        <v>184.06</v>
      </c>
      <c r="C34" s="56">
        <v>0.66700000000000004</v>
      </c>
      <c r="D34" s="56"/>
      <c r="E34" s="57">
        <v>182.03</v>
      </c>
      <c r="F34" s="57">
        <v>0.2</v>
      </c>
      <c r="G34" s="57"/>
      <c r="H34" s="58"/>
      <c r="I34" s="58"/>
      <c r="J34" s="58"/>
      <c r="K34" s="59"/>
      <c r="L34" s="59"/>
      <c r="M34" s="59"/>
      <c r="O34" s="32">
        <v>185.17</v>
      </c>
      <c r="P34">
        <v>241</v>
      </c>
      <c r="Q34">
        <v>224</v>
      </c>
    </row>
    <row r="35" spans="1:17" ht="15.75" customHeight="1">
      <c r="A35" s="87" t="s">
        <v>368</v>
      </c>
      <c r="B35" s="56">
        <v>184.06</v>
      </c>
      <c r="C35" s="56">
        <v>0.33300000000000002</v>
      </c>
      <c r="D35" s="56"/>
      <c r="E35" s="57">
        <v>184.07</v>
      </c>
      <c r="F35" s="57">
        <v>1</v>
      </c>
      <c r="G35" s="57"/>
      <c r="H35" s="58"/>
      <c r="I35" s="58"/>
      <c r="J35" s="58"/>
      <c r="K35" s="59"/>
      <c r="L35" s="59"/>
      <c r="M35" s="59"/>
      <c r="O35" s="36">
        <v>187.07</v>
      </c>
      <c r="P35">
        <v>118</v>
      </c>
      <c r="Q35">
        <v>157</v>
      </c>
    </row>
    <row r="36" spans="1:17" ht="12.75">
      <c r="A36" s="87" t="s">
        <v>354</v>
      </c>
      <c r="B36" s="56">
        <v>184.08</v>
      </c>
      <c r="C36" s="56">
        <v>1</v>
      </c>
      <c r="D36" s="56"/>
      <c r="E36" s="57"/>
      <c r="F36" s="57"/>
      <c r="G36" s="57"/>
      <c r="H36" s="58"/>
      <c r="I36" s="58"/>
      <c r="J36" s="58"/>
      <c r="K36" s="59"/>
      <c r="L36" s="59"/>
      <c r="M36" s="59"/>
      <c r="O36" s="36">
        <v>189.08</v>
      </c>
      <c r="P36">
        <v>602</v>
      </c>
      <c r="Q36">
        <v>428</v>
      </c>
    </row>
    <row r="37" spans="1:17" ht="12.75">
      <c r="A37" s="87" t="s">
        <v>371</v>
      </c>
      <c r="B37" s="56">
        <v>184.09</v>
      </c>
      <c r="C37" s="56">
        <v>0.5</v>
      </c>
      <c r="D37" s="56"/>
      <c r="E37" s="57">
        <v>184.1</v>
      </c>
      <c r="F37" s="57">
        <v>0.5</v>
      </c>
      <c r="G37" s="57"/>
      <c r="H37" s="58"/>
      <c r="I37" s="58"/>
      <c r="J37" s="58"/>
      <c r="K37" s="59"/>
      <c r="L37" s="59"/>
      <c r="M37" s="59"/>
      <c r="O37" s="36">
        <v>187.16</v>
      </c>
      <c r="P37">
        <v>576</v>
      </c>
      <c r="Q37">
        <v>429</v>
      </c>
    </row>
    <row r="38" spans="1:17" ht="12.75">
      <c r="A38" s="87" t="s">
        <v>394</v>
      </c>
      <c r="B38" s="56">
        <v>184.1</v>
      </c>
      <c r="C38" s="56">
        <v>0.5</v>
      </c>
      <c r="D38" s="56"/>
      <c r="E38" s="57"/>
      <c r="F38" s="57"/>
      <c r="G38" s="57"/>
      <c r="H38" s="58"/>
      <c r="I38" s="58"/>
      <c r="J38" s="58"/>
      <c r="K38" s="59"/>
      <c r="L38" s="59"/>
      <c r="M38" s="59"/>
      <c r="O38" s="44">
        <v>181.09</v>
      </c>
      <c r="P38">
        <v>727</v>
      </c>
      <c r="Q38">
        <v>561</v>
      </c>
    </row>
    <row r="39" spans="1:17" ht="12.75">
      <c r="A39" s="87" t="s">
        <v>324</v>
      </c>
      <c r="B39" s="56">
        <v>184.11</v>
      </c>
      <c r="C39" s="56">
        <v>1</v>
      </c>
      <c r="D39" s="56"/>
      <c r="E39" s="57"/>
      <c r="F39" s="57"/>
      <c r="G39" s="57"/>
      <c r="H39" s="58"/>
      <c r="I39" s="58"/>
      <c r="J39" s="58"/>
      <c r="K39" s="59"/>
      <c r="L39" s="59"/>
      <c r="M39" s="59"/>
      <c r="O39" s="33">
        <v>191.03</v>
      </c>
      <c r="P39">
        <v>556</v>
      </c>
      <c r="Q39">
        <v>355</v>
      </c>
    </row>
    <row r="40" spans="1:17" ht="12.75">
      <c r="A40" s="87" t="s">
        <v>320</v>
      </c>
      <c r="B40" s="56">
        <v>184.12</v>
      </c>
      <c r="C40" s="56">
        <v>0.5</v>
      </c>
      <c r="D40" s="56"/>
      <c r="E40" s="57">
        <v>184.13</v>
      </c>
      <c r="F40" s="57">
        <v>0.1</v>
      </c>
      <c r="G40" s="57"/>
      <c r="H40" s="58">
        <v>184.14</v>
      </c>
      <c r="I40" s="58">
        <v>0.2</v>
      </c>
      <c r="J40" s="58"/>
      <c r="K40" s="59"/>
      <c r="L40" s="59"/>
      <c r="M40" s="59"/>
      <c r="O40" s="32">
        <v>185.16</v>
      </c>
      <c r="P40">
        <v>284</v>
      </c>
      <c r="Q40">
        <v>396</v>
      </c>
    </row>
    <row r="41" spans="1:17" ht="12.75">
      <c r="A41" s="87" t="s">
        <v>291</v>
      </c>
      <c r="B41" s="56">
        <v>184.13</v>
      </c>
      <c r="C41" s="56">
        <v>0.3</v>
      </c>
      <c r="D41" s="56"/>
      <c r="E41" s="57">
        <v>184.12</v>
      </c>
      <c r="F41" s="57">
        <v>0.3</v>
      </c>
      <c r="G41" s="57"/>
      <c r="H41" s="58"/>
      <c r="I41" s="58"/>
      <c r="J41" s="58"/>
      <c r="K41" s="59"/>
      <c r="L41" s="59"/>
      <c r="M41" s="59"/>
      <c r="O41" s="32">
        <v>186.01</v>
      </c>
      <c r="P41">
        <v>575</v>
      </c>
      <c r="Q41">
        <v>487</v>
      </c>
    </row>
    <row r="42" spans="1:17" ht="12.75">
      <c r="A42" s="87" t="s">
        <v>315</v>
      </c>
      <c r="B42" s="56">
        <v>184.13</v>
      </c>
      <c r="C42" s="56">
        <v>0.2</v>
      </c>
      <c r="D42" s="56"/>
      <c r="E42" s="57">
        <v>182.03</v>
      </c>
      <c r="F42" s="57">
        <v>0.4</v>
      </c>
      <c r="G42" s="57"/>
      <c r="H42" s="58"/>
      <c r="I42" s="58"/>
      <c r="J42" s="58"/>
      <c r="K42" s="59"/>
      <c r="L42" s="59"/>
      <c r="M42" s="59"/>
      <c r="O42" s="32">
        <v>185.19</v>
      </c>
      <c r="P42">
        <v>722</v>
      </c>
      <c r="Q42">
        <v>543</v>
      </c>
    </row>
    <row r="43" spans="1:17" ht="12.75">
      <c r="A43" s="87" t="s">
        <v>294</v>
      </c>
      <c r="B43" s="56">
        <v>184.14</v>
      </c>
      <c r="C43" s="56">
        <v>0.8</v>
      </c>
      <c r="D43" s="56"/>
      <c r="E43" s="57">
        <v>184.13</v>
      </c>
      <c r="F43" s="57">
        <v>0.2</v>
      </c>
      <c r="G43" s="57"/>
      <c r="H43" s="58"/>
      <c r="I43" s="58"/>
      <c r="J43" s="58"/>
      <c r="K43" s="59"/>
      <c r="L43" s="59"/>
      <c r="M43" s="59"/>
      <c r="O43" s="32">
        <v>186.02</v>
      </c>
      <c r="P43">
        <v>282</v>
      </c>
      <c r="Q43">
        <v>370</v>
      </c>
    </row>
    <row r="44" spans="1:17" ht="12.75">
      <c r="A44" s="87" t="s">
        <v>359</v>
      </c>
      <c r="B44" s="56">
        <v>184.16</v>
      </c>
      <c r="C44" s="56">
        <v>0.6</v>
      </c>
      <c r="D44" s="56"/>
      <c r="E44" s="57"/>
      <c r="F44" s="57"/>
      <c r="G44" s="57"/>
      <c r="H44" s="58"/>
      <c r="I44" s="58"/>
      <c r="J44" s="58"/>
      <c r="K44" s="59"/>
      <c r="L44" s="59"/>
      <c r="M44" s="59"/>
      <c r="O44" s="36">
        <v>189.1</v>
      </c>
      <c r="P44">
        <v>765</v>
      </c>
      <c r="Q44">
        <v>709</v>
      </c>
    </row>
    <row r="45" spans="1:17" ht="12.75">
      <c r="A45" s="87" t="s">
        <v>396</v>
      </c>
      <c r="B45" s="56">
        <v>184.16</v>
      </c>
      <c r="C45" s="56">
        <v>0.15</v>
      </c>
      <c r="D45" s="56"/>
      <c r="E45" s="57">
        <v>184.15</v>
      </c>
      <c r="F45" s="57">
        <v>1</v>
      </c>
      <c r="G45" s="57"/>
      <c r="H45" s="58">
        <v>184.09</v>
      </c>
      <c r="I45" s="58">
        <v>0.5</v>
      </c>
      <c r="J45" s="58"/>
      <c r="K45" s="59"/>
      <c r="L45" s="59"/>
      <c r="M45" s="59"/>
      <c r="O45" s="44">
        <v>181.07</v>
      </c>
      <c r="P45">
        <v>172</v>
      </c>
      <c r="Q45">
        <v>266</v>
      </c>
    </row>
    <row r="46" spans="1:17" ht="12.75">
      <c r="A46" s="87" t="s">
        <v>392</v>
      </c>
      <c r="B46" s="56">
        <v>185.05</v>
      </c>
      <c r="C46" s="56">
        <v>0.8</v>
      </c>
      <c r="D46" s="56"/>
      <c r="E46" s="57"/>
      <c r="F46" s="57"/>
      <c r="G46" s="57"/>
      <c r="H46" s="58"/>
      <c r="I46" s="58"/>
      <c r="J46" s="58"/>
      <c r="K46" s="59"/>
      <c r="L46" s="59"/>
      <c r="M46" s="59"/>
      <c r="O46" s="44">
        <v>181.1</v>
      </c>
      <c r="P46">
        <v>337</v>
      </c>
      <c r="Q46">
        <v>316</v>
      </c>
    </row>
    <row r="47" spans="1:17" ht="12.75">
      <c r="A47" s="87" t="s">
        <v>303</v>
      </c>
      <c r="B47" s="56">
        <v>185.07</v>
      </c>
      <c r="C47" s="56">
        <v>0.33300000000000002</v>
      </c>
      <c r="D47" s="56"/>
      <c r="E47" s="57"/>
      <c r="F47" s="57"/>
      <c r="G47" s="57"/>
      <c r="H47" s="58"/>
      <c r="I47" s="58"/>
      <c r="J47" s="58"/>
      <c r="K47" s="59"/>
      <c r="L47" s="59"/>
      <c r="M47" s="59"/>
      <c r="O47" s="32">
        <v>185.1</v>
      </c>
      <c r="P47">
        <v>358</v>
      </c>
      <c r="Q47">
        <v>438</v>
      </c>
    </row>
    <row r="48" spans="1:17" ht="12.75">
      <c r="A48" s="87" t="s">
        <v>363</v>
      </c>
      <c r="B48" s="56">
        <v>185.07</v>
      </c>
      <c r="C48" s="56">
        <v>0.33300000000000002</v>
      </c>
      <c r="D48" s="56"/>
      <c r="E48" s="57">
        <v>184.12</v>
      </c>
      <c r="F48" s="57">
        <v>0.2</v>
      </c>
      <c r="G48" s="57"/>
      <c r="H48" s="58">
        <v>184.13</v>
      </c>
      <c r="I48" s="58">
        <v>0.2</v>
      </c>
      <c r="J48" s="58"/>
      <c r="K48" s="59"/>
      <c r="L48" s="59"/>
      <c r="M48" s="59"/>
      <c r="O48" s="36">
        <v>188.04</v>
      </c>
      <c r="P48">
        <v>516</v>
      </c>
      <c r="Q48">
        <v>439</v>
      </c>
    </row>
    <row r="49" spans="1:17" ht="12.75">
      <c r="A49" s="87" t="s">
        <v>343</v>
      </c>
      <c r="B49" s="56">
        <v>185.09</v>
      </c>
      <c r="C49" s="56">
        <v>0.66700000000000004</v>
      </c>
      <c r="D49" s="56"/>
      <c r="E49" s="57"/>
      <c r="F49" s="57"/>
      <c r="G49" s="57"/>
      <c r="H49" s="58"/>
      <c r="I49" s="58"/>
      <c r="J49" s="58"/>
      <c r="K49" s="59"/>
      <c r="L49" s="59"/>
      <c r="M49" s="59"/>
      <c r="O49" s="33">
        <v>184.13</v>
      </c>
      <c r="P49">
        <v>328</v>
      </c>
      <c r="Q49">
        <v>347</v>
      </c>
    </row>
    <row r="50" spans="1:17" ht="12.75">
      <c r="A50" s="87" t="s">
        <v>391</v>
      </c>
      <c r="B50" s="56">
        <v>185.1</v>
      </c>
      <c r="C50" s="56">
        <v>0.5</v>
      </c>
      <c r="D50" s="56"/>
      <c r="E50" s="57">
        <v>185.11</v>
      </c>
      <c r="F50" s="57">
        <v>0.33300000000000002</v>
      </c>
      <c r="G50" s="57"/>
      <c r="H50" s="58"/>
      <c r="I50" s="58"/>
      <c r="J50" s="58"/>
      <c r="K50" s="59"/>
      <c r="L50" s="59"/>
      <c r="M50" s="59"/>
      <c r="O50" s="44">
        <v>181.14</v>
      </c>
      <c r="P50">
        <v>321</v>
      </c>
      <c r="Q50">
        <v>236</v>
      </c>
    </row>
    <row r="51" spans="1:17" ht="12.75">
      <c r="A51" s="87" t="s">
        <v>384</v>
      </c>
      <c r="B51" s="56">
        <v>185.11</v>
      </c>
      <c r="C51" s="56">
        <v>0.66700000000000004</v>
      </c>
      <c r="D51" s="56"/>
      <c r="E51" s="57"/>
      <c r="F51" s="57"/>
      <c r="G51" s="57"/>
      <c r="H51" s="58"/>
      <c r="I51" s="58"/>
      <c r="J51" s="58"/>
      <c r="K51" s="59"/>
      <c r="L51" s="59"/>
      <c r="M51" s="59"/>
      <c r="O51" s="44">
        <v>188.05</v>
      </c>
      <c r="P51">
        <v>289</v>
      </c>
      <c r="Q51">
        <v>215</v>
      </c>
    </row>
    <row r="52" spans="1:17" ht="12.75">
      <c r="A52" s="87" t="s">
        <v>355</v>
      </c>
      <c r="B52" s="56">
        <v>185.12</v>
      </c>
      <c r="C52" s="56">
        <v>0.5</v>
      </c>
      <c r="D52" s="56"/>
      <c r="E52" s="57"/>
      <c r="F52" s="57"/>
      <c r="G52" s="57"/>
      <c r="H52" s="58"/>
      <c r="I52" s="58"/>
      <c r="J52" s="58"/>
      <c r="K52" s="59"/>
      <c r="L52" s="59"/>
      <c r="M52" s="59"/>
      <c r="O52" s="36">
        <v>189.03</v>
      </c>
      <c r="P52">
        <v>303</v>
      </c>
      <c r="Q52">
        <v>284</v>
      </c>
    </row>
    <row r="53" spans="1:17" ht="12.75">
      <c r="A53" s="87" t="s">
        <v>358</v>
      </c>
      <c r="B53" s="56">
        <v>185.12</v>
      </c>
      <c r="C53" s="56">
        <v>0.5</v>
      </c>
      <c r="D53" s="56"/>
      <c r="E53" s="57">
        <v>185.05</v>
      </c>
      <c r="F53" s="57">
        <v>0.2</v>
      </c>
      <c r="G53" s="57"/>
      <c r="H53" s="58"/>
      <c r="I53" s="58"/>
      <c r="J53" s="58"/>
      <c r="K53" s="59"/>
      <c r="L53" s="59"/>
      <c r="M53" s="59"/>
      <c r="O53" s="36">
        <v>189.07</v>
      </c>
      <c r="P53">
        <v>339</v>
      </c>
      <c r="Q53">
        <v>387</v>
      </c>
    </row>
    <row r="54" spans="1:17" ht="12.75">
      <c r="A54" s="87" t="s">
        <v>399</v>
      </c>
      <c r="B54" s="56">
        <v>185.15</v>
      </c>
      <c r="C54" s="56">
        <v>0.66700000000000004</v>
      </c>
      <c r="D54" s="56"/>
      <c r="E54" s="57">
        <v>185.16</v>
      </c>
      <c r="F54" s="57">
        <v>0.5</v>
      </c>
      <c r="G54" s="57"/>
      <c r="H54" s="58"/>
      <c r="I54" s="58"/>
      <c r="J54" s="58"/>
      <c r="K54" s="59"/>
      <c r="L54" s="59"/>
      <c r="M54" s="59"/>
      <c r="O54" s="44">
        <v>170.03</v>
      </c>
      <c r="P54">
        <v>50</v>
      </c>
      <c r="Q54">
        <v>76</v>
      </c>
    </row>
    <row r="55" spans="1:17" ht="12.75">
      <c r="A55" s="87" t="s">
        <v>369</v>
      </c>
      <c r="B55" s="56">
        <v>185.16</v>
      </c>
      <c r="C55" s="56">
        <v>0.5</v>
      </c>
      <c r="D55" s="56"/>
      <c r="E55" s="57">
        <v>185.1</v>
      </c>
      <c r="F55" s="57">
        <v>0.5</v>
      </c>
      <c r="G55" s="57"/>
      <c r="H55" s="58"/>
      <c r="I55" s="58"/>
      <c r="J55" s="58"/>
      <c r="K55" s="59"/>
      <c r="L55" s="59"/>
      <c r="M55" s="59"/>
      <c r="O55" s="36">
        <v>187.15</v>
      </c>
      <c r="P55">
        <v>514</v>
      </c>
      <c r="Q55">
        <v>388</v>
      </c>
    </row>
    <row r="56" spans="1:17" ht="12.75">
      <c r="A56" s="87" t="s">
        <v>370</v>
      </c>
      <c r="B56" s="56">
        <v>185.17</v>
      </c>
      <c r="C56" s="56">
        <v>1</v>
      </c>
      <c r="D56" s="56"/>
      <c r="E56" s="57"/>
      <c r="F56" s="57"/>
      <c r="G56" s="57"/>
      <c r="H56" s="58"/>
      <c r="I56" s="58"/>
      <c r="J56" s="58"/>
      <c r="K56" s="59"/>
      <c r="L56" s="59"/>
      <c r="M56" s="59"/>
      <c r="O56" s="36">
        <v>187.14</v>
      </c>
      <c r="P56">
        <v>329</v>
      </c>
      <c r="Q56">
        <v>80</v>
      </c>
    </row>
    <row r="57" spans="1:17" ht="12.75">
      <c r="A57" s="87" t="s">
        <v>353</v>
      </c>
      <c r="B57" s="56">
        <v>185.18</v>
      </c>
      <c r="C57" s="56">
        <v>0.66700000000000004</v>
      </c>
      <c r="D57" s="56"/>
      <c r="E57" s="57"/>
      <c r="F57" s="57"/>
      <c r="G57" s="57"/>
      <c r="H57" s="58"/>
      <c r="I57" s="58"/>
      <c r="J57" s="58"/>
      <c r="K57" s="59"/>
      <c r="L57" s="59"/>
      <c r="M57" s="59"/>
      <c r="O57" s="36">
        <v>189.05</v>
      </c>
      <c r="P57">
        <v>760</v>
      </c>
      <c r="Q57">
        <v>497</v>
      </c>
    </row>
    <row r="58" spans="1:17" ht="12.75">
      <c r="A58" s="87" t="s">
        <v>372</v>
      </c>
      <c r="B58" s="56">
        <v>185.18</v>
      </c>
      <c r="C58" s="56">
        <v>0.33300000000000002</v>
      </c>
      <c r="D58" s="56"/>
      <c r="E58" s="57">
        <v>185.08</v>
      </c>
      <c r="F58" s="57">
        <v>1</v>
      </c>
      <c r="G58" s="57"/>
      <c r="H58" s="58">
        <v>185.07</v>
      </c>
      <c r="I58" s="58">
        <v>0.33300000000000002</v>
      </c>
      <c r="J58" s="58"/>
      <c r="K58" s="59"/>
      <c r="L58" s="59"/>
      <c r="M58" s="59"/>
      <c r="O58" s="36">
        <v>182.04</v>
      </c>
      <c r="P58">
        <v>177</v>
      </c>
      <c r="Q58">
        <v>151</v>
      </c>
    </row>
    <row r="59" spans="1:17" ht="12.75">
      <c r="A59" s="87" t="s">
        <v>345</v>
      </c>
      <c r="B59" s="56">
        <v>185.19</v>
      </c>
      <c r="C59" s="56">
        <v>1</v>
      </c>
      <c r="D59" s="56"/>
      <c r="E59" s="57">
        <v>185.2</v>
      </c>
      <c r="F59" s="57">
        <v>1</v>
      </c>
      <c r="G59" s="57"/>
      <c r="H59" s="58"/>
      <c r="I59" s="58"/>
      <c r="J59" s="58"/>
      <c r="K59" s="59"/>
      <c r="L59" s="59"/>
      <c r="M59" s="59"/>
      <c r="O59" s="33">
        <v>182.03</v>
      </c>
      <c r="P59">
        <v>120</v>
      </c>
      <c r="Q59">
        <v>163</v>
      </c>
    </row>
    <row r="60" spans="1:17" ht="12.75">
      <c r="A60" s="87" t="s">
        <v>400</v>
      </c>
      <c r="B60" s="56">
        <v>185.21</v>
      </c>
      <c r="C60" s="56">
        <v>1</v>
      </c>
      <c r="D60" s="56"/>
      <c r="E60" s="57">
        <v>185.22</v>
      </c>
      <c r="F60" s="57">
        <v>1</v>
      </c>
      <c r="G60" s="57"/>
      <c r="H60" s="58"/>
      <c r="I60" s="58"/>
      <c r="J60" s="58"/>
      <c r="K60" s="59"/>
      <c r="L60" s="59"/>
      <c r="M60" s="59"/>
      <c r="O60" s="44">
        <v>170.05</v>
      </c>
      <c r="P60">
        <v>202</v>
      </c>
      <c r="Q60">
        <v>91</v>
      </c>
    </row>
    <row r="61" spans="1:17" ht="12.75">
      <c r="A61" s="87" t="s">
        <v>378</v>
      </c>
      <c r="B61" s="56">
        <v>186.01</v>
      </c>
      <c r="C61" s="56">
        <v>0.25</v>
      </c>
      <c r="D61" s="56"/>
      <c r="E61" s="57">
        <v>186.02</v>
      </c>
      <c r="F61" s="57">
        <v>0.25</v>
      </c>
      <c r="G61" s="57"/>
      <c r="H61" s="58"/>
      <c r="I61" s="58"/>
      <c r="J61" s="58"/>
      <c r="K61" s="59"/>
      <c r="L61" s="59"/>
      <c r="M61" s="59"/>
      <c r="O61" s="36">
        <v>183.07</v>
      </c>
      <c r="P61">
        <v>996</v>
      </c>
      <c r="Q61">
        <v>829</v>
      </c>
    </row>
    <row r="62" spans="1:17" ht="12.75">
      <c r="A62" s="87" t="s">
        <v>382</v>
      </c>
      <c r="B62" s="56">
        <v>186.01</v>
      </c>
      <c r="C62" s="56">
        <v>0.25</v>
      </c>
      <c r="D62" s="56"/>
      <c r="E62" s="57">
        <v>186.02</v>
      </c>
      <c r="F62" s="57">
        <v>0.75</v>
      </c>
      <c r="G62" s="57"/>
      <c r="H62" s="58">
        <v>192</v>
      </c>
      <c r="I62" s="58">
        <v>0.33</v>
      </c>
      <c r="J62" s="58"/>
      <c r="K62" s="59"/>
      <c r="L62" s="59"/>
      <c r="M62" s="59"/>
      <c r="O62" s="44">
        <v>182.06</v>
      </c>
      <c r="P62">
        <v>124</v>
      </c>
      <c r="Q62">
        <v>100</v>
      </c>
    </row>
    <row r="63" spans="1:17" ht="12.75">
      <c r="A63" s="87" t="s">
        <v>401</v>
      </c>
      <c r="B63" s="56">
        <v>186.01</v>
      </c>
      <c r="C63" s="56">
        <v>0.5</v>
      </c>
      <c r="D63" s="56"/>
      <c r="E63" s="57"/>
      <c r="F63" s="57"/>
      <c r="G63" s="57"/>
      <c r="H63" s="58"/>
      <c r="I63" s="58"/>
      <c r="J63" s="58"/>
      <c r="K63" s="59"/>
      <c r="L63" s="59"/>
      <c r="M63" s="59"/>
      <c r="O63" s="44">
        <v>170.08</v>
      </c>
      <c r="P63">
        <v>257</v>
      </c>
      <c r="Q63">
        <v>180</v>
      </c>
    </row>
    <row r="64" spans="1:17" ht="12.75">
      <c r="A64" s="87" t="s">
        <v>379</v>
      </c>
      <c r="B64" s="56">
        <v>186.05</v>
      </c>
      <c r="C64" s="56">
        <v>0.5</v>
      </c>
      <c r="D64" s="56"/>
      <c r="E64" s="57">
        <v>186.06</v>
      </c>
      <c r="F64" s="57">
        <v>0.5</v>
      </c>
      <c r="G64" s="57"/>
      <c r="H64" s="58"/>
      <c r="I64" s="58"/>
      <c r="J64" s="58"/>
      <c r="K64" s="59"/>
      <c r="L64" s="59"/>
      <c r="M64" s="59"/>
      <c r="O64" s="36">
        <v>183.06</v>
      </c>
      <c r="P64">
        <v>216</v>
      </c>
      <c r="Q64">
        <v>136</v>
      </c>
    </row>
    <row r="65" spans="1:17" ht="12.75">
      <c r="A65" s="87" t="s">
        <v>397</v>
      </c>
      <c r="B65" s="56">
        <v>186.05</v>
      </c>
      <c r="C65" s="56">
        <v>0.5</v>
      </c>
      <c r="D65" s="56"/>
      <c r="E65" s="57">
        <v>186.06</v>
      </c>
      <c r="F65" s="57">
        <v>0.25</v>
      </c>
      <c r="G65" s="57"/>
      <c r="H65" s="58"/>
      <c r="I65" s="58"/>
      <c r="J65" s="58"/>
      <c r="K65" s="59"/>
      <c r="L65" s="59"/>
      <c r="M65" s="59"/>
      <c r="O65" s="44">
        <v>181.08</v>
      </c>
      <c r="P65">
        <v>255</v>
      </c>
      <c r="Q65">
        <v>161</v>
      </c>
    </row>
    <row r="66" spans="1:17" ht="12.75">
      <c r="A66" s="87" t="s">
        <v>398</v>
      </c>
      <c r="B66" s="56">
        <v>186.05</v>
      </c>
      <c r="C66" s="56">
        <v>0.5</v>
      </c>
      <c r="D66" s="56"/>
      <c r="E66" s="57">
        <v>186.06</v>
      </c>
      <c r="F66" s="57">
        <v>0.25</v>
      </c>
      <c r="G66" s="57"/>
      <c r="H66" s="58"/>
      <c r="I66" s="58"/>
      <c r="J66" s="58"/>
      <c r="K66" s="59"/>
      <c r="L66" s="59"/>
      <c r="M66" s="59"/>
      <c r="O66" s="44">
        <v>170.04</v>
      </c>
      <c r="P66">
        <v>266</v>
      </c>
      <c r="Q66">
        <v>299</v>
      </c>
    </row>
    <row r="67" spans="1:17" ht="12.75">
      <c r="A67" s="87" t="s">
        <v>364</v>
      </c>
      <c r="B67" s="56">
        <v>186.06</v>
      </c>
      <c r="C67" s="56">
        <v>0.25</v>
      </c>
      <c r="D67" s="56"/>
      <c r="E67" s="57">
        <v>185.09</v>
      </c>
      <c r="F67" s="57">
        <v>0.33300000000000002</v>
      </c>
      <c r="G67" s="57"/>
      <c r="H67" s="58">
        <v>186.07</v>
      </c>
      <c r="I67" s="58">
        <v>0.5</v>
      </c>
      <c r="J67" s="58"/>
      <c r="K67" s="59">
        <v>185.15</v>
      </c>
      <c r="L67" s="59">
        <v>0.33300000000000002</v>
      </c>
      <c r="M67" s="59"/>
      <c r="O67" s="36">
        <v>187.12</v>
      </c>
      <c r="P67">
        <v>462</v>
      </c>
      <c r="Q67">
        <v>344</v>
      </c>
    </row>
    <row r="68" spans="1:17" ht="12.75">
      <c r="A68" s="87" t="s">
        <v>356</v>
      </c>
      <c r="B68" s="56">
        <v>186.08</v>
      </c>
      <c r="C68" s="56">
        <v>0.5</v>
      </c>
      <c r="D68" s="56"/>
      <c r="E68" s="57">
        <v>186.07</v>
      </c>
      <c r="F68" s="57">
        <v>0.5</v>
      </c>
      <c r="G68" s="57"/>
      <c r="H68" s="58"/>
      <c r="I68" s="58"/>
      <c r="J68" s="58"/>
      <c r="K68" s="59"/>
      <c r="L68" s="59"/>
      <c r="M68" s="59"/>
      <c r="O68" s="36">
        <v>188.01</v>
      </c>
      <c r="P68">
        <v>301</v>
      </c>
      <c r="Q68">
        <v>272</v>
      </c>
    </row>
    <row r="69" spans="1:17" ht="12.75">
      <c r="A69" s="87" t="s">
        <v>375</v>
      </c>
      <c r="B69" s="56">
        <v>187.03</v>
      </c>
      <c r="C69" s="56">
        <v>0.5</v>
      </c>
      <c r="D69" s="56"/>
      <c r="E69" s="57">
        <v>187.05</v>
      </c>
      <c r="F69" s="57">
        <v>0.25</v>
      </c>
      <c r="G69" s="57"/>
      <c r="H69" s="58"/>
      <c r="I69" s="58"/>
      <c r="J69" s="58"/>
      <c r="K69" s="59"/>
      <c r="L69" s="59"/>
      <c r="M69" s="59"/>
      <c r="O69" s="36">
        <v>183.01</v>
      </c>
      <c r="P69">
        <v>549</v>
      </c>
      <c r="Q69">
        <v>464</v>
      </c>
    </row>
    <row r="70" spans="1:17" ht="12.75">
      <c r="A70" s="87" t="s">
        <v>377</v>
      </c>
      <c r="B70" s="56">
        <v>187.03</v>
      </c>
      <c r="C70" s="56">
        <v>0.25</v>
      </c>
      <c r="D70" s="56"/>
      <c r="E70" s="57">
        <v>189.05</v>
      </c>
      <c r="F70" s="57">
        <v>0.66700000000000004</v>
      </c>
      <c r="G70" s="57"/>
      <c r="H70" s="58"/>
      <c r="I70" s="58"/>
      <c r="J70" s="58"/>
      <c r="K70" s="59"/>
      <c r="L70" s="59"/>
      <c r="M70" s="59"/>
      <c r="O70" s="36">
        <v>183.05</v>
      </c>
      <c r="P70">
        <v>2046</v>
      </c>
      <c r="Q70">
        <v>1031</v>
      </c>
    </row>
    <row r="71" spans="1:17" ht="12.75">
      <c r="A71" s="87" t="s">
        <v>361</v>
      </c>
      <c r="B71" s="56">
        <v>187.04</v>
      </c>
      <c r="C71" s="56">
        <v>1</v>
      </c>
      <c r="D71" s="56"/>
      <c r="E71" s="57">
        <v>187.05</v>
      </c>
      <c r="F71" s="57">
        <v>0.25</v>
      </c>
      <c r="G71" s="57"/>
      <c r="H71" s="58">
        <v>190.01</v>
      </c>
      <c r="I71" s="58">
        <v>0.25</v>
      </c>
      <c r="J71" s="58"/>
      <c r="K71" s="59"/>
      <c r="L71" s="59"/>
      <c r="M71" s="59"/>
      <c r="O71" s="36">
        <v>188.08</v>
      </c>
      <c r="P71">
        <v>503</v>
      </c>
      <c r="Q71">
        <v>551</v>
      </c>
    </row>
    <row r="72" spans="1:17" ht="12.75">
      <c r="A72" s="87" t="s">
        <v>393</v>
      </c>
      <c r="B72" s="56">
        <v>187.05</v>
      </c>
      <c r="C72" s="56">
        <v>0.5</v>
      </c>
      <c r="D72" s="56"/>
      <c r="E72" s="57"/>
      <c r="F72" s="57"/>
      <c r="G72" s="57"/>
      <c r="H72" s="58"/>
      <c r="I72" s="58"/>
      <c r="J72" s="58"/>
      <c r="K72" s="59"/>
      <c r="L72" s="59"/>
      <c r="M72" s="59"/>
      <c r="O72" s="44">
        <v>181.11</v>
      </c>
      <c r="P72">
        <v>192</v>
      </c>
      <c r="Q72">
        <v>203</v>
      </c>
    </row>
    <row r="73" spans="1:17" ht="12.75">
      <c r="A73" s="87" t="s">
        <v>360</v>
      </c>
      <c r="B73" s="56">
        <v>187.06</v>
      </c>
      <c r="C73" s="56">
        <v>0.5</v>
      </c>
      <c r="D73" s="56"/>
      <c r="E73" s="57">
        <v>187.11</v>
      </c>
      <c r="F73" s="57">
        <v>0.33300000000000002</v>
      </c>
      <c r="G73" s="57"/>
      <c r="H73" s="58"/>
      <c r="I73" s="58"/>
      <c r="J73" s="58"/>
      <c r="K73" s="59"/>
      <c r="L73" s="59"/>
      <c r="M73" s="59"/>
      <c r="O73" s="36">
        <v>189.09</v>
      </c>
      <c r="P73">
        <v>388</v>
      </c>
      <c r="Q73">
        <v>354</v>
      </c>
    </row>
    <row r="74" spans="1:17" ht="12.75">
      <c r="A74" s="87" t="s">
        <v>386</v>
      </c>
      <c r="B74" s="56">
        <v>187.06</v>
      </c>
      <c r="C74" s="56">
        <v>0.5</v>
      </c>
      <c r="D74" s="56"/>
      <c r="E74" s="57">
        <v>188.04</v>
      </c>
      <c r="F74" s="57">
        <v>1</v>
      </c>
      <c r="G74" s="57"/>
      <c r="H74" s="58"/>
      <c r="I74" s="58"/>
      <c r="J74" s="58"/>
      <c r="K74" s="59"/>
      <c r="L74" s="59"/>
      <c r="M74" s="59"/>
      <c r="O74" s="44">
        <v>180.01</v>
      </c>
      <c r="P74">
        <v>1438</v>
      </c>
      <c r="Q74">
        <v>785</v>
      </c>
    </row>
    <row r="75" spans="1:17" ht="12.75">
      <c r="A75" s="87" t="s">
        <v>304</v>
      </c>
      <c r="B75" s="56">
        <v>187.11</v>
      </c>
      <c r="C75" s="56">
        <v>0.66700000000000004</v>
      </c>
      <c r="D75" s="56"/>
      <c r="E75" s="57">
        <v>187.07</v>
      </c>
      <c r="F75" s="57">
        <v>1</v>
      </c>
      <c r="G75" s="57"/>
      <c r="H75" s="58"/>
      <c r="I75" s="58"/>
      <c r="J75" s="58"/>
      <c r="K75" s="59"/>
      <c r="L75" s="59"/>
      <c r="M75" s="59"/>
      <c r="O75" s="32">
        <v>185.21</v>
      </c>
      <c r="P75">
        <v>550</v>
      </c>
      <c r="Q75">
        <v>247</v>
      </c>
    </row>
    <row r="76" spans="1:17" ht="12.75">
      <c r="A76" s="87" t="s">
        <v>376</v>
      </c>
      <c r="B76" s="56">
        <v>187.12</v>
      </c>
      <c r="C76" s="56">
        <v>1</v>
      </c>
      <c r="D76" s="56"/>
      <c r="E76" s="57"/>
      <c r="F76" s="57"/>
      <c r="G76" s="57"/>
      <c r="H76" s="58"/>
      <c r="I76" s="58"/>
      <c r="J76" s="58"/>
      <c r="K76" s="59"/>
      <c r="L76" s="59"/>
      <c r="M76" s="59"/>
      <c r="O76" s="36">
        <v>183.03</v>
      </c>
      <c r="P76">
        <v>519</v>
      </c>
      <c r="Q76">
        <v>341</v>
      </c>
    </row>
    <row r="77" spans="1:17" ht="12.75">
      <c r="A77" s="87" t="s">
        <v>351</v>
      </c>
      <c r="B77" s="56">
        <v>187.13</v>
      </c>
      <c r="C77" s="56">
        <v>1</v>
      </c>
      <c r="D77" s="56"/>
      <c r="E77" s="57">
        <v>182.03</v>
      </c>
      <c r="F77" s="57">
        <v>0.4</v>
      </c>
      <c r="G77" s="57"/>
      <c r="H77" s="58"/>
      <c r="I77" s="58"/>
      <c r="J77" s="58"/>
      <c r="K77" s="59"/>
      <c r="L77" s="59"/>
      <c r="M77" s="59"/>
      <c r="O77" s="33">
        <v>184.09</v>
      </c>
      <c r="P77">
        <v>566</v>
      </c>
      <c r="Q77">
        <v>368</v>
      </c>
    </row>
    <row r="78" spans="1:17" ht="12.75">
      <c r="A78" s="87" t="s">
        <v>311</v>
      </c>
      <c r="B78" s="56">
        <v>187.16</v>
      </c>
      <c r="C78" s="56">
        <v>0.33300000000000002</v>
      </c>
      <c r="D78" s="56"/>
      <c r="E78" s="57">
        <v>187.14</v>
      </c>
      <c r="F78" s="57">
        <v>1</v>
      </c>
      <c r="G78" s="57"/>
      <c r="H78" s="58">
        <v>187.15</v>
      </c>
      <c r="I78" s="58">
        <v>1</v>
      </c>
      <c r="J78" s="58"/>
      <c r="K78" s="59"/>
      <c r="L78" s="59"/>
      <c r="M78" s="59"/>
      <c r="O78" s="32">
        <v>185.22</v>
      </c>
      <c r="P78">
        <v>483</v>
      </c>
      <c r="Q78">
        <v>309</v>
      </c>
    </row>
    <row r="79" spans="1:17" ht="12.75">
      <c r="A79" s="87" t="s">
        <v>389</v>
      </c>
      <c r="B79" s="56">
        <v>188.01</v>
      </c>
      <c r="C79" s="56">
        <v>1</v>
      </c>
      <c r="D79" s="56"/>
      <c r="E79" s="57">
        <v>188.02</v>
      </c>
      <c r="F79" s="57">
        <v>0.75</v>
      </c>
      <c r="G79" s="57"/>
      <c r="H79" s="58"/>
      <c r="I79" s="58"/>
      <c r="J79" s="58"/>
      <c r="K79" s="59"/>
      <c r="L79" s="59"/>
      <c r="M79" s="59"/>
      <c r="O79" s="44">
        <v>181.13</v>
      </c>
      <c r="P79">
        <v>184</v>
      </c>
      <c r="Q79">
        <v>239</v>
      </c>
    </row>
    <row r="80" spans="1:17" ht="12.75">
      <c r="A80" s="87" t="s">
        <v>301</v>
      </c>
      <c r="B80" s="56">
        <v>188.02</v>
      </c>
      <c r="C80" s="56">
        <v>0.25</v>
      </c>
      <c r="D80" s="56"/>
      <c r="E80" s="57">
        <v>188.08</v>
      </c>
      <c r="F80" s="57">
        <v>0.5</v>
      </c>
      <c r="G80" s="57"/>
      <c r="H80" s="58">
        <v>188.07</v>
      </c>
      <c r="I80" s="58">
        <v>0.25</v>
      </c>
      <c r="J80" s="58"/>
      <c r="K80" s="59"/>
      <c r="L80" s="59"/>
      <c r="M80" s="59"/>
      <c r="O80" s="32">
        <v>185.11</v>
      </c>
      <c r="P80">
        <v>1052</v>
      </c>
      <c r="Q80">
        <v>593</v>
      </c>
    </row>
    <row r="81" spans="1:17" ht="12.75">
      <c r="A81" s="87" t="s">
        <v>385</v>
      </c>
      <c r="B81" s="56">
        <v>188.05</v>
      </c>
      <c r="C81" s="56">
        <v>1</v>
      </c>
      <c r="D81" s="56"/>
      <c r="E81" s="57">
        <v>188.06</v>
      </c>
      <c r="F81" s="57">
        <v>0.8</v>
      </c>
      <c r="G81" s="57"/>
      <c r="H81" s="58"/>
      <c r="I81" s="58"/>
      <c r="J81" s="58"/>
      <c r="K81" s="59"/>
      <c r="L81" s="59"/>
      <c r="M81" s="59"/>
      <c r="O81" s="44">
        <v>182.01</v>
      </c>
      <c r="P81">
        <v>598</v>
      </c>
      <c r="Q81">
        <v>398</v>
      </c>
    </row>
    <row r="82" spans="1:17" ht="12.75">
      <c r="A82" s="87" t="s">
        <v>365</v>
      </c>
      <c r="B82" s="56">
        <v>188.06</v>
      </c>
      <c r="C82" s="56">
        <v>0.2</v>
      </c>
      <c r="D82" s="56"/>
      <c r="E82" s="57">
        <v>182.06</v>
      </c>
      <c r="F82" s="57">
        <v>1</v>
      </c>
      <c r="G82" s="57"/>
      <c r="H82" s="58"/>
      <c r="I82" s="58"/>
      <c r="J82" s="58"/>
      <c r="K82" s="59"/>
      <c r="L82" s="59"/>
      <c r="M82" s="59"/>
      <c r="O82" s="36">
        <v>187.06</v>
      </c>
      <c r="P82">
        <v>898</v>
      </c>
      <c r="Q82">
        <v>748</v>
      </c>
    </row>
    <row r="83" spans="1:17" ht="12.75">
      <c r="A83" s="87" t="s">
        <v>325</v>
      </c>
      <c r="B83" s="56">
        <v>188.07</v>
      </c>
      <c r="C83" s="56">
        <v>0.75</v>
      </c>
      <c r="D83" s="56"/>
      <c r="E83" s="57">
        <v>188.08</v>
      </c>
      <c r="F83" s="57">
        <v>0.5</v>
      </c>
      <c r="G83" s="57"/>
      <c r="H83" s="58"/>
      <c r="I83" s="58"/>
      <c r="J83" s="58"/>
      <c r="K83" s="59"/>
      <c r="L83" s="59"/>
      <c r="M83" s="59"/>
      <c r="O83" s="33">
        <v>191.04</v>
      </c>
      <c r="P83">
        <v>471</v>
      </c>
      <c r="Q83">
        <v>354</v>
      </c>
    </row>
    <row r="84" spans="1:17" ht="12.75">
      <c r="A84" s="87" t="s">
        <v>334</v>
      </c>
      <c r="B84" s="56">
        <v>189.03</v>
      </c>
      <c r="C84" s="56">
        <v>0.75</v>
      </c>
      <c r="D84" s="56"/>
      <c r="E84" s="57"/>
      <c r="F84" s="57"/>
      <c r="G84" s="57"/>
      <c r="H84" s="58"/>
      <c r="I84" s="58"/>
      <c r="J84" s="58"/>
      <c r="K84" s="59"/>
      <c r="L84" s="59"/>
      <c r="M84" s="59"/>
      <c r="O84" s="33">
        <v>187.04</v>
      </c>
      <c r="P84">
        <v>185</v>
      </c>
      <c r="Q84">
        <v>113</v>
      </c>
    </row>
    <row r="85" spans="1:17" ht="12.75">
      <c r="A85" s="87" t="s">
        <v>336</v>
      </c>
      <c r="B85" s="56">
        <v>189.05</v>
      </c>
      <c r="C85" s="56">
        <v>0.33300000000000002</v>
      </c>
      <c r="D85" s="56"/>
      <c r="E85" s="57">
        <v>190.03</v>
      </c>
      <c r="F85" s="57">
        <v>0.2</v>
      </c>
      <c r="G85" s="57"/>
      <c r="H85" s="58"/>
      <c r="I85" s="58"/>
      <c r="J85" s="58"/>
      <c r="K85" s="59"/>
      <c r="L85" s="59"/>
      <c r="M85" s="59"/>
      <c r="O85" s="33">
        <v>184.02</v>
      </c>
      <c r="P85">
        <v>928</v>
      </c>
      <c r="Q85">
        <v>467</v>
      </c>
    </row>
    <row r="86" spans="1:17" ht="12.75">
      <c r="A86" s="87" t="s">
        <v>390</v>
      </c>
      <c r="B86" s="56">
        <v>189.07</v>
      </c>
      <c r="C86" s="56">
        <v>1</v>
      </c>
      <c r="D86" s="56"/>
      <c r="E86" s="57">
        <v>189.1</v>
      </c>
      <c r="F86" s="57">
        <v>0.5</v>
      </c>
      <c r="G86" s="57"/>
      <c r="H86" s="58">
        <v>189.09</v>
      </c>
      <c r="I86" s="58">
        <v>0.5</v>
      </c>
      <c r="J86" s="58"/>
      <c r="K86" s="59"/>
      <c r="L86" s="59"/>
      <c r="M86" s="59"/>
      <c r="O86" s="44">
        <v>181.12</v>
      </c>
      <c r="P86">
        <v>346</v>
      </c>
      <c r="Q86">
        <v>303</v>
      </c>
    </row>
    <row r="87" spans="1:17" ht="12.75">
      <c r="A87" s="87" t="s">
        <v>333</v>
      </c>
      <c r="B87" s="56">
        <v>189.08</v>
      </c>
      <c r="C87" s="56">
        <v>1</v>
      </c>
      <c r="D87" s="56"/>
      <c r="E87" s="57"/>
      <c r="F87" s="57"/>
      <c r="G87" s="57"/>
      <c r="H87" s="58"/>
      <c r="I87" s="58"/>
      <c r="J87" s="58"/>
      <c r="K87" s="59"/>
      <c r="L87" s="59"/>
      <c r="M87" s="59"/>
      <c r="O87" s="33">
        <v>189.06</v>
      </c>
      <c r="P87">
        <v>341</v>
      </c>
      <c r="Q87">
        <v>204</v>
      </c>
    </row>
    <row r="88" spans="1:17" ht="12.75">
      <c r="A88" s="87" t="s">
        <v>395</v>
      </c>
      <c r="B88" s="56">
        <v>189.1</v>
      </c>
      <c r="C88" s="56">
        <v>0.5</v>
      </c>
      <c r="D88" s="56"/>
      <c r="E88" s="57">
        <v>189.09</v>
      </c>
      <c r="F88" s="57">
        <v>0.5</v>
      </c>
      <c r="G88" s="57"/>
      <c r="H88" s="58"/>
      <c r="I88" s="58"/>
      <c r="J88" s="58"/>
      <c r="K88" s="59"/>
      <c r="L88" s="59"/>
      <c r="M88" s="59"/>
      <c r="O88" s="44">
        <v>181.03</v>
      </c>
      <c r="P88">
        <v>358</v>
      </c>
      <c r="Q88">
        <v>346</v>
      </c>
    </row>
    <row r="89" spans="1:17" ht="12.75">
      <c r="A89" s="87" t="s">
        <v>381</v>
      </c>
      <c r="B89" s="56">
        <v>190.01</v>
      </c>
      <c r="C89" s="56">
        <v>0.75</v>
      </c>
      <c r="D89" s="56"/>
      <c r="E89" s="57">
        <v>189.06</v>
      </c>
      <c r="F89" s="57">
        <v>1</v>
      </c>
      <c r="G89" s="57"/>
      <c r="H89" s="58">
        <v>187.03</v>
      </c>
      <c r="I89" s="58">
        <v>0.25</v>
      </c>
      <c r="J89" s="58"/>
      <c r="K89" s="59"/>
      <c r="L89" s="59"/>
      <c r="M89" s="59"/>
      <c r="O89" s="43">
        <v>183.09</v>
      </c>
      <c r="P89">
        <v>1410</v>
      </c>
      <c r="Q89">
        <v>587</v>
      </c>
    </row>
    <row r="90" spans="1:17" ht="12.75">
      <c r="A90" s="87" t="s">
        <v>367</v>
      </c>
      <c r="B90" s="56">
        <v>190.03</v>
      </c>
      <c r="C90" s="56">
        <v>0.8</v>
      </c>
      <c r="D90" s="56"/>
      <c r="E90" s="57">
        <v>190.04</v>
      </c>
      <c r="F90" s="57">
        <v>0.1</v>
      </c>
      <c r="G90" s="57"/>
      <c r="H90" s="58"/>
      <c r="I90" s="58"/>
      <c r="J90" s="58"/>
      <c r="K90" s="59"/>
      <c r="L90" s="59"/>
      <c r="M90" s="59"/>
      <c r="O90" s="36">
        <v>187.11</v>
      </c>
      <c r="P90">
        <v>1053</v>
      </c>
      <c r="Q90">
        <v>701</v>
      </c>
    </row>
    <row r="91" spans="1:17" ht="12.75">
      <c r="A91" s="87" t="s">
        <v>357</v>
      </c>
      <c r="B91" s="56">
        <v>190.04</v>
      </c>
      <c r="C91" s="56">
        <v>0.3</v>
      </c>
      <c r="D91" s="56"/>
      <c r="E91" s="57">
        <v>189.03</v>
      </c>
      <c r="F91" s="57">
        <v>0.25</v>
      </c>
      <c r="G91" s="57"/>
      <c r="H91" s="58"/>
      <c r="I91" s="58"/>
      <c r="J91" s="58"/>
      <c r="K91" s="59"/>
      <c r="L91" s="59"/>
      <c r="M91" s="59"/>
      <c r="O91" s="36">
        <v>188.02</v>
      </c>
      <c r="P91">
        <v>263</v>
      </c>
      <c r="Q91">
        <v>407</v>
      </c>
    </row>
    <row r="92" spans="1:17" ht="12.75">
      <c r="A92" s="87" t="s">
        <v>383</v>
      </c>
      <c r="B92" s="56">
        <v>190.04</v>
      </c>
      <c r="C92" s="56">
        <v>0.6</v>
      </c>
      <c r="D92" s="56"/>
      <c r="E92" s="57"/>
      <c r="F92" s="57"/>
      <c r="G92" s="57"/>
      <c r="H92" s="58"/>
      <c r="I92" s="58"/>
      <c r="J92" s="58"/>
      <c r="K92" s="59"/>
      <c r="L92" s="59"/>
      <c r="M92" s="59"/>
      <c r="O92" s="44">
        <v>188.06</v>
      </c>
      <c r="P92">
        <v>169</v>
      </c>
      <c r="Q92">
        <v>118</v>
      </c>
    </row>
    <row r="93" spans="1:17" ht="12.75">
      <c r="A93" s="87" t="s">
        <v>322</v>
      </c>
      <c r="B93" s="56">
        <v>191.03</v>
      </c>
      <c r="C93" s="56">
        <v>0.5</v>
      </c>
      <c r="D93" s="56"/>
      <c r="E93" s="57">
        <v>191.04</v>
      </c>
      <c r="F93" s="57">
        <v>0.5</v>
      </c>
      <c r="G93" s="57"/>
      <c r="H93" s="58"/>
      <c r="I93" s="58"/>
      <c r="J93" s="58"/>
      <c r="K93" s="59"/>
      <c r="L93" s="59"/>
      <c r="M93" s="59"/>
      <c r="O93" s="33">
        <v>186.07</v>
      </c>
      <c r="P93">
        <v>702</v>
      </c>
      <c r="Q93">
        <v>525</v>
      </c>
    </row>
    <row r="94" spans="1:17" ht="12.75">
      <c r="A94" s="87" t="s">
        <v>342</v>
      </c>
      <c r="B94" s="56">
        <v>191.03</v>
      </c>
      <c r="C94" s="56">
        <v>0.5</v>
      </c>
      <c r="D94" s="56"/>
      <c r="E94" s="57">
        <v>191.04</v>
      </c>
      <c r="F94" s="57">
        <v>0.5</v>
      </c>
      <c r="G94" s="57"/>
      <c r="H94" s="58"/>
      <c r="I94" s="58"/>
      <c r="J94" s="58"/>
      <c r="K94" s="59"/>
      <c r="L94" s="59"/>
      <c r="M94" s="59"/>
      <c r="O94" s="33">
        <v>184.12</v>
      </c>
      <c r="P94">
        <v>1480</v>
      </c>
      <c r="Q94">
        <v>771</v>
      </c>
    </row>
    <row r="95" spans="1:17" ht="12.75">
      <c r="A95" s="87" t="s">
        <v>314</v>
      </c>
      <c r="B95" s="56">
        <v>191.05</v>
      </c>
      <c r="C95" s="56">
        <v>1</v>
      </c>
      <c r="D95" s="56"/>
      <c r="E95" s="57">
        <v>191.07</v>
      </c>
      <c r="F95" s="57">
        <v>1</v>
      </c>
      <c r="G95" s="57"/>
      <c r="H95" s="58">
        <v>191.06</v>
      </c>
      <c r="I95" s="58">
        <v>0.5</v>
      </c>
      <c r="J95" s="58"/>
      <c r="K95" s="59"/>
      <c r="L95" s="59"/>
      <c r="M95" s="59"/>
      <c r="O95" s="32">
        <v>185.18</v>
      </c>
      <c r="P95">
        <v>527</v>
      </c>
      <c r="Q95">
        <v>373</v>
      </c>
    </row>
    <row r="96" spans="1:17" ht="12.75">
      <c r="A96" s="87" t="s">
        <v>340</v>
      </c>
      <c r="B96" s="56">
        <v>191.06</v>
      </c>
      <c r="C96" s="56">
        <v>0.5</v>
      </c>
      <c r="D96" s="56"/>
      <c r="E96" s="57">
        <v>190.05</v>
      </c>
      <c r="F96" s="57">
        <v>1</v>
      </c>
      <c r="G96" s="57"/>
      <c r="H96" s="58">
        <v>190.03</v>
      </c>
      <c r="I96" s="58">
        <v>0.33300000000000002</v>
      </c>
      <c r="J96" s="58"/>
      <c r="K96" s="59"/>
      <c r="L96" s="59"/>
      <c r="M96" s="59"/>
      <c r="O96" s="33">
        <v>184.08</v>
      </c>
      <c r="P96">
        <v>763</v>
      </c>
      <c r="Q96">
        <v>544</v>
      </c>
    </row>
    <row r="97" spans="1:17" ht="12.75">
      <c r="A97" s="87" t="s">
        <v>366</v>
      </c>
      <c r="B97" s="56">
        <v>192</v>
      </c>
      <c r="C97" s="56">
        <v>0.66700000000000004</v>
      </c>
      <c r="D97" s="56"/>
      <c r="E97" s="57"/>
      <c r="F97" s="57"/>
      <c r="G97" s="57"/>
      <c r="H97" s="58"/>
      <c r="I97" s="58"/>
      <c r="J97" s="58"/>
      <c r="K97" s="59"/>
      <c r="L97" s="59"/>
      <c r="M97" s="59"/>
      <c r="O97" s="36">
        <v>187.13</v>
      </c>
      <c r="P97">
        <v>213</v>
      </c>
      <c r="Q97">
        <v>164</v>
      </c>
    </row>
    <row r="98" spans="1:17" ht="12.75">
      <c r="O98" s="44">
        <v>170.07</v>
      </c>
      <c r="P98">
        <v>348</v>
      </c>
      <c r="Q98">
        <v>242</v>
      </c>
    </row>
    <row r="99" spans="1:17" ht="12.75">
      <c r="O99" s="44">
        <v>181.05</v>
      </c>
      <c r="P99">
        <v>2600</v>
      </c>
      <c r="Q99">
        <v>205</v>
      </c>
    </row>
    <row r="100" spans="1:17" ht="12.75">
      <c r="O100" s="44">
        <v>181.16</v>
      </c>
      <c r="P100">
        <v>181</v>
      </c>
      <c r="Q100">
        <v>140</v>
      </c>
    </row>
    <row r="101" spans="1:17" ht="12.75">
      <c r="O101" s="44">
        <v>181.15</v>
      </c>
      <c r="P101">
        <v>181</v>
      </c>
      <c r="Q101">
        <v>139</v>
      </c>
    </row>
    <row r="102" spans="1:17" ht="14.25">
      <c r="A102" s="88"/>
      <c r="B102" s="1"/>
      <c r="C102" s="1"/>
      <c r="D102" s="1"/>
      <c r="E102" s="1"/>
      <c r="F102" s="1"/>
      <c r="G102" s="1"/>
      <c r="H102" s="1"/>
      <c r="I102" s="1"/>
      <c r="J102" s="1"/>
    </row>
    <row r="103" spans="1:17" ht="14.25">
      <c r="A103" s="88"/>
      <c r="B103" s="1"/>
      <c r="C103" s="1"/>
      <c r="D103" s="1"/>
      <c r="E103" s="1"/>
    </row>
    <row r="104" spans="1:17" ht="14.25">
      <c r="A104" s="88"/>
      <c r="B104" s="1"/>
      <c r="C104" s="1"/>
      <c r="D104" s="1"/>
      <c r="E104" s="1"/>
    </row>
    <row r="117" spans="2:7" ht="12.75">
      <c r="B117" s="1"/>
      <c r="C117" s="1"/>
      <c r="D117" s="1"/>
      <c r="E117" s="1"/>
      <c r="F117" s="1"/>
      <c r="G117" s="1"/>
    </row>
    <row r="118" spans="2:7" ht="12.75">
      <c r="B118" s="1"/>
      <c r="C118" s="1"/>
      <c r="D118" s="1"/>
      <c r="E118" s="1"/>
    </row>
    <row r="119" spans="2:7" ht="12.75">
      <c r="B119" s="1"/>
      <c r="C119" s="1"/>
      <c r="D119" s="1"/>
      <c r="E119" s="1"/>
    </row>
    <row r="120" spans="2:7" ht="12.75">
      <c r="B120" s="1"/>
      <c r="C120" s="1"/>
      <c r="D120" s="1"/>
      <c r="E120" s="1"/>
      <c r="F120" s="1"/>
    </row>
    <row r="121" spans="2:7" ht="12.75">
      <c r="B121" s="1"/>
      <c r="C121" s="1"/>
      <c r="D121" s="1"/>
      <c r="E121" s="1"/>
      <c r="F121" s="1"/>
      <c r="G121" s="1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M97"/>
  <sheetViews>
    <sheetView workbookViewId="0"/>
  </sheetViews>
  <sheetFormatPr defaultColWidth="14.42578125" defaultRowHeight="15.75" customHeight="1"/>
  <sheetData>
    <row r="1" spans="1:13" ht="15.75" customHeight="1">
      <c r="A1" s="56" t="s">
        <v>761</v>
      </c>
      <c r="B1" s="56" t="s">
        <v>515</v>
      </c>
      <c r="C1" s="56" t="s">
        <v>516</v>
      </c>
      <c r="D1" s="57" t="s">
        <v>761</v>
      </c>
      <c r="E1" s="57" t="s">
        <v>515</v>
      </c>
      <c r="F1" s="57" t="s">
        <v>516</v>
      </c>
      <c r="G1" s="58" t="s">
        <v>761</v>
      </c>
      <c r="H1" s="58" t="s">
        <v>515</v>
      </c>
      <c r="I1" s="58" t="s">
        <v>516</v>
      </c>
      <c r="J1" s="59" t="s">
        <v>761</v>
      </c>
      <c r="K1" s="59" t="s">
        <v>515</v>
      </c>
      <c r="L1" s="59" t="s">
        <v>516</v>
      </c>
    </row>
    <row r="2" spans="1:13" ht="15.75" customHeight="1">
      <c r="A2" s="56" t="s">
        <v>355</v>
      </c>
      <c r="B2" s="56">
        <v>170.03</v>
      </c>
      <c r="C2" s="56">
        <v>0.25</v>
      </c>
      <c r="D2" s="57">
        <v>13</v>
      </c>
      <c r="E2" s="57">
        <v>170.04</v>
      </c>
      <c r="F2" s="57">
        <v>0.25</v>
      </c>
      <c r="G2" s="58">
        <v>67</v>
      </c>
      <c r="H2" s="58">
        <v>181.11</v>
      </c>
      <c r="I2" s="58">
        <v>1</v>
      </c>
      <c r="J2" s="59">
        <v>192</v>
      </c>
      <c r="K2" s="59">
        <v>181.1</v>
      </c>
      <c r="L2" s="59">
        <v>0.5</v>
      </c>
      <c r="M2">
        <v>169</v>
      </c>
    </row>
    <row r="3" spans="1:13" ht="15.75" customHeight="1">
      <c r="A3" s="56" t="s">
        <v>341</v>
      </c>
      <c r="B3" s="56">
        <v>170.07</v>
      </c>
      <c r="C3" s="56">
        <v>0.5</v>
      </c>
      <c r="D3" s="57">
        <v>174</v>
      </c>
      <c r="E3" s="57">
        <v>170.08</v>
      </c>
      <c r="F3" s="57">
        <v>0.5</v>
      </c>
      <c r="G3" s="58">
        <v>129</v>
      </c>
      <c r="H3" s="58"/>
      <c r="I3" s="58"/>
      <c r="J3" s="59">
        <v>0</v>
      </c>
      <c r="K3" s="59"/>
      <c r="L3" s="59"/>
      <c r="M3">
        <v>0</v>
      </c>
    </row>
    <row r="4" spans="1:13" ht="15.75" customHeight="1">
      <c r="A4" s="56" t="s">
        <v>398</v>
      </c>
      <c r="B4" s="56">
        <v>170.08</v>
      </c>
      <c r="C4" s="56">
        <v>0.5</v>
      </c>
      <c r="D4" s="57">
        <v>129</v>
      </c>
      <c r="E4" s="57">
        <v>170.07</v>
      </c>
      <c r="F4" s="57">
        <v>0.5</v>
      </c>
      <c r="G4" s="58">
        <v>174</v>
      </c>
      <c r="H4" s="58">
        <v>170.05</v>
      </c>
      <c r="I4" s="58">
        <v>1</v>
      </c>
      <c r="J4" s="59">
        <v>202</v>
      </c>
      <c r="K4" s="59">
        <v>170.03</v>
      </c>
      <c r="L4" s="59">
        <v>0.75</v>
      </c>
      <c r="M4">
        <v>38</v>
      </c>
    </row>
    <row r="5" spans="1:13" ht="15.75" customHeight="1">
      <c r="A5" s="56" t="s">
        <v>384</v>
      </c>
      <c r="B5" s="56">
        <v>180.01</v>
      </c>
      <c r="C5" s="56">
        <v>0.5</v>
      </c>
      <c r="D5" s="57">
        <v>719</v>
      </c>
      <c r="E5" s="57"/>
      <c r="F5" s="57"/>
      <c r="G5" s="58">
        <v>0</v>
      </c>
      <c r="H5" s="58"/>
      <c r="I5" s="58"/>
      <c r="J5" s="59">
        <v>0</v>
      </c>
      <c r="K5" s="59"/>
      <c r="L5" s="59"/>
      <c r="M5">
        <v>0</v>
      </c>
    </row>
    <row r="6" spans="1:13" ht="15.75" customHeight="1">
      <c r="A6" s="56" t="s">
        <v>356</v>
      </c>
      <c r="B6" s="56">
        <v>180.03</v>
      </c>
      <c r="C6" s="56">
        <v>0.25</v>
      </c>
      <c r="D6" s="57">
        <v>221</v>
      </c>
      <c r="E6" s="57"/>
      <c r="F6" s="57"/>
      <c r="G6" s="58">
        <v>0</v>
      </c>
      <c r="H6" s="58"/>
      <c r="I6" s="58"/>
      <c r="J6" s="59">
        <v>0</v>
      </c>
      <c r="K6" s="59"/>
      <c r="L6" s="59"/>
      <c r="M6">
        <v>0</v>
      </c>
    </row>
    <row r="7" spans="1:13" ht="15.75" customHeight="1">
      <c r="A7" s="56" t="s">
        <v>379</v>
      </c>
      <c r="B7" s="56">
        <v>180.03</v>
      </c>
      <c r="C7" s="56">
        <v>0.5</v>
      </c>
      <c r="D7" s="57">
        <v>443</v>
      </c>
      <c r="E7" s="57"/>
      <c r="F7" s="57"/>
      <c r="G7" s="58">
        <v>0</v>
      </c>
      <c r="H7" s="58"/>
      <c r="I7" s="58"/>
      <c r="J7" s="59">
        <v>0</v>
      </c>
      <c r="K7" s="59"/>
      <c r="L7" s="59"/>
      <c r="M7">
        <v>0</v>
      </c>
    </row>
    <row r="8" spans="1:13" ht="15.75" customHeight="1">
      <c r="A8" s="56" t="s">
        <v>331</v>
      </c>
      <c r="B8" s="56">
        <v>180.03</v>
      </c>
      <c r="C8" s="56">
        <v>0.25</v>
      </c>
      <c r="D8" s="57">
        <v>221</v>
      </c>
      <c r="E8" s="57"/>
      <c r="F8" s="57"/>
      <c r="G8" s="58">
        <v>0</v>
      </c>
      <c r="H8" s="58"/>
      <c r="I8" s="58"/>
      <c r="J8" s="59">
        <v>0</v>
      </c>
      <c r="K8" s="59"/>
      <c r="L8" s="59"/>
      <c r="M8">
        <v>0</v>
      </c>
    </row>
    <row r="9" spans="1:13" ht="15.75" customHeight="1">
      <c r="A9" s="56" t="s">
        <v>392</v>
      </c>
      <c r="B9" s="56">
        <v>180.04</v>
      </c>
      <c r="C9" s="56">
        <v>1</v>
      </c>
      <c r="D9" s="57">
        <v>943</v>
      </c>
      <c r="E9" s="57"/>
      <c r="F9" s="57"/>
      <c r="G9" s="58">
        <v>0</v>
      </c>
      <c r="H9" s="58"/>
      <c r="I9" s="58"/>
      <c r="J9" s="59">
        <v>0</v>
      </c>
      <c r="K9" s="59"/>
      <c r="L9" s="59"/>
      <c r="M9">
        <v>0</v>
      </c>
    </row>
    <row r="10" spans="1:13" ht="15.75" customHeight="1">
      <c r="A10" s="56" t="s">
        <v>332</v>
      </c>
      <c r="B10" s="56">
        <v>181.03</v>
      </c>
      <c r="C10" s="56">
        <v>0.5</v>
      </c>
      <c r="D10" s="57">
        <v>179</v>
      </c>
      <c r="E10" s="57"/>
      <c r="F10" s="57"/>
      <c r="G10" s="58">
        <v>0</v>
      </c>
      <c r="H10" s="58"/>
      <c r="I10" s="58"/>
      <c r="J10" s="59">
        <v>0</v>
      </c>
      <c r="K10" s="59"/>
      <c r="L10" s="59"/>
      <c r="M10">
        <v>0</v>
      </c>
    </row>
    <row r="11" spans="1:13" ht="15.75" customHeight="1">
      <c r="A11" s="56" t="s">
        <v>340</v>
      </c>
      <c r="B11" s="56">
        <v>181.07</v>
      </c>
      <c r="C11" s="56">
        <v>1</v>
      </c>
      <c r="D11" s="57">
        <v>172</v>
      </c>
      <c r="E11" s="57"/>
      <c r="F11" s="57"/>
      <c r="G11" s="58">
        <v>0</v>
      </c>
      <c r="H11" s="58"/>
      <c r="I11" s="58"/>
      <c r="J11" s="59">
        <v>0</v>
      </c>
      <c r="K11" s="59"/>
      <c r="L11" s="59"/>
      <c r="M11">
        <v>0</v>
      </c>
    </row>
    <row r="12" spans="1:13" ht="15.75" customHeight="1">
      <c r="A12" s="56" t="s">
        <v>383</v>
      </c>
      <c r="B12" s="56">
        <v>181.08</v>
      </c>
      <c r="C12" s="56">
        <v>1</v>
      </c>
      <c r="D12" s="57">
        <v>255</v>
      </c>
      <c r="E12" s="57">
        <v>181.09</v>
      </c>
      <c r="F12" s="57">
        <v>1</v>
      </c>
      <c r="G12" s="58">
        <v>727</v>
      </c>
      <c r="H12" s="58"/>
      <c r="I12" s="58"/>
      <c r="J12" s="59">
        <v>0</v>
      </c>
      <c r="K12" s="59"/>
      <c r="L12" s="59"/>
      <c r="M12">
        <v>0</v>
      </c>
    </row>
    <row r="13" spans="1:13" ht="15.75" customHeight="1">
      <c r="A13" s="56" t="s">
        <v>296</v>
      </c>
      <c r="B13" s="56">
        <v>181.1</v>
      </c>
      <c r="C13" s="56">
        <v>0.5</v>
      </c>
      <c r="D13" s="57">
        <v>169</v>
      </c>
      <c r="E13" s="57">
        <v>170.04</v>
      </c>
      <c r="F13" s="57">
        <v>0.75</v>
      </c>
      <c r="G13" s="58">
        <v>200</v>
      </c>
      <c r="H13" s="58"/>
      <c r="I13" s="58"/>
      <c r="J13" s="59">
        <v>0</v>
      </c>
      <c r="K13" s="59"/>
      <c r="L13" s="59"/>
      <c r="M13">
        <v>0</v>
      </c>
    </row>
    <row r="14" spans="1:13" ht="15.75" customHeight="1">
      <c r="A14" s="56" t="s">
        <v>318</v>
      </c>
      <c r="B14" s="56">
        <v>181.12</v>
      </c>
      <c r="C14" s="56">
        <v>0.5</v>
      </c>
      <c r="D14" s="57">
        <v>173</v>
      </c>
      <c r="E14" s="57">
        <v>181.03</v>
      </c>
      <c r="F14" s="57">
        <v>0.5</v>
      </c>
      <c r="G14" s="58">
        <v>179</v>
      </c>
      <c r="H14" s="58"/>
      <c r="I14" s="58"/>
      <c r="J14" s="59">
        <v>0</v>
      </c>
      <c r="K14" s="59"/>
      <c r="L14" s="59"/>
      <c r="M14">
        <v>0</v>
      </c>
    </row>
    <row r="15" spans="1:13" ht="15.75" customHeight="1">
      <c r="A15" s="56" t="s">
        <v>386</v>
      </c>
      <c r="B15" s="56">
        <v>181.13</v>
      </c>
      <c r="C15" s="56">
        <v>1</v>
      </c>
      <c r="D15" s="57">
        <v>184</v>
      </c>
      <c r="E15" s="57">
        <v>181.12</v>
      </c>
      <c r="F15" s="57">
        <v>0.5</v>
      </c>
      <c r="G15" s="58">
        <v>173</v>
      </c>
      <c r="H15" s="58">
        <v>181.14</v>
      </c>
      <c r="I15" s="58">
        <v>0.5</v>
      </c>
      <c r="J15" s="59">
        <v>161</v>
      </c>
      <c r="K15" s="59"/>
      <c r="L15" s="59"/>
      <c r="M15">
        <v>0</v>
      </c>
    </row>
    <row r="16" spans="1:13" ht="15.75" customHeight="1">
      <c r="A16" s="56" t="s">
        <v>337</v>
      </c>
      <c r="B16" s="56">
        <v>181.14</v>
      </c>
      <c r="C16" s="56">
        <v>0.5</v>
      </c>
      <c r="D16" s="57">
        <v>161</v>
      </c>
      <c r="E16" s="57">
        <v>181.05</v>
      </c>
      <c r="F16" s="57">
        <v>1</v>
      </c>
      <c r="G16" s="58">
        <v>2600</v>
      </c>
      <c r="H16" s="58"/>
      <c r="I16" s="58"/>
      <c r="J16" s="59">
        <v>0</v>
      </c>
      <c r="K16" s="59"/>
      <c r="L16" s="59"/>
      <c r="M16">
        <v>0</v>
      </c>
    </row>
    <row r="17" spans="1:13" ht="15.75" customHeight="1">
      <c r="A17" s="56" t="s">
        <v>389</v>
      </c>
      <c r="B17" s="56">
        <v>181.16</v>
      </c>
      <c r="C17" s="56">
        <v>1</v>
      </c>
      <c r="D17" s="57">
        <v>181</v>
      </c>
      <c r="E17" s="57">
        <v>181.15</v>
      </c>
      <c r="F17" s="57">
        <v>1</v>
      </c>
      <c r="G17" s="58">
        <v>181</v>
      </c>
      <c r="H17" s="58"/>
      <c r="I17" s="58"/>
      <c r="J17" s="59">
        <v>0</v>
      </c>
      <c r="K17" s="59"/>
      <c r="L17" s="59"/>
      <c r="M17">
        <v>0</v>
      </c>
    </row>
    <row r="18" spans="1:13" ht="15.75" customHeight="1">
      <c r="A18" s="56" t="s">
        <v>344</v>
      </c>
      <c r="B18" s="56">
        <v>182.01</v>
      </c>
      <c r="C18" s="56">
        <v>0.25</v>
      </c>
      <c r="D18" s="57">
        <v>150</v>
      </c>
      <c r="E18" s="57">
        <v>183.07</v>
      </c>
      <c r="F18" s="57">
        <v>0.3</v>
      </c>
      <c r="G18" s="58">
        <v>299</v>
      </c>
      <c r="H18" s="58"/>
      <c r="I18" s="58"/>
      <c r="J18" s="59">
        <v>0</v>
      </c>
      <c r="K18" s="59"/>
      <c r="L18" s="59"/>
      <c r="M18">
        <v>0</v>
      </c>
    </row>
    <row r="19" spans="1:13" ht="15.75" customHeight="1">
      <c r="A19" s="56" t="s">
        <v>375</v>
      </c>
      <c r="B19" s="56">
        <v>182.01</v>
      </c>
      <c r="C19" s="56">
        <v>0.25</v>
      </c>
      <c r="D19" s="57">
        <v>150</v>
      </c>
      <c r="E19" s="57">
        <v>180.01</v>
      </c>
      <c r="F19" s="57">
        <v>0.5</v>
      </c>
      <c r="G19" s="58">
        <v>719</v>
      </c>
      <c r="H19" s="58"/>
      <c r="I19" s="58"/>
      <c r="J19" s="59">
        <v>0</v>
      </c>
      <c r="K19" s="59"/>
      <c r="L19" s="59"/>
      <c r="M19">
        <v>0</v>
      </c>
    </row>
    <row r="20" spans="1:13" ht="15.75" customHeight="1">
      <c r="A20" s="56" t="s">
        <v>393</v>
      </c>
      <c r="B20" s="56">
        <v>182.02</v>
      </c>
      <c r="C20" s="56">
        <v>0.5</v>
      </c>
      <c r="D20" s="57">
        <v>813</v>
      </c>
      <c r="E20" s="57"/>
      <c r="F20" s="57"/>
      <c r="G20" s="58">
        <v>0</v>
      </c>
      <c r="H20" s="58"/>
      <c r="I20" s="58"/>
      <c r="J20" s="59">
        <v>0</v>
      </c>
      <c r="K20" s="59"/>
      <c r="L20" s="59"/>
      <c r="M20">
        <v>0</v>
      </c>
    </row>
    <row r="21" spans="1:13" ht="15.75" customHeight="1">
      <c r="A21" s="56" t="s">
        <v>291</v>
      </c>
      <c r="B21" s="56">
        <v>182.02</v>
      </c>
      <c r="C21" s="56">
        <v>0.5</v>
      </c>
      <c r="D21" s="57">
        <v>813</v>
      </c>
      <c r="E21" s="57"/>
      <c r="F21" s="57"/>
      <c r="G21" s="58">
        <v>0</v>
      </c>
      <c r="H21" s="58"/>
      <c r="I21" s="58"/>
      <c r="J21" s="59">
        <v>0</v>
      </c>
      <c r="K21" s="59"/>
      <c r="L21" s="59"/>
      <c r="M21">
        <v>0</v>
      </c>
    </row>
    <row r="22" spans="1:13" ht="15.75" customHeight="1">
      <c r="A22" s="56" t="s">
        <v>400</v>
      </c>
      <c r="B22" s="56">
        <v>182.04</v>
      </c>
      <c r="C22" s="56">
        <v>1</v>
      </c>
      <c r="D22" s="57">
        <v>177</v>
      </c>
      <c r="E22" s="57">
        <v>187.16</v>
      </c>
      <c r="F22" s="57">
        <v>0.66700000000000004</v>
      </c>
      <c r="G22" s="58">
        <v>384</v>
      </c>
      <c r="H22" s="58"/>
      <c r="I22" s="58"/>
      <c r="J22" s="59">
        <v>0</v>
      </c>
      <c r="K22" s="59"/>
      <c r="L22" s="59"/>
      <c r="M22">
        <v>0</v>
      </c>
    </row>
    <row r="23" spans="1:13" ht="15.75" customHeight="1">
      <c r="A23" s="56" t="s">
        <v>322</v>
      </c>
      <c r="B23" s="56">
        <v>182.05</v>
      </c>
      <c r="C23" s="56">
        <v>1</v>
      </c>
      <c r="D23" s="57">
        <v>917</v>
      </c>
      <c r="E23" s="57"/>
      <c r="F23" s="57"/>
      <c r="G23" s="58">
        <v>0</v>
      </c>
      <c r="H23" s="58"/>
      <c r="I23" s="58"/>
      <c r="J23" s="59">
        <v>0</v>
      </c>
      <c r="K23" s="59"/>
      <c r="L23" s="59"/>
      <c r="M23">
        <v>0</v>
      </c>
    </row>
    <row r="24" spans="1:13" ht="15.75" customHeight="1">
      <c r="A24" s="56" t="s">
        <v>351</v>
      </c>
      <c r="B24" s="56">
        <v>183.01</v>
      </c>
      <c r="C24" s="56">
        <v>1</v>
      </c>
      <c r="D24" s="57">
        <v>549</v>
      </c>
      <c r="E24" s="57"/>
      <c r="F24" s="57"/>
      <c r="G24" s="58">
        <v>0</v>
      </c>
      <c r="H24" s="58"/>
      <c r="I24" s="58"/>
      <c r="J24" s="59">
        <v>0</v>
      </c>
      <c r="K24" s="59"/>
      <c r="L24" s="59"/>
      <c r="M24">
        <v>0</v>
      </c>
    </row>
    <row r="25" spans="1:13" ht="15.75" customHeight="1">
      <c r="A25" s="56" t="s">
        <v>329</v>
      </c>
      <c r="B25" s="56">
        <v>183.03</v>
      </c>
      <c r="C25" s="56">
        <v>0.5</v>
      </c>
      <c r="D25" s="57">
        <v>260</v>
      </c>
      <c r="E25" s="57">
        <v>183.07</v>
      </c>
      <c r="F25" s="57">
        <v>0.2</v>
      </c>
      <c r="G25" s="58">
        <v>199</v>
      </c>
      <c r="H25" s="58"/>
      <c r="I25" s="58"/>
      <c r="J25" s="59">
        <v>0</v>
      </c>
      <c r="K25" s="59"/>
      <c r="L25" s="59"/>
      <c r="M25">
        <v>0</v>
      </c>
    </row>
    <row r="26" spans="1:13" ht="15.75" customHeight="1">
      <c r="A26" s="56" t="s">
        <v>339</v>
      </c>
      <c r="B26" s="56">
        <v>183.03</v>
      </c>
      <c r="C26" s="56">
        <v>0.5</v>
      </c>
      <c r="D26" s="57">
        <v>260</v>
      </c>
      <c r="E26" s="57">
        <v>183.07</v>
      </c>
      <c r="F26" s="57">
        <v>0.1</v>
      </c>
      <c r="G26" s="58">
        <v>100</v>
      </c>
      <c r="H26" s="58">
        <v>182.01</v>
      </c>
      <c r="I26" s="58">
        <v>0.25</v>
      </c>
      <c r="J26" s="59">
        <v>150</v>
      </c>
      <c r="K26" s="59"/>
      <c r="L26" s="59"/>
      <c r="M26">
        <v>0</v>
      </c>
    </row>
    <row r="27" spans="1:13" ht="15.75" customHeight="1">
      <c r="A27" s="56" t="s">
        <v>359</v>
      </c>
      <c r="B27" s="56">
        <v>183.05</v>
      </c>
      <c r="C27" s="56">
        <v>0.5</v>
      </c>
      <c r="D27" s="57">
        <v>1023</v>
      </c>
      <c r="E27" s="57"/>
      <c r="F27" s="57"/>
      <c r="G27" s="58">
        <v>0</v>
      </c>
      <c r="H27" s="58"/>
      <c r="I27" s="58"/>
      <c r="J27" s="59">
        <v>0</v>
      </c>
      <c r="K27" s="59"/>
      <c r="L27" s="59"/>
      <c r="M27">
        <v>0</v>
      </c>
    </row>
    <row r="28" spans="1:13" ht="15.75" customHeight="1">
      <c r="A28" s="56" t="s">
        <v>294</v>
      </c>
      <c r="B28" s="56">
        <v>183.05</v>
      </c>
      <c r="C28" s="56">
        <v>0.5</v>
      </c>
      <c r="D28" s="57">
        <v>1023</v>
      </c>
      <c r="E28" s="57"/>
      <c r="F28" s="57"/>
      <c r="G28" s="58">
        <v>0</v>
      </c>
      <c r="H28" s="58"/>
      <c r="I28" s="58"/>
      <c r="J28" s="59">
        <v>0</v>
      </c>
      <c r="K28" s="59"/>
      <c r="L28" s="59"/>
      <c r="M28">
        <v>0</v>
      </c>
    </row>
    <row r="29" spans="1:13" ht="15.75" customHeight="1">
      <c r="A29" s="56" t="s">
        <v>369</v>
      </c>
      <c r="B29" s="56">
        <v>183.07</v>
      </c>
      <c r="C29" s="56">
        <v>0.4</v>
      </c>
      <c r="D29" s="57">
        <v>398</v>
      </c>
      <c r="E29" s="57">
        <v>183.06</v>
      </c>
      <c r="F29" s="57">
        <v>1</v>
      </c>
      <c r="G29" s="58">
        <v>216</v>
      </c>
      <c r="H29" s="58">
        <v>182.01</v>
      </c>
      <c r="I29" s="58">
        <v>0.25</v>
      </c>
      <c r="J29" s="59">
        <v>150</v>
      </c>
      <c r="K29" s="59"/>
      <c r="L29" s="59"/>
      <c r="M29">
        <v>0</v>
      </c>
    </row>
    <row r="30" spans="1:13" ht="15.75" customHeight="1">
      <c r="A30" s="56" t="s">
        <v>366</v>
      </c>
      <c r="B30" s="56">
        <v>183.08</v>
      </c>
      <c r="C30" s="56">
        <v>1</v>
      </c>
      <c r="D30" s="57">
        <v>1379</v>
      </c>
      <c r="E30" s="57"/>
      <c r="F30" s="57"/>
      <c r="G30" s="58">
        <v>0</v>
      </c>
      <c r="H30" s="58"/>
      <c r="I30" s="58"/>
      <c r="J30" s="59">
        <v>0</v>
      </c>
      <c r="K30" s="59"/>
      <c r="L30" s="59"/>
      <c r="M30">
        <v>0</v>
      </c>
    </row>
    <row r="31" spans="1:13" ht="15.75" customHeight="1">
      <c r="A31" s="56" t="s">
        <v>358</v>
      </c>
      <c r="B31" s="56">
        <v>183.09</v>
      </c>
      <c r="C31" s="56">
        <v>0.5</v>
      </c>
      <c r="D31" s="57">
        <v>705</v>
      </c>
      <c r="E31" s="57"/>
      <c r="F31" s="57"/>
      <c r="G31" s="58">
        <v>0</v>
      </c>
      <c r="H31" s="58"/>
      <c r="I31" s="58"/>
      <c r="J31" s="59">
        <v>0</v>
      </c>
      <c r="K31" s="59"/>
      <c r="L31" s="59"/>
      <c r="M31">
        <v>0</v>
      </c>
    </row>
    <row r="32" spans="1:13" ht="15.75" customHeight="1">
      <c r="A32" s="56" t="s">
        <v>321</v>
      </c>
      <c r="B32" s="56">
        <v>183.09</v>
      </c>
      <c r="C32" s="56">
        <v>0.5</v>
      </c>
      <c r="D32" s="57">
        <v>705</v>
      </c>
      <c r="E32" s="57"/>
      <c r="F32" s="57"/>
      <c r="G32" s="58">
        <v>0</v>
      </c>
      <c r="H32" s="58"/>
      <c r="I32" s="58"/>
      <c r="J32" s="59">
        <v>0</v>
      </c>
      <c r="K32" s="59"/>
      <c r="L32" s="59"/>
      <c r="M32">
        <v>0</v>
      </c>
    </row>
    <row r="33" spans="1:13" ht="15.75" customHeight="1">
      <c r="A33" s="56" t="s">
        <v>297</v>
      </c>
      <c r="B33" s="56">
        <v>184.02</v>
      </c>
      <c r="C33" s="56">
        <v>1</v>
      </c>
      <c r="D33" s="57">
        <v>928</v>
      </c>
      <c r="E33" s="57">
        <v>184.16</v>
      </c>
      <c r="F33" s="57">
        <v>0.25</v>
      </c>
      <c r="G33" s="58">
        <v>163</v>
      </c>
      <c r="H33" s="58"/>
      <c r="I33" s="58"/>
      <c r="J33" s="59">
        <v>0</v>
      </c>
      <c r="K33" s="59"/>
      <c r="L33" s="59"/>
      <c r="M33">
        <v>0</v>
      </c>
    </row>
    <row r="34" spans="1:13" ht="15.75" customHeight="1">
      <c r="A34" s="56" t="s">
        <v>394</v>
      </c>
      <c r="B34" s="56">
        <v>184.06</v>
      </c>
      <c r="C34" s="56">
        <v>0.66700000000000004</v>
      </c>
      <c r="D34" s="57">
        <v>1403</v>
      </c>
      <c r="E34" s="57">
        <v>182.03</v>
      </c>
      <c r="F34" s="57">
        <v>0.2</v>
      </c>
      <c r="G34" s="58">
        <v>24</v>
      </c>
      <c r="H34" s="58"/>
      <c r="I34" s="58"/>
      <c r="J34" s="59">
        <v>0</v>
      </c>
      <c r="K34" s="59"/>
      <c r="L34" s="59"/>
      <c r="M34">
        <v>0</v>
      </c>
    </row>
    <row r="35" spans="1:13" ht="15.75" customHeight="1">
      <c r="A35" s="56" t="s">
        <v>352</v>
      </c>
      <c r="B35" s="56">
        <v>184.06</v>
      </c>
      <c r="C35" s="56">
        <v>0.33300000000000002</v>
      </c>
      <c r="D35" s="57">
        <v>701</v>
      </c>
      <c r="E35" s="57">
        <v>184.07</v>
      </c>
      <c r="F35" s="57">
        <v>1</v>
      </c>
      <c r="G35" s="58">
        <v>262</v>
      </c>
      <c r="H35" s="58"/>
      <c r="I35" s="58"/>
      <c r="J35" s="59">
        <v>0</v>
      </c>
      <c r="K35" s="59"/>
      <c r="L35" s="59"/>
      <c r="M35">
        <v>0</v>
      </c>
    </row>
    <row r="36" spans="1:13" ht="12.75">
      <c r="A36" s="56" t="s">
        <v>362</v>
      </c>
      <c r="B36" s="56">
        <v>184.08</v>
      </c>
      <c r="C36" s="56">
        <v>1</v>
      </c>
      <c r="D36" s="57">
        <v>763</v>
      </c>
      <c r="E36" s="57"/>
      <c r="F36" s="57"/>
      <c r="G36" s="58">
        <v>0</v>
      </c>
      <c r="H36" s="58"/>
      <c r="I36" s="58"/>
      <c r="J36" s="59">
        <v>0</v>
      </c>
      <c r="K36" s="59"/>
      <c r="L36" s="59"/>
      <c r="M36">
        <v>0</v>
      </c>
    </row>
    <row r="37" spans="1:13" ht="12.75">
      <c r="A37" s="56" t="s">
        <v>372</v>
      </c>
      <c r="B37" s="56">
        <v>184.09</v>
      </c>
      <c r="C37" s="56">
        <v>0.5</v>
      </c>
      <c r="D37" s="57">
        <v>283</v>
      </c>
      <c r="E37" s="57">
        <v>184.1</v>
      </c>
      <c r="F37" s="57">
        <v>0.5</v>
      </c>
      <c r="G37" s="58">
        <v>354</v>
      </c>
      <c r="H37" s="58"/>
      <c r="I37" s="58"/>
      <c r="J37" s="59">
        <v>0</v>
      </c>
      <c r="K37" s="59"/>
      <c r="L37" s="59"/>
      <c r="M37">
        <v>0</v>
      </c>
    </row>
    <row r="38" spans="1:13" ht="12.75">
      <c r="A38" s="56" t="s">
        <v>365</v>
      </c>
      <c r="B38" s="56">
        <v>184.1</v>
      </c>
      <c r="C38" s="56">
        <v>0.5</v>
      </c>
      <c r="D38" s="57">
        <v>354</v>
      </c>
      <c r="E38" s="57"/>
      <c r="F38" s="57"/>
      <c r="G38" s="58">
        <v>0</v>
      </c>
      <c r="H38" s="58"/>
      <c r="I38" s="58"/>
      <c r="J38" s="59">
        <v>0</v>
      </c>
      <c r="K38" s="59"/>
      <c r="L38" s="59"/>
      <c r="M38">
        <v>0</v>
      </c>
    </row>
    <row r="39" spans="1:13" ht="12.75">
      <c r="A39" s="56" t="s">
        <v>319</v>
      </c>
      <c r="B39" s="56">
        <v>184.11</v>
      </c>
      <c r="C39" s="56">
        <v>1</v>
      </c>
      <c r="D39" s="57">
        <v>1099</v>
      </c>
      <c r="E39" s="57"/>
      <c r="F39" s="57"/>
      <c r="G39" s="58">
        <v>0</v>
      </c>
      <c r="H39" s="58"/>
      <c r="I39" s="58"/>
      <c r="J39" s="59">
        <v>0</v>
      </c>
      <c r="K39" s="59"/>
      <c r="L39" s="59"/>
      <c r="M39">
        <v>0</v>
      </c>
    </row>
    <row r="40" spans="1:13" ht="12.75">
      <c r="A40" s="56" t="s">
        <v>353</v>
      </c>
      <c r="B40" s="56">
        <v>184.12</v>
      </c>
      <c r="C40" s="56">
        <v>0.5</v>
      </c>
      <c r="D40" s="57">
        <v>740</v>
      </c>
      <c r="E40" s="57">
        <v>184.13</v>
      </c>
      <c r="F40" s="57">
        <v>0.1</v>
      </c>
      <c r="G40" s="58">
        <v>33</v>
      </c>
      <c r="H40" s="58">
        <v>184.14</v>
      </c>
      <c r="I40" s="58">
        <v>0.2</v>
      </c>
      <c r="J40" s="59">
        <v>333</v>
      </c>
      <c r="K40" s="59"/>
      <c r="L40" s="59"/>
      <c r="M40">
        <v>0</v>
      </c>
    </row>
    <row r="41" spans="1:13" ht="12.75">
      <c r="A41" s="56" t="s">
        <v>345</v>
      </c>
      <c r="B41" s="56">
        <v>184.13</v>
      </c>
      <c r="C41" s="56">
        <v>0.3</v>
      </c>
      <c r="D41" s="57">
        <v>98</v>
      </c>
      <c r="E41" s="57">
        <v>184.12</v>
      </c>
      <c r="F41" s="57">
        <v>0.3</v>
      </c>
      <c r="G41" s="58">
        <v>444</v>
      </c>
      <c r="H41" s="58"/>
      <c r="I41" s="58"/>
      <c r="J41" s="59">
        <v>0</v>
      </c>
      <c r="K41" s="59"/>
      <c r="L41" s="59"/>
      <c r="M41">
        <v>0</v>
      </c>
    </row>
    <row r="42" spans="1:13" ht="12.75">
      <c r="A42" s="56" t="s">
        <v>391</v>
      </c>
      <c r="B42" s="56">
        <v>184.13</v>
      </c>
      <c r="C42" s="56">
        <v>0.2</v>
      </c>
      <c r="D42" s="57">
        <v>66</v>
      </c>
      <c r="E42" s="57">
        <v>182.03</v>
      </c>
      <c r="F42" s="57">
        <v>0.4</v>
      </c>
      <c r="G42" s="58">
        <v>48</v>
      </c>
      <c r="H42" s="58"/>
      <c r="I42" s="58"/>
      <c r="J42" s="59">
        <v>0</v>
      </c>
      <c r="K42" s="59"/>
      <c r="L42" s="59"/>
      <c r="M42">
        <v>0</v>
      </c>
    </row>
    <row r="43" spans="1:13" ht="12.75">
      <c r="A43" s="56" t="s">
        <v>316</v>
      </c>
      <c r="B43" s="56">
        <v>184.14</v>
      </c>
      <c r="C43" s="56">
        <v>0.8</v>
      </c>
      <c r="D43" s="57">
        <v>1331</v>
      </c>
      <c r="E43" s="57">
        <v>184.13</v>
      </c>
      <c r="F43" s="57">
        <v>0.2</v>
      </c>
      <c r="G43" s="58">
        <v>66</v>
      </c>
      <c r="H43" s="58"/>
      <c r="I43" s="58"/>
      <c r="J43" s="59">
        <v>0</v>
      </c>
      <c r="K43" s="59"/>
      <c r="L43" s="59"/>
      <c r="M43">
        <v>0</v>
      </c>
    </row>
    <row r="44" spans="1:13" ht="12.75">
      <c r="A44" s="56" t="s">
        <v>371</v>
      </c>
      <c r="B44" s="56">
        <v>184.16</v>
      </c>
      <c r="C44" s="56">
        <v>0.6</v>
      </c>
      <c r="D44" s="57">
        <v>390</v>
      </c>
      <c r="E44" s="57"/>
      <c r="F44" s="57"/>
      <c r="G44" s="58">
        <v>0</v>
      </c>
      <c r="H44" s="58"/>
      <c r="I44" s="58"/>
      <c r="J44" s="59">
        <v>0</v>
      </c>
      <c r="K44" s="59"/>
      <c r="L44" s="59"/>
      <c r="M44">
        <v>0</v>
      </c>
    </row>
    <row r="45" spans="1:13" ht="12.75">
      <c r="A45" s="56" t="s">
        <v>315</v>
      </c>
      <c r="B45" s="56">
        <v>184.16</v>
      </c>
      <c r="C45" s="56">
        <v>0.15</v>
      </c>
      <c r="D45" s="57">
        <v>98</v>
      </c>
      <c r="E45" s="57">
        <v>184.15</v>
      </c>
      <c r="F45" s="57">
        <v>1</v>
      </c>
      <c r="G45" s="58">
        <v>237</v>
      </c>
      <c r="H45" s="58">
        <v>184.09</v>
      </c>
      <c r="I45" s="58">
        <v>0.5</v>
      </c>
      <c r="J45" s="59">
        <v>283</v>
      </c>
      <c r="K45" s="59"/>
      <c r="L45" s="59"/>
      <c r="M45">
        <v>0</v>
      </c>
    </row>
    <row r="46" spans="1:13" ht="12.75">
      <c r="A46" s="56" t="s">
        <v>395</v>
      </c>
      <c r="B46" s="56">
        <v>185.05</v>
      </c>
      <c r="C46" s="56">
        <v>0.8</v>
      </c>
      <c r="D46" s="57">
        <v>0</v>
      </c>
      <c r="E46" s="57"/>
      <c r="F46" s="57"/>
      <c r="G46" s="58">
        <v>0</v>
      </c>
      <c r="H46" s="58"/>
      <c r="I46" s="58"/>
      <c r="J46" s="59">
        <v>0</v>
      </c>
      <c r="K46" s="59"/>
      <c r="L46" s="59"/>
      <c r="M46">
        <v>0</v>
      </c>
    </row>
    <row r="47" spans="1:13" ht="12.75">
      <c r="A47" s="56" t="s">
        <v>380</v>
      </c>
      <c r="B47" s="56">
        <v>185.07</v>
      </c>
      <c r="C47" s="56">
        <v>0.33300000000000002</v>
      </c>
      <c r="D47" s="57">
        <v>353</v>
      </c>
      <c r="E47" s="57"/>
      <c r="F47" s="57"/>
      <c r="G47" s="58">
        <v>0</v>
      </c>
      <c r="H47" s="58"/>
      <c r="I47" s="58"/>
      <c r="J47" s="59">
        <v>0</v>
      </c>
      <c r="K47" s="59"/>
      <c r="L47" s="59"/>
      <c r="M47">
        <v>0</v>
      </c>
    </row>
    <row r="48" spans="1:13" ht="12.75">
      <c r="A48" s="56" t="s">
        <v>377</v>
      </c>
      <c r="B48" s="56">
        <v>185.07</v>
      </c>
      <c r="C48" s="56">
        <v>0.33300000000000002</v>
      </c>
      <c r="D48" s="57">
        <v>353</v>
      </c>
      <c r="E48" s="57">
        <v>184.12</v>
      </c>
      <c r="F48" s="57">
        <v>0.2</v>
      </c>
      <c r="G48" s="58">
        <v>296</v>
      </c>
      <c r="H48" s="58">
        <v>184.13</v>
      </c>
      <c r="I48" s="58">
        <v>0.2</v>
      </c>
      <c r="J48" s="59">
        <v>66</v>
      </c>
      <c r="K48" s="59"/>
      <c r="L48" s="59"/>
      <c r="M48">
        <v>0</v>
      </c>
    </row>
    <row r="49" spans="1:13" ht="12.75">
      <c r="A49" s="56" t="s">
        <v>367</v>
      </c>
      <c r="B49" s="56">
        <v>185.09</v>
      </c>
      <c r="C49" s="56">
        <v>0.66700000000000004</v>
      </c>
      <c r="D49" s="57">
        <v>350</v>
      </c>
      <c r="E49" s="57"/>
      <c r="F49" s="57"/>
      <c r="G49" s="58">
        <v>0</v>
      </c>
      <c r="H49" s="58"/>
      <c r="I49" s="58"/>
      <c r="J49" s="59">
        <v>0</v>
      </c>
      <c r="K49" s="59"/>
      <c r="L49" s="59"/>
      <c r="M49">
        <v>0</v>
      </c>
    </row>
    <row r="50" spans="1:13" ht="12.75">
      <c r="A50" s="56" t="s">
        <v>390</v>
      </c>
      <c r="B50" s="56">
        <v>185.1</v>
      </c>
      <c r="C50" s="56">
        <v>0.5</v>
      </c>
      <c r="D50" s="57">
        <v>179</v>
      </c>
      <c r="E50" s="57">
        <v>185.11</v>
      </c>
      <c r="F50" s="57">
        <v>0.33300000000000002</v>
      </c>
      <c r="G50" s="58">
        <v>350</v>
      </c>
      <c r="H50" s="58"/>
      <c r="I50" s="58"/>
      <c r="J50" s="59">
        <v>0</v>
      </c>
      <c r="K50" s="59"/>
      <c r="L50" s="59"/>
      <c r="M50">
        <v>0</v>
      </c>
    </row>
    <row r="51" spans="1:13" ht="12.75">
      <c r="A51" s="56" t="s">
        <v>397</v>
      </c>
      <c r="B51" s="56">
        <v>185.11</v>
      </c>
      <c r="C51" s="56">
        <v>0.66700000000000004</v>
      </c>
      <c r="D51" s="57">
        <v>702</v>
      </c>
      <c r="E51" s="57"/>
      <c r="F51" s="57"/>
      <c r="G51" s="58">
        <v>0</v>
      </c>
      <c r="H51" s="58"/>
      <c r="I51" s="58"/>
      <c r="J51" s="59">
        <v>0</v>
      </c>
      <c r="K51" s="59"/>
      <c r="L51" s="59"/>
      <c r="M51">
        <v>0</v>
      </c>
    </row>
    <row r="52" spans="1:13" ht="12.75">
      <c r="A52" s="56" t="s">
        <v>373</v>
      </c>
      <c r="B52" s="56">
        <v>185.12</v>
      </c>
      <c r="C52" s="56">
        <v>0.5</v>
      </c>
      <c r="D52" s="57">
        <v>409</v>
      </c>
      <c r="E52" s="57"/>
      <c r="F52" s="57"/>
      <c r="G52" s="58">
        <v>0</v>
      </c>
      <c r="H52" s="58"/>
      <c r="I52" s="58"/>
      <c r="J52" s="59">
        <v>0</v>
      </c>
      <c r="K52" s="59"/>
      <c r="L52" s="59"/>
      <c r="M52">
        <v>0</v>
      </c>
    </row>
    <row r="53" spans="1:13" ht="12.75">
      <c r="A53" s="56" t="s">
        <v>336</v>
      </c>
      <c r="B53" s="56">
        <v>185.12</v>
      </c>
      <c r="C53" s="56">
        <v>0.5</v>
      </c>
      <c r="D53" s="57">
        <v>409</v>
      </c>
      <c r="E53" s="57">
        <v>185.05</v>
      </c>
      <c r="F53" s="57">
        <v>0.2</v>
      </c>
      <c r="G53" s="58">
        <v>0</v>
      </c>
      <c r="H53" s="58"/>
      <c r="I53" s="58"/>
      <c r="J53" s="59">
        <v>0</v>
      </c>
      <c r="K53" s="59"/>
      <c r="L53" s="59"/>
      <c r="M53">
        <v>0</v>
      </c>
    </row>
    <row r="54" spans="1:13" ht="12.75">
      <c r="A54" s="56" t="s">
        <v>376</v>
      </c>
      <c r="B54" s="56">
        <v>185.15</v>
      </c>
      <c r="C54" s="56">
        <v>0.66700000000000004</v>
      </c>
      <c r="D54" s="57">
        <v>432</v>
      </c>
      <c r="E54" s="57">
        <v>185.16</v>
      </c>
      <c r="F54" s="57">
        <v>0.5</v>
      </c>
      <c r="G54" s="58">
        <v>142</v>
      </c>
      <c r="H54" s="58"/>
      <c r="I54" s="58"/>
      <c r="J54" s="59">
        <v>0</v>
      </c>
      <c r="K54" s="59"/>
      <c r="L54" s="59"/>
      <c r="M54">
        <v>0</v>
      </c>
    </row>
    <row r="55" spans="1:13" ht="12.75">
      <c r="A55" s="56" t="s">
        <v>330</v>
      </c>
      <c r="B55" s="56">
        <v>185.16</v>
      </c>
      <c r="C55" s="56">
        <v>0.5</v>
      </c>
      <c r="D55" s="57">
        <v>142</v>
      </c>
      <c r="E55" s="57">
        <v>185.1</v>
      </c>
      <c r="F55" s="57">
        <v>0.5</v>
      </c>
      <c r="G55" s="58">
        <v>179</v>
      </c>
      <c r="H55" s="58"/>
      <c r="I55" s="58"/>
      <c r="J55" s="59">
        <v>0</v>
      </c>
      <c r="K55" s="59"/>
      <c r="L55" s="59"/>
      <c r="M55">
        <v>0</v>
      </c>
    </row>
    <row r="56" spans="1:13" ht="12.75">
      <c r="A56" s="56" t="s">
        <v>313</v>
      </c>
      <c r="B56" s="56">
        <v>185.17</v>
      </c>
      <c r="C56" s="56">
        <v>1</v>
      </c>
      <c r="D56" s="57">
        <v>241</v>
      </c>
      <c r="E56" s="57"/>
      <c r="F56" s="57"/>
      <c r="G56" s="58">
        <v>0</v>
      </c>
      <c r="H56" s="58"/>
      <c r="I56" s="58"/>
      <c r="J56" s="59">
        <v>0</v>
      </c>
      <c r="K56" s="59"/>
      <c r="L56" s="59"/>
      <c r="M56">
        <v>0</v>
      </c>
    </row>
    <row r="57" spans="1:13" ht="12.75">
      <c r="A57" s="56" t="s">
        <v>363</v>
      </c>
      <c r="B57" s="56">
        <v>185.18</v>
      </c>
      <c r="C57" s="56">
        <v>0.66700000000000004</v>
      </c>
      <c r="D57" s="57">
        <v>352</v>
      </c>
      <c r="E57" s="57"/>
      <c r="F57" s="57"/>
      <c r="G57" s="58">
        <v>0</v>
      </c>
      <c r="H57" s="58"/>
      <c r="I57" s="58"/>
      <c r="J57" s="59">
        <v>0</v>
      </c>
      <c r="K57" s="59"/>
      <c r="L57" s="59"/>
      <c r="M57">
        <v>0</v>
      </c>
    </row>
    <row r="58" spans="1:13" ht="12.75">
      <c r="A58" s="56" t="s">
        <v>323</v>
      </c>
      <c r="B58" s="56">
        <v>185.18</v>
      </c>
      <c r="C58" s="56">
        <v>0.33300000000000002</v>
      </c>
      <c r="D58" s="57">
        <v>175</v>
      </c>
      <c r="E58" s="57">
        <v>185.08</v>
      </c>
      <c r="F58" s="57">
        <v>1</v>
      </c>
      <c r="G58" s="58">
        <v>149</v>
      </c>
      <c r="H58" s="58">
        <v>185.07</v>
      </c>
      <c r="I58" s="58">
        <v>0.33300000000000002</v>
      </c>
      <c r="J58" s="59">
        <v>353</v>
      </c>
      <c r="K58" s="59"/>
      <c r="L58" s="59"/>
      <c r="M58">
        <v>0</v>
      </c>
    </row>
    <row r="59" spans="1:13" ht="12.75">
      <c r="A59" s="56" t="s">
        <v>298</v>
      </c>
      <c r="B59" s="56">
        <v>185.19</v>
      </c>
      <c r="C59" s="56">
        <v>1</v>
      </c>
      <c r="D59" s="57">
        <v>722</v>
      </c>
      <c r="E59" s="57">
        <v>185.2</v>
      </c>
      <c r="F59" s="57">
        <v>1</v>
      </c>
      <c r="G59" s="58">
        <v>923</v>
      </c>
      <c r="H59" s="58"/>
      <c r="I59" s="58"/>
      <c r="J59" s="59">
        <v>0</v>
      </c>
      <c r="K59" s="59"/>
      <c r="L59" s="59"/>
      <c r="M59">
        <v>0</v>
      </c>
    </row>
    <row r="60" spans="1:13" ht="12.75">
      <c r="A60" s="56" t="s">
        <v>324</v>
      </c>
      <c r="B60" s="56">
        <v>185.21</v>
      </c>
      <c r="C60" s="56">
        <v>1</v>
      </c>
      <c r="D60" s="57">
        <v>550</v>
      </c>
      <c r="E60" s="57">
        <v>185.22</v>
      </c>
      <c r="F60" s="57">
        <v>1</v>
      </c>
      <c r="G60" s="58">
        <v>483</v>
      </c>
      <c r="H60" s="58"/>
      <c r="I60" s="58"/>
      <c r="J60" s="59">
        <v>0</v>
      </c>
      <c r="K60" s="59"/>
      <c r="L60" s="59"/>
      <c r="M60">
        <v>0</v>
      </c>
    </row>
    <row r="61" spans="1:13" ht="12.75">
      <c r="A61" s="56" t="s">
        <v>317</v>
      </c>
      <c r="B61" s="56">
        <v>186.01</v>
      </c>
      <c r="C61" s="56">
        <v>0.25</v>
      </c>
      <c r="D61" s="57">
        <v>144</v>
      </c>
      <c r="E61" s="57">
        <v>186.02</v>
      </c>
      <c r="F61" s="57">
        <v>0.25</v>
      </c>
      <c r="G61" s="58">
        <v>71</v>
      </c>
      <c r="H61" s="58"/>
      <c r="I61" s="58"/>
      <c r="J61" s="59">
        <v>0</v>
      </c>
      <c r="K61" s="59"/>
      <c r="L61" s="59"/>
      <c r="M61">
        <v>0</v>
      </c>
    </row>
    <row r="62" spans="1:13" ht="12.75">
      <c r="A62" s="56" t="s">
        <v>382</v>
      </c>
      <c r="B62" s="56">
        <v>186.01</v>
      </c>
      <c r="C62" s="56">
        <v>0.25</v>
      </c>
      <c r="D62" s="57">
        <v>144</v>
      </c>
      <c r="E62" s="57">
        <v>186.02</v>
      </c>
      <c r="F62" s="57">
        <v>0.75</v>
      </c>
      <c r="G62" s="58">
        <v>212</v>
      </c>
      <c r="H62" s="58">
        <v>192</v>
      </c>
      <c r="I62" s="58">
        <v>0.33</v>
      </c>
      <c r="J62" s="59">
        <v>136</v>
      </c>
      <c r="K62" s="59"/>
      <c r="L62" s="59"/>
      <c r="M62">
        <v>0</v>
      </c>
    </row>
    <row r="63" spans="1:13" ht="12.75">
      <c r="A63" s="56" t="s">
        <v>385</v>
      </c>
      <c r="B63" s="56">
        <v>186.01</v>
      </c>
      <c r="C63" s="56">
        <v>0.5</v>
      </c>
      <c r="D63" s="57">
        <v>288</v>
      </c>
      <c r="E63" s="57"/>
      <c r="F63" s="57"/>
      <c r="G63" s="58">
        <v>0</v>
      </c>
      <c r="H63" s="58"/>
      <c r="I63" s="58"/>
      <c r="J63" s="59">
        <v>0</v>
      </c>
      <c r="K63" s="59"/>
      <c r="L63" s="59"/>
      <c r="M63">
        <v>0</v>
      </c>
    </row>
    <row r="64" spans="1:13" ht="12.75">
      <c r="A64" s="56" t="s">
        <v>368</v>
      </c>
      <c r="B64" s="56">
        <v>186.05</v>
      </c>
      <c r="C64" s="56">
        <v>0.5</v>
      </c>
      <c r="D64" s="57">
        <v>522</v>
      </c>
      <c r="E64" s="57">
        <v>186.06</v>
      </c>
      <c r="F64" s="57">
        <v>0.5</v>
      </c>
      <c r="G64" s="58">
        <v>240</v>
      </c>
      <c r="H64" s="58"/>
      <c r="I64" s="58"/>
      <c r="J64" s="59">
        <v>0</v>
      </c>
      <c r="K64" s="59"/>
      <c r="L64" s="59"/>
      <c r="M64">
        <v>0</v>
      </c>
    </row>
    <row r="65" spans="1:13" ht="12.75">
      <c r="A65" s="56" t="s">
        <v>387</v>
      </c>
      <c r="B65" s="56">
        <v>186.05</v>
      </c>
      <c r="C65" s="56">
        <v>0.5</v>
      </c>
      <c r="D65" s="57">
        <v>522</v>
      </c>
      <c r="E65" s="57">
        <v>186.06</v>
      </c>
      <c r="F65" s="57">
        <v>0.25</v>
      </c>
      <c r="G65" s="58">
        <v>120</v>
      </c>
      <c r="H65" s="58"/>
      <c r="I65" s="58"/>
      <c r="J65" s="59">
        <v>0</v>
      </c>
      <c r="K65" s="59"/>
      <c r="L65" s="59"/>
      <c r="M65">
        <v>0</v>
      </c>
    </row>
    <row r="66" spans="1:13" ht="12.75">
      <c r="A66" s="56" t="s">
        <v>303</v>
      </c>
      <c r="B66" s="56">
        <v>186.05</v>
      </c>
      <c r="C66" s="56">
        <v>0.5</v>
      </c>
      <c r="D66" s="57">
        <v>522</v>
      </c>
      <c r="E66" s="57">
        <v>186.06</v>
      </c>
      <c r="F66" s="57">
        <v>0.25</v>
      </c>
      <c r="G66" s="58">
        <v>120</v>
      </c>
      <c r="H66" s="58"/>
      <c r="I66" s="58"/>
      <c r="J66" s="59">
        <v>0</v>
      </c>
      <c r="K66" s="59"/>
      <c r="L66" s="59"/>
      <c r="M66">
        <v>0</v>
      </c>
    </row>
    <row r="67" spans="1:13" ht="12.75">
      <c r="A67" s="56" t="s">
        <v>327</v>
      </c>
      <c r="B67" s="56">
        <v>186.06</v>
      </c>
      <c r="C67" s="56">
        <v>0.25</v>
      </c>
      <c r="D67" s="57">
        <v>120</v>
      </c>
      <c r="E67" s="57">
        <v>185.09</v>
      </c>
      <c r="F67" s="57">
        <v>0.33300000000000002</v>
      </c>
      <c r="G67" s="58">
        <v>175</v>
      </c>
      <c r="H67" s="58">
        <v>186.07</v>
      </c>
      <c r="I67" s="58">
        <v>0.5</v>
      </c>
      <c r="J67" s="59">
        <v>351</v>
      </c>
      <c r="K67" s="59">
        <v>185.15</v>
      </c>
      <c r="L67" s="59">
        <v>0.33300000000000002</v>
      </c>
      <c r="M67">
        <v>216</v>
      </c>
    </row>
    <row r="68" spans="1:13" ht="12.75">
      <c r="A68" s="56" t="s">
        <v>320</v>
      </c>
      <c r="B68" s="56">
        <v>186.08</v>
      </c>
      <c r="C68" s="56">
        <v>0.5</v>
      </c>
      <c r="D68" s="57">
        <v>391</v>
      </c>
      <c r="E68" s="57">
        <v>186.07</v>
      </c>
      <c r="F68" s="57">
        <v>0.5</v>
      </c>
      <c r="G68" s="58">
        <v>351</v>
      </c>
      <c r="H68" s="58"/>
      <c r="I68" s="58"/>
      <c r="J68" s="59">
        <v>0</v>
      </c>
      <c r="K68" s="59"/>
      <c r="L68" s="59"/>
      <c r="M68">
        <v>0</v>
      </c>
    </row>
    <row r="69" spans="1:13" ht="12.75">
      <c r="A69" s="56" t="s">
        <v>354</v>
      </c>
      <c r="B69" s="56">
        <v>187.03</v>
      </c>
      <c r="C69" s="56">
        <v>0.5</v>
      </c>
      <c r="D69" s="57">
        <v>366</v>
      </c>
      <c r="E69" s="57">
        <v>187.05</v>
      </c>
      <c r="F69" s="57">
        <v>0.25</v>
      </c>
      <c r="G69" s="58">
        <v>191</v>
      </c>
      <c r="H69" s="58"/>
      <c r="I69" s="58"/>
      <c r="J69" s="59">
        <v>0</v>
      </c>
      <c r="K69" s="59"/>
      <c r="L69" s="59"/>
      <c r="M69">
        <v>0</v>
      </c>
    </row>
    <row r="70" spans="1:13" ht="12.75">
      <c r="A70" s="56" t="s">
        <v>304</v>
      </c>
      <c r="B70" s="56">
        <v>187.03</v>
      </c>
      <c r="C70" s="56">
        <v>0.25</v>
      </c>
      <c r="D70" s="57">
        <v>183</v>
      </c>
      <c r="E70" s="57">
        <v>189.05</v>
      </c>
      <c r="F70" s="57">
        <v>0.66700000000000004</v>
      </c>
      <c r="G70" s="58">
        <v>507</v>
      </c>
      <c r="H70" s="58"/>
      <c r="I70" s="58"/>
      <c r="J70" s="59">
        <v>0</v>
      </c>
      <c r="K70" s="59"/>
      <c r="L70" s="59"/>
      <c r="M70">
        <v>0</v>
      </c>
    </row>
    <row r="71" spans="1:13" ht="12.75">
      <c r="A71" s="56" t="s">
        <v>343</v>
      </c>
      <c r="B71" s="56">
        <v>187.04</v>
      </c>
      <c r="C71" s="56">
        <v>1</v>
      </c>
      <c r="D71" s="57">
        <v>185</v>
      </c>
      <c r="E71" s="57">
        <v>187.05</v>
      </c>
      <c r="F71" s="57">
        <v>0.25</v>
      </c>
      <c r="G71" s="58">
        <v>191</v>
      </c>
      <c r="H71" s="58">
        <v>190.01</v>
      </c>
      <c r="I71" s="58">
        <v>0.25</v>
      </c>
      <c r="J71" s="59">
        <v>122</v>
      </c>
      <c r="K71" s="59"/>
      <c r="L71" s="59"/>
      <c r="M71">
        <v>0</v>
      </c>
    </row>
    <row r="72" spans="1:13" ht="12.75">
      <c r="A72" s="56" t="s">
        <v>326</v>
      </c>
      <c r="B72" s="56">
        <v>187.05</v>
      </c>
      <c r="C72" s="56">
        <v>0.5</v>
      </c>
      <c r="D72" s="57">
        <v>381</v>
      </c>
      <c r="E72" s="57"/>
      <c r="F72" s="57"/>
      <c r="G72" s="58">
        <v>0</v>
      </c>
      <c r="H72" s="58"/>
      <c r="I72" s="58"/>
      <c r="J72" s="59">
        <v>0</v>
      </c>
      <c r="K72" s="59"/>
      <c r="L72" s="59"/>
      <c r="M72">
        <v>0</v>
      </c>
    </row>
    <row r="73" spans="1:13" ht="12.75">
      <c r="A73" s="56" t="s">
        <v>401</v>
      </c>
      <c r="B73" s="56">
        <v>187.06</v>
      </c>
      <c r="C73" s="56">
        <v>0.5</v>
      </c>
      <c r="D73" s="57">
        <v>449</v>
      </c>
      <c r="E73" s="57">
        <v>187.11</v>
      </c>
      <c r="F73" s="57">
        <v>0.33300000000000002</v>
      </c>
      <c r="G73" s="58">
        <v>351</v>
      </c>
      <c r="H73" s="58"/>
      <c r="I73" s="58"/>
      <c r="J73" s="59">
        <v>0</v>
      </c>
      <c r="K73" s="59"/>
      <c r="L73" s="59"/>
      <c r="M73">
        <v>0</v>
      </c>
    </row>
    <row r="74" spans="1:13" ht="12.75">
      <c r="A74" s="56" t="s">
        <v>388</v>
      </c>
      <c r="B74" s="56">
        <v>187.06</v>
      </c>
      <c r="C74" s="56">
        <v>0.5</v>
      </c>
      <c r="D74" s="57">
        <v>449</v>
      </c>
      <c r="E74" s="57">
        <v>188.04</v>
      </c>
      <c r="F74" s="57">
        <v>1</v>
      </c>
      <c r="G74" s="58">
        <v>516</v>
      </c>
      <c r="H74" s="58"/>
      <c r="I74" s="58"/>
      <c r="J74" s="59">
        <v>0</v>
      </c>
      <c r="K74" s="59"/>
      <c r="L74" s="59"/>
      <c r="M74">
        <v>0</v>
      </c>
    </row>
    <row r="75" spans="1:13" ht="12.75">
      <c r="A75" s="56" t="s">
        <v>335</v>
      </c>
      <c r="B75" s="56">
        <v>187.11</v>
      </c>
      <c r="C75" s="56">
        <v>0.66700000000000004</v>
      </c>
      <c r="D75" s="57">
        <v>702</v>
      </c>
      <c r="E75" s="57">
        <v>187.07</v>
      </c>
      <c r="F75" s="57">
        <v>1</v>
      </c>
      <c r="G75" s="58">
        <v>118</v>
      </c>
      <c r="H75" s="58"/>
      <c r="I75" s="58"/>
      <c r="J75" s="59">
        <v>0</v>
      </c>
      <c r="K75" s="59"/>
      <c r="L75" s="59"/>
      <c r="M75">
        <v>0</v>
      </c>
    </row>
    <row r="76" spans="1:13" ht="12.75">
      <c r="A76" s="56" t="s">
        <v>301</v>
      </c>
      <c r="B76" s="56">
        <v>187.12</v>
      </c>
      <c r="C76" s="56">
        <v>1</v>
      </c>
      <c r="D76" s="57">
        <v>462</v>
      </c>
      <c r="E76" s="57"/>
      <c r="F76" s="57"/>
      <c r="G76" s="58">
        <v>0</v>
      </c>
      <c r="H76" s="58"/>
      <c r="I76" s="58"/>
      <c r="J76" s="59">
        <v>0</v>
      </c>
      <c r="K76" s="59"/>
      <c r="L76" s="59"/>
      <c r="M76">
        <v>0</v>
      </c>
    </row>
    <row r="77" spans="1:13" ht="12.75">
      <c r="A77" s="56" t="s">
        <v>325</v>
      </c>
      <c r="B77" s="56">
        <v>187.13</v>
      </c>
      <c r="C77" s="56">
        <v>1</v>
      </c>
      <c r="D77" s="57">
        <v>213</v>
      </c>
      <c r="E77" s="57">
        <v>182.03</v>
      </c>
      <c r="F77" s="57">
        <v>0.4</v>
      </c>
      <c r="G77" s="58">
        <v>48</v>
      </c>
      <c r="H77" s="58"/>
      <c r="I77" s="58"/>
      <c r="J77" s="59">
        <v>0</v>
      </c>
      <c r="K77" s="59"/>
      <c r="L77" s="59"/>
      <c r="M77">
        <v>0</v>
      </c>
    </row>
    <row r="78" spans="1:13" ht="12.75">
      <c r="A78" s="56" t="s">
        <v>396</v>
      </c>
      <c r="B78" s="56">
        <v>187.16</v>
      </c>
      <c r="C78" s="56">
        <v>0.33300000000000002</v>
      </c>
      <c r="D78" s="57">
        <v>192</v>
      </c>
      <c r="E78" s="57">
        <v>187.14</v>
      </c>
      <c r="F78" s="57">
        <v>1</v>
      </c>
      <c r="G78" s="58">
        <v>329</v>
      </c>
      <c r="H78" s="58">
        <v>187.15</v>
      </c>
      <c r="I78" s="58">
        <v>1</v>
      </c>
      <c r="J78" s="59">
        <v>514</v>
      </c>
      <c r="K78" s="59"/>
      <c r="L78" s="59"/>
      <c r="M78">
        <v>0</v>
      </c>
    </row>
    <row r="79" spans="1:13" ht="12.75">
      <c r="A79" s="56" t="s">
        <v>328</v>
      </c>
      <c r="B79" s="56">
        <v>188.01</v>
      </c>
      <c r="C79" s="56">
        <v>1</v>
      </c>
      <c r="D79" s="57">
        <v>301</v>
      </c>
      <c r="E79" s="57">
        <v>188.02</v>
      </c>
      <c r="F79" s="57">
        <v>0.75</v>
      </c>
      <c r="G79" s="58">
        <v>197</v>
      </c>
      <c r="H79" s="58"/>
      <c r="I79" s="58"/>
      <c r="J79" s="59">
        <v>0</v>
      </c>
      <c r="K79" s="59"/>
      <c r="L79" s="59"/>
      <c r="M79">
        <v>0</v>
      </c>
    </row>
    <row r="80" spans="1:13" ht="12.75">
      <c r="A80" s="56" t="s">
        <v>333</v>
      </c>
      <c r="B80" s="56">
        <v>188.02</v>
      </c>
      <c r="C80" s="56">
        <v>0.25</v>
      </c>
      <c r="D80" s="57">
        <v>66</v>
      </c>
      <c r="E80" s="57">
        <v>188.08</v>
      </c>
      <c r="F80" s="57">
        <v>0.5</v>
      </c>
      <c r="G80" s="58">
        <v>252</v>
      </c>
      <c r="H80" s="58">
        <v>188.07</v>
      </c>
      <c r="I80" s="58">
        <v>0.25</v>
      </c>
      <c r="J80" s="59">
        <v>113</v>
      </c>
      <c r="K80" s="59"/>
      <c r="L80" s="59"/>
      <c r="M80">
        <v>0</v>
      </c>
    </row>
    <row r="81" spans="1:13" ht="12.75">
      <c r="A81" s="56" t="s">
        <v>311</v>
      </c>
      <c r="B81" s="56">
        <v>188.05</v>
      </c>
      <c r="C81" s="56">
        <v>1</v>
      </c>
      <c r="D81" s="57">
        <v>289</v>
      </c>
      <c r="E81" s="57">
        <v>188.06</v>
      </c>
      <c r="F81" s="57">
        <v>0.8</v>
      </c>
      <c r="G81" s="58">
        <v>135</v>
      </c>
      <c r="H81" s="58"/>
      <c r="I81" s="58"/>
      <c r="J81" s="59">
        <v>0</v>
      </c>
      <c r="K81" s="59"/>
      <c r="L81" s="59"/>
      <c r="M81">
        <v>0</v>
      </c>
    </row>
    <row r="82" spans="1:13" ht="12.75">
      <c r="A82" s="56" t="s">
        <v>381</v>
      </c>
      <c r="B82" s="56">
        <v>188.06</v>
      </c>
      <c r="C82" s="56">
        <v>0.2</v>
      </c>
      <c r="D82" s="57">
        <v>34</v>
      </c>
      <c r="E82" s="57">
        <v>182.06</v>
      </c>
      <c r="F82" s="57">
        <v>1</v>
      </c>
      <c r="G82" s="58">
        <v>124</v>
      </c>
      <c r="H82" s="58"/>
      <c r="I82" s="58"/>
      <c r="J82" s="59">
        <v>0</v>
      </c>
      <c r="K82" s="59"/>
      <c r="L82" s="59"/>
      <c r="M82">
        <v>0</v>
      </c>
    </row>
    <row r="83" spans="1:13" ht="12.75">
      <c r="A83" s="56" t="s">
        <v>334</v>
      </c>
      <c r="B83" s="56">
        <v>188.07</v>
      </c>
      <c r="C83" s="56">
        <v>0.75</v>
      </c>
      <c r="D83" s="57">
        <v>338</v>
      </c>
      <c r="E83" s="57">
        <v>188.08</v>
      </c>
      <c r="F83" s="57">
        <v>0.5</v>
      </c>
      <c r="G83" s="58">
        <v>252</v>
      </c>
      <c r="H83" s="58"/>
      <c r="I83" s="58"/>
      <c r="J83" s="59">
        <v>0</v>
      </c>
      <c r="K83" s="59"/>
      <c r="L83" s="59"/>
      <c r="M83">
        <v>0</v>
      </c>
    </row>
    <row r="84" spans="1:13" ht="12.75">
      <c r="A84" s="56" t="s">
        <v>342</v>
      </c>
      <c r="B84" s="56">
        <v>189.03</v>
      </c>
      <c r="C84" s="56">
        <v>0.75</v>
      </c>
      <c r="D84" s="57">
        <v>227</v>
      </c>
      <c r="E84" s="57"/>
      <c r="F84" s="57"/>
      <c r="G84" s="58">
        <v>0</v>
      </c>
      <c r="H84" s="58"/>
      <c r="I84" s="58"/>
      <c r="J84" s="59">
        <v>0</v>
      </c>
      <c r="K84" s="59"/>
      <c r="L84" s="59"/>
      <c r="M84">
        <v>0</v>
      </c>
    </row>
    <row r="85" spans="1:13" ht="12.75">
      <c r="A85" s="56" t="s">
        <v>360</v>
      </c>
      <c r="B85" s="56">
        <v>189.05</v>
      </c>
      <c r="C85" s="56">
        <v>0.33300000000000002</v>
      </c>
      <c r="D85" s="57">
        <v>253</v>
      </c>
      <c r="E85" s="57">
        <v>190.03</v>
      </c>
      <c r="F85" s="57">
        <v>0.2</v>
      </c>
      <c r="G85" s="58">
        <v>125</v>
      </c>
      <c r="H85" s="58"/>
      <c r="I85" s="58"/>
      <c r="J85" s="59">
        <v>0</v>
      </c>
      <c r="K85" s="59"/>
      <c r="L85" s="59"/>
      <c r="M85">
        <v>0</v>
      </c>
    </row>
    <row r="86" spans="1:13" ht="12.75">
      <c r="A86" s="56" t="s">
        <v>357</v>
      </c>
      <c r="B86" s="56">
        <v>189.07</v>
      </c>
      <c r="C86" s="56">
        <v>1</v>
      </c>
      <c r="D86" s="57">
        <v>339</v>
      </c>
      <c r="E86" s="57">
        <v>189.1</v>
      </c>
      <c r="F86" s="57">
        <v>0.5</v>
      </c>
      <c r="G86" s="58">
        <v>383</v>
      </c>
      <c r="H86" s="58">
        <v>189.09</v>
      </c>
      <c r="I86" s="58">
        <v>0.5</v>
      </c>
      <c r="J86" s="59">
        <v>194</v>
      </c>
      <c r="K86" s="59"/>
      <c r="L86" s="59"/>
      <c r="M86">
        <v>0</v>
      </c>
    </row>
    <row r="87" spans="1:13" ht="12.75">
      <c r="A87" s="56" t="s">
        <v>361</v>
      </c>
      <c r="B87" s="56">
        <v>189.08</v>
      </c>
      <c r="C87" s="56">
        <v>1</v>
      </c>
      <c r="D87" s="57">
        <v>602</v>
      </c>
      <c r="E87" s="57"/>
      <c r="F87" s="57"/>
      <c r="G87" s="58">
        <v>0</v>
      </c>
      <c r="H87" s="58"/>
      <c r="I87" s="58"/>
      <c r="J87" s="59">
        <v>0</v>
      </c>
      <c r="K87" s="59"/>
      <c r="L87" s="59"/>
      <c r="M87">
        <v>0</v>
      </c>
    </row>
    <row r="88" spans="1:13" ht="12.75">
      <c r="A88" s="56" t="s">
        <v>399</v>
      </c>
      <c r="B88" s="56">
        <v>189.1</v>
      </c>
      <c r="C88" s="56">
        <v>0.5</v>
      </c>
      <c r="D88" s="57">
        <v>383</v>
      </c>
      <c r="E88" s="57">
        <v>189.09</v>
      </c>
      <c r="F88" s="57">
        <v>0.5</v>
      </c>
      <c r="G88" s="58">
        <v>194</v>
      </c>
      <c r="H88" s="58"/>
      <c r="I88" s="58"/>
      <c r="J88" s="59">
        <v>0</v>
      </c>
      <c r="K88" s="59"/>
      <c r="L88" s="59"/>
      <c r="M88">
        <v>0</v>
      </c>
    </row>
    <row r="89" spans="1:13" ht="12.75">
      <c r="A89" s="56" t="s">
        <v>370</v>
      </c>
      <c r="B89" s="56">
        <v>190.01</v>
      </c>
      <c r="C89" s="56">
        <v>0.75</v>
      </c>
      <c r="D89" s="57">
        <v>365</v>
      </c>
      <c r="E89" s="57">
        <v>189.06</v>
      </c>
      <c r="F89" s="57">
        <v>1</v>
      </c>
      <c r="G89" s="58">
        <v>341</v>
      </c>
      <c r="H89" s="58">
        <v>187.03</v>
      </c>
      <c r="I89" s="58">
        <v>0.25</v>
      </c>
      <c r="J89" s="59">
        <v>183</v>
      </c>
      <c r="K89" s="59"/>
      <c r="L89" s="59"/>
      <c r="M89">
        <v>0</v>
      </c>
    </row>
    <row r="90" spans="1:13" ht="12.75">
      <c r="A90" s="56" t="s">
        <v>374</v>
      </c>
      <c r="B90" s="56">
        <v>190.03</v>
      </c>
      <c r="C90" s="56">
        <v>0.8</v>
      </c>
      <c r="D90" s="57">
        <v>502</v>
      </c>
      <c r="E90" s="57">
        <v>190.04</v>
      </c>
      <c r="F90" s="57">
        <v>0.1</v>
      </c>
      <c r="G90" s="58">
        <v>58</v>
      </c>
      <c r="H90" s="58"/>
      <c r="I90" s="58"/>
      <c r="J90" s="59">
        <v>0</v>
      </c>
      <c r="K90" s="59"/>
      <c r="L90" s="59"/>
      <c r="M90">
        <v>0</v>
      </c>
    </row>
    <row r="91" spans="1:13" ht="12.75">
      <c r="A91" s="56" t="s">
        <v>349</v>
      </c>
      <c r="B91" s="56">
        <v>190.04</v>
      </c>
      <c r="C91" s="56">
        <v>0.3</v>
      </c>
      <c r="D91" s="57">
        <v>174</v>
      </c>
      <c r="E91" s="57">
        <v>189.03</v>
      </c>
      <c r="F91" s="57">
        <v>0.25</v>
      </c>
      <c r="G91" s="58">
        <v>76</v>
      </c>
      <c r="H91" s="58"/>
      <c r="I91" s="58"/>
      <c r="J91" s="59">
        <v>0</v>
      </c>
      <c r="K91" s="59"/>
      <c r="L91" s="59"/>
      <c r="M91">
        <v>0</v>
      </c>
    </row>
    <row r="92" spans="1:13" ht="12.75">
      <c r="A92" s="56" t="s">
        <v>364</v>
      </c>
      <c r="B92" s="56">
        <v>190.04</v>
      </c>
      <c r="C92" s="56">
        <v>0.6</v>
      </c>
      <c r="D92" s="57">
        <v>349</v>
      </c>
      <c r="E92" s="57"/>
      <c r="F92" s="57"/>
      <c r="G92" s="58">
        <v>0</v>
      </c>
      <c r="H92" s="58"/>
      <c r="I92" s="58"/>
      <c r="J92" s="59">
        <v>0</v>
      </c>
      <c r="K92" s="59"/>
      <c r="L92" s="59"/>
      <c r="M92">
        <v>0</v>
      </c>
    </row>
    <row r="93" spans="1:13" ht="12.75">
      <c r="A93" s="56" t="s">
        <v>378</v>
      </c>
      <c r="B93" s="56">
        <v>191.03</v>
      </c>
      <c r="C93" s="56">
        <v>0.5</v>
      </c>
      <c r="D93" s="57">
        <v>278</v>
      </c>
      <c r="E93" s="57">
        <v>191.04</v>
      </c>
      <c r="F93" s="57">
        <v>0.5</v>
      </c>
      <c r="G93" s="58">
        <v>236</v>
      </c>
      <c r="H93" s="58"/>
      <c r="I93" s="58"/>
      <c r="J93" s="59">
        <v>0</v>
      </c>
      <c r="K93" s="59"/>
      <c r="L93" s="59"/>
      <c r="M93">
        <v>0</v>
      </c>
    </row>
    <row r="94" spans="1:13" ht="12.75">
      <c r="A94" s="56" t="s">
        <v>288</v>
      </c>
      <c r="B94" s="56">
        <v>191.03</v>
      </c>
      <c r="C94" s="56">
        <v>0.5</v>
      </c>
      <c r="D94" s="57">
        <v>278</v>
      </c>
      <c r="E94" s="57">
        <v>191.04</v>
      </c>
      <c r="F94" s="57">
        <v>0.5</v>
      </c>
      <c r="G94" s="58">
        <v>236</v>
      </c>
      <c r="H94" s="58"/>
      <c r="I94" s="58"/>
      <c r="J94" s="59">
        <v>0</v>
      </c>
      <c r="K94" s="59"/>
      <c r="L94" s="59"/>
      <c r="M94">
        <v>0</v>
      </c>
    </row>
    <row r="95" spans="1:13" ht="12.75">
      <c r="A95" s="56" t="s">
        <v>338</v>
      </c>
      <c r="B95" s="56">
        <v>191.05</v>
      </c>
      <c r="C95" s="56">
        <v>1</v>
      </c>
      <c r="D95" s="57">
        <v>242</v>
      </c>
      <c r="E95" s="57">
        <v>191.07</v>
      </c>
      <c r="F95" s="57">
        <v>1</v>
      </c>
      <c r="G95" s="58">
        <v>151</v>
      </c>
      <c r="H95" s="58">
        <v>191.06</v>
      </c>
      <c r="I95" s="58">
        <v>0.5</v>
      </c>
      <c r="J95" s="59">
        <v>35</v>
      </c>
      <c r="K95" s="59"/>
      <c r="L95" s="59"/>
      <c r="M95">
        <v>0</v>
      </c>
    </row>
    <row r="96" spans="1:13" ht="12.75">
      <c r="A96" s="56" t="s">
        <v>350</v>
      </c>
      <c r="B96" s="56">
        <v>191.06</v>
      </c>
      <c r="C96" s="56">
        <v>0.5</v>
      </c>
      <c r="D96" s="57">
        <v>35</v>
      </c>
      <c r="E96" s="57">
        <v>190.05</v>
      </c>
      <c r="F96" s="57">
        <v>1</v>
      </c>
      <c r="G96" s="58">
        <v>173</v>
      </c>
      <c r="H96" s="58">
        <v>190.03</v>
      </c>
      <c r="I96" s="58">
        <v>0.33300000000000002</v>
      </c>
      <c r="J96" s="59">
        <v>209</v>
      </c>
      <c r="K96" s="59"/>
      <c r="L96" s="59"/>
      <c r="M96">
        <v>0</v>
      </c>
    </row>
    <row r="97" spans="1:13" ht="12.75">
      <c r="A97" s="56" t="s">
        <v>314</v>
      </c>
      <c r="B97" s="56">
        <v>192</v>
      </c>
      <c r="C97" s="56">
        <v>0.66700000000000004</v>
      </c>
      <c r="D97" s="57">
        <v>275</v>
      </c>
      <c r="E97" s="57"/>
      <c r="F97" s="57"/>
      <c r="G97" s="58">
        <v>0</v>
      </c>
      <c r="H97" s="58"/>
      <c r="I97" s="58"/>
      <c r="J97" s="59">
        <v>0</v>
      </c>
      <c r="K97" s="59"/>
      <c r="L97" s="59"/>
      <c r="M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Solutions</vt:lpstr>
      <vt:lpstr>bud=250</vt:lpstr>
      <vt:lpstr>bud=300</vt:lpstr>
      <vt:lpstr>bud=350</vt:lpstr>
      <vt:lpstr>AMPL .mod file</vt:lpstr>
      <vt:lpstr>All data</vt:lpstr>
      <vt:lpstr>2025</vt:lpstr>
      <vt:lpstr>2021</vt:lpstr>
      <vt:lpstr>2016</vt:lpstr>
      <vt:lpstr>2011</vt:lpstr>
      <vt:lpstr>2006</vt:lpstr>
      <vt:lpstr>2001</vt:lpstr>
      <vt:lpstr>Cost estimate</vt:lpstr>
      <vt:lpstr>Capacity</vt:lpstr>
      <vt:lpstr>linear projection elementary</vt:lpstr>
      <vt:lpstr>linear projection secondary</vt:lpstr>
      <vt:lpstr>Elementary Adj Matrix</vt:lpstr>
      <vt:lpstr>Secondary Adjacency Matrix</vt:lpstr>
      <vt:lpstr>Adj Matrices in index form</vt:lpstr>
      <vt:lpstr>Enrollment counts</vt:lpstr>
      <vt:lpstr>Population estimate </vt:lpstr>
      <vt:lpstr>Elementary Population (unused)</vt:lpstr>
      <vt:lpstr>Secondary population (unused)</vt:lpstr>
      <vt:lpstr>Elementary Population 2 (unused</vt:lpstr>
      <vt:lpstr>Secondary population 2 (unused)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SaylowStuart</dc:creator>
  <cp:lastModifiedBy>Long ting Siu</cp:lastModifiedBy>
  <dcterms:created xsi:type="dcterms:W3CDTF">2026-05-12T02:40:42Z</dcterms:created>
  <dcterms:modified xsi:type="dcterms:W3CDTF">2026-05-12T02:41:55Z</dcterms:modified>
</cp:coreProperties>
</file>